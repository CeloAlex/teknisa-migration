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1e3a717f9713d1/Migração v2/Ferramentas de migração/Gerador Scripts/"/>
    </mc:Choice>
  </mc:AlternateContent>
  <xr:revisionPtr revIDLastSave="675" documentId="13_ncr:1_{20F2303F-81FD-46BF-ABB7-20E5240A12DB}" xr6:coauthVersionLast="47" xr6:coauthVersionMax="47" xr10:uidLastSave="{5FDC6B1D-B174-481A-82DD-48BF801B0050}"/>
  <bookViews>
    <workbookView xWindow="28680" yWindow="-2820" windowWidth="29040" windowHeight="17520" xr2:uid="{A7630FD0-A906-41E7-A6D8-E4A22F322923}"/>
  </bookViews>
  <sheets>
    <sheet name="Dados" sheetId="1" r:id="rId1"/>
    <sheet name="Base" sheetId="3" r:id="rId2"/>
    <sheet name="prototipo 2" sheetId="4" r:id="rId3"/>
    <sheet name="HCM - old" sheetId="2" r:id="rId4"/>
  </sheets>
  <definedNames>
    <definedName name="_xlnm._FilterDatabase" localSheetId="0" hidden="1">Dados!$A$2:$D$9</definedName>
    <definedName name="_xlnm._FilterDatabase" localSheetId="3" hidden="1">'HCM - old'!$A$1:$G$4</definedName>
    <definedName name="AUX_TROCAR">_xlfn.LAMBDA(_xlpm.texto,_xlpm.de,_xlpm.para, IF( _xlpm.de = "", _xlpm.texto, AUX_TROCAR( SUBSTITUTE( _xlpm.texto, LEFT( _xlpm.de ), LEFT( _xlpm.para ) ), RIGHT( _xlpm.de, LEN( _xlpm.de ) - 1), RIGHT( _xlpm.para, LEN( _xlpm.para ) - 1 ) ) ) )</definedName>
    <definedName name="MIG_GERA.SCRIPT">_xlfn.LAMBDA(_xlpm.script,_xlpm.chaves,_xlpm.valores, _xlfn.LET( _xlpm.saida, _xlfn.REDUCE( _xlpm.script, _xlpm.chaves, _xlfn.LAMBDA(_xlpm.A,_xlpm.B, SUBSTITUTE( _xlpm.A, _xlpm.B, _xlfn.XLOOKUP( _xlpm.B, _xlpm.chaves, _xlpm.valores ) ) ) ), _xlpm.saida ) )</definedName>
    <definedName name="MIG_NORMA.DATA">_xlfn.LAMBDA(_xlpm.data, "'" &amp; TEXT( TRIM( _xlpm.data ), "DD/MM/AAAA" ) &amp; "'" )</definedName>
    <definedName name="MIG_NORMA.DECIMAL">_xlfn.LAMBDA(_xlpm.número, SUBSTITUTE( _xlpm.número, ",", ".") )</definedName>
    <definedName name="MIG_NORMA.NÚMERICO">_xlfn.LAMBDA(_xlpm.texto, _xlfn.CONCAT( "'", IFERROR( -- MID( _xlpm.texto, _xlfn.SEQUENCE(LEN( _xlpm.texto ) ), 1 ), "" ), "'"  ) )</definedName>
    <definedName name="MIG_NORMA.TEXTO">_xlfn.LAMBDA(_xlpm.texto, "'" &amp; UPPER( TRIM( MIG_REMOVE.ESPECIAL( _xlpm.texto ) ) ) &amp; "'" )</definedName>
    <definedName name="MIG_QRY.CHAVES">_xlfn.LAMBDA(_xlpm.colunaPK,_xlpm.org,_xlpm.campo,_xlpm.tabela,_xlpm.offset, _xlfn.LET( _xlpm.menor, SMALL( _xlpm.colunaPK, _xlpm.offset ), _xlpm.maior, LARGE( _xlpm.colunaPK, 1 ), _xlpm.qde, _xlpm.maior - _xlpm.menor + 1, "/*" &amp; _xlpm.tabela &amp; "*/ SELECT A + 1 A, B - 1 B, B - A - 1 LENGHT, (SELECT TO_NUMBER(NRSEQUENCIAL) FROM NOVOCODIGO WHERE NRORG = " &amp; _xlpm.org &amp; " AND CDCONTADOR = '" &amp; _xlpm.tabela &amp; "') NOVOCODIGO FROM (SELECT 0 A, MIN(" &amp; _xlpm.campo &amp; ") B FROM " &amp; _xlpm.tabela &amp; " WHERE NRORG = " &amp; _xlpm.org &amp; " UNION ALL SELECT " &amp; _xlpm.campo &amp;", LEAD(" &amp; _xlpm.campo &amp; ") OVER (ORDER BY " &amp; _xlpm.campo &amp; ") FROM " &amp; _xlpm.tabela &amp; " WHERE NRORG = " &amp; _xlpm.org &amp; " ) WHERE B - A &gt; " &amp; _xlpm.qde &amp; " OR B IS NULL ORDER BY A;" ) )</definedName>
    <definedName name="MIG_REMOVE.ESPECIAL">_xlfn.LAMBDA(_xlpm.texto, AUX_TROCAR( _xlpm.texto, "áàâãäÁÀÂÃÄéèêëÉÈÊËíìîïÍÌÎÏóòôöÓÒÔÖúùûüÚÙÛÜçÇ&amp;'`´~^", "aaaaaAAAAAeeeeEEEEiiiiIIIIooooOOOOuuuuUUUUcC      " ) 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 a="1"/>
  <c r="O29" i="1"/>
  <c r="N29" i="1"/>
  <c r="M29" i="1"/>
  <c r="L29" i="1"/>
  <c r="K29" i="1"/>
  <c r="J29" i="1"/>
  <c r="O28" i="1"/>
  <c r="N28" i="1"/>
  <c r="M28" i="1"/>
  <c r="L28" i="1"/>
  <c r="K28" i="1"/>
  <c r="J28" i="1"/>
  <c r="O27" i="1"/>
  <c r="N27" i="1"/>
  <c r="M27" i="1"/>
  <c r="L27" i="1"/>
  <c r="K27" i="1"/>
  <c r="J27" i="1"/>
  <c r="O26" i="1"/>
  <c r="N26" i="1"/>
  <c r="M26" i="1"/>
  <c r="L26" i="1"/>
  <c r="K26" i="1"/>
  <c r="J26" i="1"/>
  <c r="O25" i="1"/>
  <c r="N25" i="1"/>
  <c r="M25" i="1"/>
  <c r="L25" i="1"/>
  <c r="K25" i="1"/>
  <c r="J25" i="1"/>
  <c r="O24" i="1"/>
  <c r="N24" i="1"/>
  <c r="M24" i="1"/>
  <c r="L24" i="1"/>
  <c r="K24" i="1"/>
  <c r="J24" i="1"/>
  <c r="O23" i="1"/>
  <c r="N23" i="1"/>
  <c r="M23" i="1"/>
  <c r="L23" i="1"/>
  <c r="K23" i="1"/>
  <c r="J23" i="1"/>
  <c r="O22" i="1"/>
  <c r="N22" i="1"/>
  <c r="M22" i="1"/>
  <c r="L22" i="1"/>
  <c r="K22" i="1"/>
  <c r="J22" i="1"/>
  <c r="O21" i="1"/>
  <c r="N21" i="1"/>
  <c r="M21" i="1"/>
  <c r="L21" i="1"/>
  <c r="K21" i="1"/>
  <c r="J21" i="1"/>
  <c r="O20" i="1"/>
  <c r="N20" i="1"/>
  <c r="M20" i="1"/>
  <c r="L20" i="1"/>
  <c r="K20" i="1"/>
  <c r="J20" i="1"/>
  <c r="O19" i="1"/>
  <c r="N19" i="1"/>
  <c r="M19" i="1"/>
  <c r="L19" i="1"/>
  <c r="K19" i="1"/>
  <c r="J19" i="1"/>
  <c r="O18" i="1"/>
  <c r="N18" i="1"/>
  <c r="M18" i="1"/>
  <c r="L18" i="1"/>
  <c r="K18" i="1"/>
  <c r="J18" i="1"/>
  <c r="O17" i="1"/>
  <c r="N17" i="1"/>
  <c r="M17" i="1"/>
  <c r="L17" i="1"/>
  <c r="K17" i="1"/>
  <c r="J17" i="1"/>
  <c r="O16" i="1"/>
  <c r="N16" i="1"/>
  <c r="M16" i="1"/>
  <c r="L16" i="1"/>
  <c r="K16" i="1"/>
  <c r="J16" i="1"/>
  <c r="O15" i="1"/>
  <c r="N15" i="1"/>
  <c r="M15" i="1"/>
  <c r="L15" i="1"/>
  <c r="K15" i="1"/>
  <c r="J15" i="1"/>
  <c r="O14" i="1"/>
  <c r="N14" i="1"/>
  <c r="M14" i="1"/>
  <c r="L14" i="1"/>
  <c r="K14" i="1"/>
  <c r="J14" i="1"/>
  <c r="O13" i="1"/>
  <c r="N13" i="1"/>
  <c r="M13" i="1"/>
  <c r="L13" i="1"/>
  <c r="K13" i="1"/>
  <c r="J13" i="1"/>
  <c r="O12" i="1"/>
  <c r="N12" i="1"/>
  <c r="M12" i="1"/>
  <c r="L12" i="1"/>
  <c r="K12" i="1"/>
  <c r="J12" i="1"/>
  <c r="O11" i="1"/>
  <c r="N11" i="1"/>
  <c r="M11" i="1"/>
  <c r="L11" i="1"/>
  <c r="K11" i="1"/>
  <c r="J11" i="1"/>
  <c r="O10" i="1"/>
  <c r="N10" i="1"/>
  <c r="M10" i="1"/>
  <c r="L10" i="1"/>
  <c r="K10" i="1"/>
  <c r="J10" i="1"/>
  <c r="O9" i="1"/>
  <c r="N9" i="1"/>
  <c r="M9" i="1"/>
  <c r="L9" i="1"/>
  <c r="K9" i="1"/>
  <c r="J9" i="1"/>
  <c r="O8" i="1"/>
  <c r="N8" i="1"/>
  <c r="M8" i="1"/>
  <c r="L8" i="1"/>
  <c r="K8" i="1"/>
  <c r="J8" i="1"/>
  <c r="O7" i="1"/>
  <c r="N7" i="1"/>
  <c r="M7" i="1"/>
  <c r="L7" i="1"/>
  <c r="K7" i="1"/>
  <c r="J7" i="1"/>
  <c r="O6" i="1"/>
  <c r="N6" i="1"/>
  <c r="M6" i="1"/>
  <c r="L6" i="1"/>
  <c r="K6" i="1"/>
  <c r="J6" i="1"/>
  <c r="O5" i="1"/>
  <c r="N5" i="1"/>
  <c r="M5" i="1"/>
  <c r="L5" i="1"/>
  <c r="K5" i="1"/>
  <c r="J5" i="1"/>
  <c r="O4" i="1"/>
  <c r="N4" i="1"/>
  <c r="M4" i="1"/>
  <c r="L4" i="1"/>
  <c r="K4" i="1"/>
  <c r="J4" i="1"/>
  <c r="O3" i="1"/>
  <c r="N3" i="1"/>
  <c r="AC1" i="1"/>
  <c r="A19" i="4" a="1"/>
  <c r="B11" i="4" a="1"/>
  <c r="B13" i="4" a="1"/>
  <c r="B10" i="4" a="1"/>
  <c r="B9" i="4" a="1"/>
  <c r="B8" i="4" a="1"/>
  <c r="B5" i="4" a="1"/>
  <c r="B4" i="4"/>
  <c r="B3" i="4" a="1"/>
  <c r="Z1" i="1"/>
  <c r="AA3" i="1" a="1"/>
  <c r="AB3" i="1" s="1" a="1"/>
  <c r="AD3" i="1" a="1"/>
  <c r="AE3" i="1" s="1" a="1"/>
  <c r="J3" i="1"/>
  <c r="V5" i="1"/>
  <c r="X5" i="1" s="1"/>
  <c r="V4" i="1"/>
  <c r="X4" i="1" s="1"/>
  <c r="T9" i="1"/>
  <c r="V9" i="1" s="1"/>
  <c r="X9" i="1" s="1"/>
  <c r="I3" i="1" l="1"/>
  <c r="I4" i="1" s="1"/>
  <c r="X2" i="1"/>
  <c r="I5" i="1" l="1"/>
  <c r="P4" i="1"/>
  <c r="Q4" i="1" s="1"/>
  <c r="M3" i="1"/>
  <c r="L3" i="1"/>
  <c r="K3" i="1"/>
  <c r="K2" i="1"/>
  <c r="M2" i="1"/>
  <c r="L2" i="1"/>
  <c r="P3" i="1" l="1"/>
  <c r="Q3" i="1" s="1"/>
  <c r="I6" i="1"/>
  <c r="P5" i="1"/>
  <c r="Q5" i="1" s="1"/>
  <c r="I7" i="1" l="1"/>
  <c r="P6" i="1"/>
  <c r="Q6" i="1" s="1"/>
  <c r="I8" i="1" l="1"/>
  <c r="P7" i="1"/>
  <c r="Q7" i="1" s="1"/>
  <c r="I9" i="1" l="1"/>
  <c r="P8" i="1"/>
  <c r="Q8" i="1" s="1"/>
  <c r="I10" i="1" l="1"/>
  <c r="P9" i="1"/>
  <c r="Q9" i="1" s="1"/>
  <c r="I11" i="1" l="1"/>
  <c r="P10" i="1"/>
  <c r="Q10" i="1" s="1"/>
  <c r="I12" i="1" l="1"/>
  <c r="P11" i="1"/>
  <c r="Q11" i="1" s="1"/>
  <c r="I13" i="1" l="1"/>
  <c r="P12" i="1"/>
  <c r="Q12" i="1" s="1"/>
  <c r="I14" i="1" l="1"/>
  <c r="P13" i="1"/>
  <c r="Q13" i="1" s="1"/>
  <c r="I15" i="1" l="1"/>
  <c r="P14" i="1"/>
  <c r="Q14" i="1" s="1"/>
  <c r="I16" i="1" l="1"/>
  <c r="P15" i="1"/>
  <c r="Q15" i="1" s="1"/>
  <c r="I17" i="1" l="1"/>
  <c r="P16" i="1"/>
  <c r="Q16" i="1" s="1"/>
  <c r="I18" i="1" l="1"/>
  <c r="P17" i="1"/>
  <c r="Q17" i="1" s="1"/>
  <c r="I19" i="1" l="1"/>
  <c r="P18" i="1"/>
  <c r="Q18" i="1" s="1"/>
  <c r="P19" i="1" l="1"/>
  <c r="Q19" i="1" s="1"/>
  <c r="I20" i="1"/>
  <c r="I21" i="1" l="1"/>
  <c r="P20" i="1"/>
  <c r="Q20" i="1" s="1"/>
  <c r="I22" i="1" l="1"/>
  <c r="P21" i="1"/>
  <c r="Q21" i="1" s="1"/>
  <c r="I23" i="1" l="1"/>
  <c r="P22" i="1"/>
  <c r="Q22" i="1" s="1"/>
  <c r="I24" i="1" l="1"/>
  <c r="P23" i="1"/>
  <c r="Q23" i="1" s="1"/>
  <c r="I25" i="1" l="1"/>
  <c r="P24" i="1"/>
  <c r="Q24" i="1" s="1"/>
  <c r="I26" i="1" l="1"/>
  <c r="P25" i="1"/>
  <c r="Q25" i="1" s="1"/>
  <c r="I27" i="1" l="1"/>
  <c r="P26" i="1"/>
  <c r="Q26" i="1" s="1"/>
  <c r="I28" i="1" l="1"/>
  <c r="P27" i="1"/>
  <c r="Q27" i="1" s="1"/>
  <c r="I29" i="1" l="1"/>
  <c r="P28" i="1"/>
  <c r="Q28" i="1" s="1"/>
  <c r="P29" i="1" l="1"/>
  <c r="Q29" i="1" s="1"/>
  <c r="T7" i="1" l="1"/>
  <c r="T6" i="1"/>
  <c r="V6" i="1" s="1"/>
  <c r="T8" i="1" l="1"/>
  <c r="T2" i="1" s="1"/>
  <c r="V7" i="1"/>
  <c r="V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6" authorId="0" shapeId="0" xr:uid="{0A40C8A5-834F-43B9-A218-3D952E370DE1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  <comment ref="T7" authorId="0" shapeId="0" xr:uid="{CA241A28-8BFE-40B7-95B4-A91D91BF9FB7}">
      <text>
        <r>
          <rPr>
            <sz val="11"/>
            <color rgb="FF000000"/>
            <rFont val="Calibri"/>
            <family val="2"/>
            <charset val="1"/>
          </rPr>
          <t>Cabeçalho do mnemônicos.
Primeira célula desse cabeçalho.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<sst xmlns="http://schemas.openxmlformats.org/spreadsheetml/2006/main" count="238" uniqueCount="148">
  <si>
    <t>→</t>
  </si>
  <si>
    <t>ORGANIZAÇÃO</t>
  </si>
  <si>
    <t>@NRALTESITUFUNC@</t>
  </si>
  <si>
    <t>@NRVINCULOM@</t>
  </si>
  <si>
    <t>@NRSITUFUNCM@</t>
  </si>
  <si>
    <t>@DTINISITUFUNC@</t>
  </si>
  <si>
    <t>@DTFIMSITUFUNC@</t>
  </si>
  <si>
    <t>Script</t>
  </si>
  <si>
    <t>Saída</t>
  </si>
  <si>
    <t>--Busca de PK’s livres</t>
  </si>
  <si>
    <t>--Validações de PK</t>
  </si>
  <si>
    <t>Atualiza Novo Código</t>
  </si>
  <si>
    <t>Verificação de  FK</t>
  </si>
  <si>
    <t>Nr Vinculo</t>
  </si>
  <si>
    <t>Sit. Funcional</t>
  </si>
  <si>
    <t>Data Inicio</t>
  </si>
  <si>
    <t>Data Fim</t>
  </si>
  <si>
    <r>
      <t xml:space="preserve">Vínculo
</t>
    </r>
    <r>
      <rPr>
        <i/>
        <sz val="8"/>
        <color rgb="FFFF0000"/>
        <rFont val="Calibri"/>
        <family val="2"/>
        <scheme val="minor"/>
      </rPr>
      <t>Tratado como cdmatricula string</t>
    </r>
  </si>
  <si>
    <t>/*Atualiza ou cria o novocodigo*/</t>
  </si>
  <si>
    <t>COMMIT;</t>
  </si>
  <si>
    <t>Vínculo existente?</t>
  </si>
  <si>
    <t>Vinculo(s) não encontrado(s) no sistema / planilha 04_Vinculo:</t>
  </si>
  <si>
    <t>Situação funcional existe?</t>
  </si>
  <si>
    <t>Situação(ões) funcional(is) não encontrada(s) no sistema:</t>
  </si>
  <si>
    <t>Mnemônico</t>
  </si>
  <si>
    <t>Tabela</t>
  </si>
  <si>
    <t>GPE_ALTESITUFUNC</t>
  </si>
  <si>
    <t>PK</t>
  </si>
  <si>
    <t>NRALTESITUFUNC</t>
  </si>
  <si>
    <t>Inicio PK</t>
  </si>
  <si>
    <t>Fim PK</t>
  </si>
  <si>
    <t>Quantidade</t>
  </si>
  <si>
    <t>Organização</t>
  </si>
  <si>
    <t>CDMATRICULA</t>
  </si>
  <si>
    <t>NRVINCULOM</t>
  </si>
  <si>
    <t>DTADMISSAOVINC</t>
  </si>
  <si>
    <t>DTRESCISAOVINC</t>
  </si>
  <si>
    <t>SELECT
  VM.CDMATRICULA,
  VM.NRVINCULOM,
  VM.DTADMISSAOVINC,
  VM.DTRESCISAOVINC
FROM GPE_VINCULOM VM
JOIN GPE_VINCULOH VH ON VH.NRORG          = VM.NRORG
                    AND VH.NRVINCULOM     = VM.NRVINCULOM
                    AND VH.DTMESCOMPETENC = ( SELECT MAX(DTMESCOMPETENC) FROM GPE_VINCULOH
                                               WHERE NRORG           = VH.NRORG
                                                 AND NRVINCULOM      = VH.NRVINCULOM
                                                 AND DTMESCOMPETENC &lt;= :P_DTMESCOMPETENC )
WHERE VM.NRORG = :P_NRORG
ORDER BY TO_NUMBER( VM.CDMATRICULA );</t>
  </si>
  <si>
    <t>NRSITUFUNCM</t>
  </si>
  <si>
    <t>SELECT
  SFH.NRSITUFUNCM
FROM GPE_SITUFUNCM SFM
JOIN GPE_SITUFUNCH SFH ON SFH.NRORG       = SFM.NRORG
                      AND SFH.NRSITUFUNCM = SFM.NRSITUFUNCM
                      AND SFH.DTEFETIVA   = ( SELECT MAX(DTEFETIVA) FROM GPE_SITUFUNCH
                                              WHERE NRORG       = SFH.NRORG
                                                AND NRSITUFUNCM = SFM.NRSITUFUNCM
                                                AND DTEFETIVA  &lt;= LAST_DAY( :P_DTMESCOMPETENC ) )
WHERE SFM.NRORG IN ( 0, :P_NRORG )
ORDER BY SFH.NRSITUFUNCM;</t>
  </si>
  <si>
    <t>Protótipo 2 - 07/10/2022</t>
  </si>
  <si>
    <t>texto</t>
  </si>
  <si>
    <t>Nome da função</t>
  </si>
  <si>
    <t>Fórmula lambda</t>
  </si>
  <si>
    <t>Versão</t>
  </si>
  <si>
    <t>Criada</t>
  </si>
  <si>
    <t>Descrição</t>
  </si>
  <si>
    <t>Planilhas:</t>
  </si>
  <si>
    <t>AUX_TROCAR</t>
  </si>
  <si>
    <t>Função auxiliar para trocar caracters especiais</t>
  </si>
  <si>
    <t>Dados</t>
  </si>
  <si>
    <t>MIG_REMOVE.ESPECIAL</t>
  </si>
  <si>
    <t>Remove caracteres especiais. Utiliza a função AUX.TROCAR</t>
  </si>
  <si>
    <t>MIG_GERA.SCRIPT</t>
  </si>
  <si>
    <t>Gera um script substituíndo um texto (script) com mnemônicos de um array por valores de outro array de valores.</t>
  </si>
  <si>
    <t>Base</t>
  </si>
  <si>
    <t>protótipo</t>
  </si>
  <si>
    <t>MIG_NORMA.DATA</t>
  </si>
  <si>
    <t>Normaliza um valor para data</t>
  </si>
  <si>
    <t>MIG_NORMA.TEXTO</t>
  </si>
  <si>
    <t>Normaliza um valor de texto. Remove espaçoes em branco, caracteres especiais e torna o texto maiúsculo.</t>
  </si>
  <si>
    <t>MIG_NORMA.DECIMAL</t>
  </si>
  <si>
    <t>Normaliza um número para ser inserido no banco de dados</t>
  </si>
  <si>
    <t>MIG_NORMA.NÚMERICO</t>
  </si>
  <si>
    <t>Retorna apenas os números de um texto</t>
  </si>
  <si>
    <t>MIG_QRY.CHAVES</t>
  </si>
  <si>
    <t>!      043.190.156-22</t>
  </si>
  <si>
    <t>MESC_DTINI</t>
  </si>
  <si>
    <t>DTINISITUFUNC</t>
  </si>
  <si>
    <t>DTFIMSITUFUNC</t>
  </si>
  <si>
    <t>SELECT
  ASF.NRALTESITUFUNC,
  ASF.NRVINCULOM || TO_CHAR( ASF.DTINISITUFUNC, 'DDMMYYYY' ) || ASF.NRSITUFUNCM MESC_DTINI,
  --ASF.NRVINCULOM || TO_CHAR( ASF.DTINISITUFUNC, 'DDMMYYYY' ) || TO_CHAR( ASF.DTFIMSITUFUNC, 'DDMMYYYY' ) || ASF.NRSITUFUNCM MESC_DTFIM,
  ASF.NRVINCULOM,
  ASF.DTINISITUFUNC,
  ASF.DTFIMSITUFUNC,
  ASF.NRSITUFUNCM
FROM GPE_ALTESITUFUNC ASF
JOIN GPE_VINCULOH VH ON VH.NRORG          = ASF.NRORG
                    AND VH.NRVINCULOM     = ASF.NRVINCULOM
                    AND VH.DTMESCOMPETENC = ( SELECT MAX(DTMESCOMPETENC)
                                              FROM GPE_VINCULOH
                                              WHERE NRORG          = ASF.NRORG
                                                AND NRVINCULOM     = ASF.NRVINCULOM
                                                AND DTMESCOMPETENC &lt;= '01/10/2022' ) --!!!!!
WHERE ASF.NRORG = 3260 --!!!!!
ORDER BY ASF.NRVINCULOM, ASF.DTINISITUFUNC, ASF.NRSITUFUNCM;</t>
  </si>
  <si>
    <t>13</t>
  </si>
  <si>
    <t>100006</t>
  </si>
  <si>
    <t>CDTABECDI</t>
  </si>
  <si>
    <t>CDDIAGNOST</t>
  </si>
  <si>
    <t>@CDTABECDI@</t>
  </si>
  <si>
    <t>@CDDIAGNOST@</t>
  </si>
  <si>
    <t>1_16</t>
  </si>
  <si>
    <t>1_22</t>
  </si>
  <si>
    <t>1_28</t>
  </si>
  <si>
    <t>1_36</t>
  </si>
  <si>
    <t>1_41</t>
  </si>
  <si>
    <t>1_49</t>
  </si>
  <si>
    <t>1_54</t>
  </si>
  <si>
    <t>1_60</t>
  </si>
  <si>
    <t>1_62</t>
  </si>
  <si>
    <t>1_64</t>
  </si>
  <si>
    <t>1_74</t>
  </si>
  <si>
    <t>1_77</t>
  </si>
  <si>
    <t>10/12/2025</t>
  </si>
  <si>
    <t>13/12/2025</t>
  </si>
  <si>
    <t>CID10</t>
  </si>
  <si>
    <t>M510</t>
  </si>
  <si>
    <t>25/02/2026</t>
  </si>
  <si>
    <t>28/02/2026</t>
  </si>
  <si>
    <t>S10</t>
  </si>
  <si>
    <t>09/10/2025</t>
  </si>
  <si>
    <t>10/10/2025</t>
  </si>
  <si>
    <t>J069</t>
  </si>
  <si>
    <t>09/03/2026</t>
  </si>
  <si>
    <t>11/03/2026</t>
  </si>
  <si>
    <t>08/10/2025</t>
  </si>
  <si>
    <t>J00</t>
  </si>
  <si>
    <t>11/10/2025</t>
  </si>
  <si>
    <t>06/10/2025</t>
  </si>
  <si>
    <t>07/10/2025</t>
  </si>
  <si>
    <t>10/03/2026</t>
  </si>
  <si>
    <t>J06</t>
  </si>
  <si>
    <t>02/10/2025</t>
  </si>
  <si>
    <t>03/10/2025</t>
  </si>
  <si>
    <t>26/02/2026</t>
  </si>
  <si>
    <t>27/02/2026</t>
  </si>
  <si>
    <t>G442</t>
  </si>
  <si>
    <t>19/03/2026</t>
  </si>
  <si>
    <t>21/03/2026</t>
  </si>
  <si>
    <t>K529</t>
  </si>
  <si>
    <t>03/11/2025</t>
  </si>
  <si>
    <t>04/11/2025</t>
  </si>
  <si>
    <t>A09</t>
  </si>
  <si>
    <t>25/11/2025</t>
  </si>
  <si>
    <t>27/11/2025</t>
  </si>
  <si>
    <t>N39</t>
  </si>
  <si>
    <t>09/12/2025</t>
  </si>
  <si>
    <t>11/12/2025</t>
  </si>
  <si>
    <t>N20</t>
  </si>
  <si>
    <t>27/12/2025</t>
  </si>
  <si>
    <t>29/10/2025</t>
  </si>
  <si>
    <t>30/10/2025</t>
  </si>
  <si>
    <t>M545</t>
  </si>
  <si>
    <t>11/02/2026</t>
  </si>
  <si>
    <t>14/02/2026</t>
  </si>
  <si>
    <t>22/12/2025</t>
  </si>
  <si>
    <t>H10</t>
  </si>
  <si>
    <t>12/03/2026</t>
  </si>
  <si>
    <t>14/03/2026</t>
  </si>
  <si>
    <t>F32</t>
  </si>
  <si>
    <t>23/03/2026</t>
  </si>
  <si>
    <t>30/03/2026</t>
  </si>
  <si>
    <t>F41</t>
  </si>
  <si>
    <t>25/10/2025</t>
  </si>
  <si>
    <t>28/11/2025</t>
  </si>
  <si>
    <t>17/11/2025</t>
  </si>
  <si>
    <t>18/11/2025</t>
  </si>
  <si>
    <t>05/12/2025</t>
  </si>
  <si>
    <t>06/12/2025</t>
  </si>
  <si>
    <t>Z010</t>
  </si>
  <si>
    <t>INSERT INTO GPE_ALTESITUFUNC ( NRALTESITUFUNC, NRORG, NRSITUFUNCM, NRVINCULOM, DTINISITUFUNC, DTFIMSITUFUNC, CDTABECDI, CDDIAGNOST, DTINCLUSAO, NRORGINCLUSAO, CDOPERINCLUSAO ) VALUES ( @NRALTESITUFUNC@, @NRORG@, @NRSITUFUNCM@, ( SELECT /*MAX(*/ NRVINCULOM /*)*/ FROM GPE_VINCULOM WHERE NRORG = @NRORG@ AND CDMATRICULA = '@NRVINCULOM@' ), '@DTINISITUFUNC@', '@DTFIMSITUFUNC@', '@CDTABECDI@', '@CDDIAGNOST@', SYSDATE, @NRORG@, '000000099991' ); COMMIT;</t>
  </si>
  <si>
    <t>Matriculas Duplicadas!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</si>
</sst>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FF0000"/>
      <name val="Calibri"/>
      <family val="2"/>
      <scheme val="minor"/>
    </font>
    <font>
      <b/>
      <sz val="8"/>
      <color theme="9"/>
      <name val="Calibri"/>
      <family val="2"/>
      <scheme val="minor"/>
    </font>
    <font>
      <b/>
      <sz val="8"/>
      <color theme="8"/>
      <name val="Calibri"/>
      <family val="2"/>
      <scheme val="minor"/>
    </font>
    <font>
      <sz val="9"/>
      <color rgb="FF000000"/>
      <name val="Calibri Light"/>
      <family val="2"/>
      <charset val="1"/>
    </font>
    <font>
      <b/>
      <sz val="9"/>
      <color rgb="FF000000"/>
      <name val="Calibri Light"/>
      <family val="2"/>
      <charset val="1"/>
    </font>
    <font>
      <sz val="8"/>
      <name val="Calibri Light"/>
      <family val="2"/>
      <charset val="1"/>
    </font>
    <font>
      <b/>
      <sz val="9"/>
      <color rgb="FF000000"/>
      <name val="Calibri Light"/>
      <family val="2"/>
    </font>
    <font>
      <sz val="9"/>
      <name val="Calibri Light"/>
      <family val="2"/>
      <charset val="1"/>
    </font>
    <font>
      <sz val="11"/>
      <color rgb="FF000000"/>
      <name val="Calibri"/>
      <family val="2"/>
      <charset val="1"/>
    </font>
    <font>
      <i/>
      <sz val="8"/>
      <name val="Calibri Light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2"/>
        <bgColor rgb="FFFFFFD7"/>
      </patternFill>
    </fill>
    <fill>
      <patternFill patternType="solid">
        <fgColor theme="2"/>
        <bgColor rgb="FFFFFFFF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8">
    <xf numFmtId="0" fontId="0" fillId="0" borderId="0"/>
    <xf numFmtId="43" fontId="15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6" borderId="0" applyNumberFormat="0" applyBorder="0" applyAlignment="0" applyProtection="0"/>
    <xf numFmtId="0" fontId="22" fillId="0" borderId="0"/>
  </cellStyleXfs>
  <cellXfs count="51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8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0" fontId="7" fillId="2" borderId="0" xfId="0" quotePrefix="1" applyFont="1" applyFill="1" applyAlignment="1">
      <alignment horizontal="center" vertical="center"/>
    </xf>
    <xf numFmtId="0" fontId="6" fillId="2" borderId="0" xfId="0" quotePrefix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4" borderId="0" xfId="0" quotePrefix="1" applyFont="1" applyFill="1" applyAlignment="1">
      <alignment horizontal="left" vertical="center"/>
    </xf>
    <xf numFmtId="0" fontId="10" fillId="4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22" fontId="0" fillId="0" borderId="0" xfId="0" applyNumberFormat="1"/>
    <xf numFmtId="0" fontId="0" fillId="0" borderId="0" xfId="1" applyNumberFormat="1" applyFont="1"/>
    <xf numFmtId="3" fontId="0" fillId="0" borderId="0" xfId="0" applyNumberFormat="1"/>
    <xf numFmtId="49" fontId="0" fillId="0" borderId="0" xfId="0" applyNumberFormat="1"/>
    <xf numFmtId="0" fontId="5" fillId="0" borderId="0" xfId="0" applyFont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1" fillId="7" borderId="0" xfId="0" applyFont="1" applyFill="1"/>
    <xf numFmtId="0" fontId="4" fillId="7" borderId="0" xfId="0" applyFont="1" applyFill="1" applyAlignment="1">
      <alignment horizontal="left" vertical="top" wrapText="1"/>
    </xf>
    <xf numFmtId="0" fontId="18" fillId="0" borderId="1" xfId="4"/>
    <xf numFmtId="0" fontId="19" fillId="0" borderId="2" xfId="5" applyFill="1"/>
    <xf numFmtId="0" fontId="20" fillId="6" borderId="0" xfId="6"/>
    <xf numFmtId="16" fontId="0" fillId="0" borderId="0" xfId="0" applyNumberFormat="1"/>
    <xf numFmtId="4" fontId="0" fillId="0" borderId="0" xfId="0" quotePrefix="1" applyNumberFormat="1"/>
    <xf numFmtId="0" fontId="23" fillId="8" borderId="0" xfId="0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wrapText="1"/>
    </xf>
    <xf numFmtId="0" fontId="1" fillId="9" borderId="0" xfId="0" applyFont="1" applyFill="1"/>
    <xf numFmtId="0" fontId="0" fillId="9" borderId="0" xfId="0" applyFill="1"/>
    <xf numFmtId="0" fontId="10" fillId="10" borderId="0" xfId="0" applyFont="1" applyFill="1" applyAlignment="1">
      <alignment vertical="top" wrapText="1"/>
    </xf>
    <xf numFmtId="0" fontId="2" fillId="9" borderId="0" xfId="0" applyFont="1" applyFill="1" applyAlignment="1">
      <alignment horizontal="center"/>
    </xf>
    <xf numFmtId="0" fontId="1" fillId="9" borderId="0" xfId="0" applyFont="1" applyFill="1" applyAlignment="1">
      <alignment horizontal="left" vertical="top" wrapText="1"/>
    </xf>
    <xf numFmtId="49" fontId="0" fillId="8" borderId="0" xfId="0" applyNumberFormat="1" applyFill="1"/>
    <xf numFmtId="49" fontId="1" fillId="11" borderId="0" xfId="0" applyNumberFormat="1" applyFont="1" applyFill="1" applyAlignment="1">
      <alignment wrapText="1"/>
    </xf>
    <xf numFmtId="49" fontId="21" fillId="0" borderId="0" xfId="0" applyNumberFormat="1" applyFont="1"/>
    <xf numFmtId="0" fontId="9" fillId="10" borderId="0" xfId="0" quotePrefix="1" applyFont="1" applyFill="1" applyAlignment="1">
      <alignment horizontal="center" vertical="center" wrapText="1"/>
    </xf>
    <xf numFmtId="0" fontId="21" fillId="0" borderId="0" xfId="0" applyFont="1"/>
    <xf numFmtId="0" fontId="0" fillId="12" borderId="0" xfId="0" applyFill="1" applyAlignment="1">
      <alignment wrapText="1"/>
    </xf>
    <xf numFmtId="0" fontId="0" fillId="12" borderId="0" xfId="0" applyFill="1"/>
    <xf numFmtId="0" fontId="17" fillId="0" borderId="0" xfId="3" applyAlignment="1">
      <alignment horizontal="center"/>
    </xf>
  </cellXfs>
  <cellStyles count="8">
    <cellStyle name="Neutro" xfId="6" builtinId="28"/>
    <cellStyle name="Normal" xfId="0" builtinId="0"/>
    <cellStyle name="Normal 2" xfId="2" xr:uid="{1E654608-C614-48D5-AFE4-C45D18FDF70C}"/>
    <cellStyle name="Normal 3" xfId="7" xr:uid="{6FFF2B13-E4C9-4832-94A2-9ED28C2147D5}"/>
    <cellStyle name="Título" xfId="3" builtinId="15"/>
    <cellStyle name="Título 1" xfId="4" builtinId="16"/>
    <cellStyle name="Título 2" xfId="5" builtinId="17"/>
    <cellStyle name="Vírgula" xfId="1" builtinId="3"/>
  </cellStyles>
  <dxfs count="0"/>
  <tableStyles count="0" defaultTableStyle="TableStyleMedium2" defaultPivotStyle="PivotStyleLight16"/>
  <colors>
    <mruColors>
      <color rgb="FFFF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E8E4-DB23-491B-9CBA-B675A7945174}">
  <dimension ref="A1:AE29"/>
  <sheetViews>
    <sheetView tabSelected="1" zoomScaleNormal="100" workbookViewId="0">
      <pane xSplit="1" ySplit="2" topLeftCell="M3" activePane="bottomRight" state="frozen"/>
      <selection pane="topRight" activeCell="B1" sqref="B1"/>
      <selection pane="bottomLeft" activeCell="A3" sqref="A3"/>
      <selection pane="bottomRight" activeCell="T2" sqref="T2"/>
    </sheetView>
  </sheetViews>
  <sheetFormatPr defaultRowHeight="14.4" x14ac:dyDescent="0.3"/>
  <cols>
    <col min="1" max="1" width="12.5546875" bestFit="1" customWidth="1"/>
    <col min="2" max="2" width="15.109375" bestFit="1" customWidth="1"/>
    <col min="3" max="3" width="12.5546875" bestFit="1" customWidth="1"/>
    <col min="4" max="4" width="17.6640625" customWidth="1"/>
    <col min="5" max="6" width="17.6640625" style="24" customWidth="1"/>
    <col min="7" max="7" width="11" customWidth="1"/>
    <col min="8" max="8" width="10.88671875" bestFit="1" customWidth="1"/>
    <col min="9" max="9" width="15.44140625" bestFit="1" customWidth="1"/>
    <col min="10" max="10" width="13.33203125" bestFit="1" customWidth="1"/>
    <col min="11" max="11" width="13.6640625" bestFit="1" customWidth="1"/>
    <col min="12" max="12" width="14" bestFit="1" customWidth="1"/>
    <col min="13" max="13" width="14.6640625" bestFit="1" customWidth="1"/>
    <col min="14" max="15" width="14.6640625" customWidth="1"/>
    <col min="16" max="16" width="70.6640625" customWidth="1"/>
    <col min="17" max="17" width="70.6640625" style="39" customWidth="1"/>
    <col min="19" max="19" width="11.33203125" bestFit="1" customWidth="1"/>
    <col min="20" max="20" width="40.6640625" customWidth="1"/>
    <col min="21" max="21" width="11.33203125" bestFit="1" customWidth="1"/>
    <col min="22" max="22" width="25.6640625" customWidth="1"/>
    <col min="23" max="23" width="11.33203125" bestFit="1" customWidth="1"/>
    <col min="24" max="24" width="50.6640625" customWidth="1"/>
    <col min="25" max="25" width="7" bestFit="1" customWidth="1"/>
    <col min="26" max="26" width="7.109375" bestFit="1" customWidth="1"/>
    <col min="27" max="27" width="8.109375" style="27" bestFit="1" customWidth="1"/>
    <col min="28" max="28" width="20.6640625" style="38" customWidth="1"/>
    <col min="29" max="29" width="7.109375" bestFit="1" customWidth="1"/>
    <col min="30" max="30" width="8.109375" style="27" bestFit="1" customWidth="1"/>
    <col min="31" max="31" width="20.6640625" style="38" customWidth="1"/>
  </cols>
  <sheetData>
    <row r="1" spans="1:31" s="2" customFormat="1" x14ac:dyDescent="0.3">
      <c r="A1" s="10" t="s">
        <v>0</v>
      </c>
      <c r="B1" s="10" t="s">
        <v>0</v>
      </c>
      <c r="C1" s="10" t="s">
        <v>0</v>
      </c>
      <c r="D1" s="10" t="s">
        <v>0</v>
      </c>
      <c r="E1" s="10" t="s">
        <v>0</v>
      </c>
      <c r="F1" s="10" t="s">
        <v>0</v>
      </c>
      <c r="G1"/>
      <c r="H1" s="5" t="s">
        <v>1</v>
      </c>
      <c r="I1" s="11" t="s">
        <v>2</v>
      </c>
      <c r="J1" s="12" t="s">
        <v>3</v>
      </c>
      <c r="K1" s="12" t="s">
        <v>4</v>
      </c>
      <c r="L1" s="13" t="s">
        <v>5</v>
      </c>
      <c r="M1" s="13" t="s">
        <v>6</v>
      </c>
      <c r="N1" s="13" t="s">
        <v>75</v>
      </c>
      <c r="O1" s="13" t="s">
        <v>76</v>
      </c>
      <c r="P1" s="10" t="s">
        <v>7</v>
      </c>
      <c r="Q1" s="36" t="s">
        <v>8</v>
      </c>
      <c r="S1" s="4"/>
      <c r="T1" s="46" t="s">
        <v>9</v>
      </c>
      <c r="U1"/>
      <c r="V1" s="46" t="s">
        <v>10</v>
      </c>
      <c r="W1"/>
      <c r="X1" s="14" t="s">
        <v>11</v>
      </c>
      <c r="Z1" s="25" t="str">
        <f>"A3:A" &amp; COUNTA( A:A )</f>
        <v>A3:A29</v>
      </c>
      <c r="AA1" s="26"/>
      <c r="AB1" s="41" t="s">
        <v>12</v>
      </c>
      <c r="AC1" s="25" t="str">
        <f>"B3:B" &amp; COUNTA( B:B )</f>
        <v>B3:B29</v>
      </c>
      <c r="AD1" s="26"/>
      <c r="AE1" s="41" t="s">
        <v>12</v>
      </c>
    </row>
    <row r="2" spans="1:31" ht="122.4" x14ac:dyDescent="0.3">
      <c r="A2" t="s">
        <v>13</v>
      </c>
      <c r="B2" t="s">
        <v>14</v>
      </c>
      <c r="C2" s="1" t="s">
        <v>15</v>
      </c>
      <c r="D2" s="1" t="s">
        <v>16</v>
      </c>
      <c r="E2" s="1" t="s">
        <v>73</v>
      </c>
      <c r="F2" s="1" t="s">
        <v>74</v>
      </c>
      <c r="H2" s="34">
        <v>5746</v>
      </c>
      <c r="I2" s="35">
        <v>6291</v>
      </c>
      <c r="J2" s="6" t="s">
        <v>17</v>
      </c>
      <c r="K2" s="5" t="str">
        <f>B2</f>
        <v>Sit. Funcional</v>
      </c>
      <c r="L2" s="7" t="str">
        <f>C2</f>
        <v>Data Inicio</v>
      </c>
      <c r="M2" s="7" t="str">
        <f>D2</f>
        <v>Data Fim</v>
      </c>
      <c r="N2" s="7" t="s">
        <v>73</v>
      </c>
      <c r="O2" s="7" t="s">
        <v>74</v>
      </c>
      <c r="P2" s="8" t="s">
        <v>146</v>
      </c>
      <c r="Q2" s="37"/>
      <c r="S2" s="4"/>
      <c r="T2" s="40" t="str">
        <f ca="1">"/*"&amp;T4&amp;"*/
SELECT A + 1 A, B - 1 B, B - A - 1 LENGHT, (SELECT TO_NUMBER(NRSEQUENCIAL) FROM NOVOCODIGO WHERE NRORG = "&amp;T9&amp;" AND CDCONTADOR = '"&amp;T4&amp;"') NOVOCODIGO FROM (SELECT 0 A, MIN("&amp;T5&amp;") B FROM "&amp;T4&amp;" WHERE NRORG = "&amp;T9&amp;" UNION ALL SELECT "&amp;T5&amp;", LEAD("&amp;T5&amp;") OVER (ORDER BY "&amp;T5&amp;") FROM "&amp;T4&amp;" WHERE NRORG = "&amp;T9&amp;" ) WHERE B - A &gt; "&amp;T8&amp;" OR B IS NULL ORDER BY A;"</f>
        <v>/*GPE_ALTESITUFUNC*/
SELECT A + 1 A, B - 1 B, B - A - 1 LENGHT, (SELECT TO_NUMBER(NRSEQUENCIAL) FROM NOVOCODIGO WHERE NRORG = 5746 AND CDCONTADOR = 'GPE_ALTESITUFUNC') NOVOCODIGO FROM (SELECT 0 A, MIN(NRALTESITUFUNC) B FROM GPE_ALTESITUFUNC WHERE NRORG = 5746 UNION ALL SELECT NRALTESITUFUNC, LEAD(NRALTESITUFUNC) OVER (ORDER BY NRALTESITUFUNC) FROM GPE_ALTESITUFUNC WHERE NRORG = 5746 ) WHERE B - A &gt; 1 OR B IS NULL ORDER BY A;</v>
      </c>
      <c r="V2" s="40" t="str">
        <f ca="1">"SELECT DECODE(COUNT(1),0,'OK',COUNT(1)||' conflito(s)') STATUS, '"&amp;V4&amp;"' TABELA FROM "&amp;V4&amp;" WHERE NRORG = "&amp;V9&amp;" AND "&amp;V5&amp;" BETWEEN "&amp;V6&amp;" AND "&amp;V7&amp;"; /*UNION ALL*/"</f>
        <v>SELECT DECODE(COUNT(1),0,'OK',COUNT(1)||' conflito(s)') STATUS, 'GPE_ALTESITUFUNC' TABELA FROM GPE_ALTESITUFUNC WHERE NRORG = 5746 AND NRALTESITUFUNC BETWEEN 6291 AND 6291; /*UNION ALL*/</v>
      </c>
      <c r="W2" s="40" t="s">
        <v>18</v>
      </c>
      <c r="X2" s="40" t="str">
        <f t="shared" ref="X2" ca="1" si="0">"MERGE INTO NOVOCODIGO NC
  USING ( SELECT LPAD( MAX( "&amp;X5&amp;" ) + 1, 20, '0' ) NRSEQUENCIAL
          FROM "&amp;X4&amp;"
          WHERE NRORG = "&amp;X9&amp;"
        ) TABELA
  ON (     NC.NRORG      = "&amp;X9&amp;"
       AND NC.CDCONTADOR = '"&amp;X4&amp;"' )
  WHEN     MATCHED THEN
    UPDATE SET NC.NRSEQUENCIAL = TABELA.NRSEQUENCIAL
  WHEN NOT MATCHED THEN
    INSERT ( CDCONTADOR, NRSEQUENCIAL, NRORG, DTINCLUSAO )
    VALUES ( '"&amp;X4&amp;"', TABELA.NRSEQUENCIAL, "&amp;X9&amp;", SYSDATE );"</f>
        <v>MERGE INTO NOVOCODIGO NC
  USING ( SELECT LPAD( MAX( NRALTESITUFUNC ) + 1, 20, '0' ) NRSEQUENCIAL
          FROM GPE_ALTESITUFUNC
          WHERE NRORG = 5746
        ) TABELA
  ON (     NC.NRORG      = 5746
       AND NC.CDCONTADOR = 'GPE_ALTESITUFUNC' )
  WHEN     MATCHED THEN
    UPDATE SET NC.NRSEQUENCIAL = TABELA.NRSEQUENCIAL
  WHEN NOT MATCHED THEN
    INSERT ( CDCONTADOR, NRSEQUENCIAL, NRORG, DTINCLUSAO )
    VALUES ( 'GPE_ALTESITUFUNC', TABELA.NRSEQUENCIAL, 5746, SYSDATE );</v>
      </c>
      <c r="Y2" s="40" t="s">
        <v>19</v>
      </c>
      <c r="AA2" s="28" t="s">
        <v>20</v>
      </c>
      <c r="AB2" s="42" t="s">
        <v>21</v>
      </c>
      <c r="AD2" s="28" t="s">
        <v>22</v>
      </c>
      <c r="AE2" s="42" t="s">
        <v>23</v>
      </c>
    </row>
    <row r="3" spans="1:31" x14ac:dyDescent="0.3">
      <c r="A3" s="24" t="s">
        <v>77</v>
      </c>
      <c r="B3" s="24" t="s">
        <v>72</v>
      </c>
      <c r="C3" s="24" t="s">
        <v>89</v>
      </c>
      <c r="D3" s="24" t="s">
        <v>90</v>
      </c>
      <c r="E3" t="s">
        <v>91</v>
      </c>
      <c r="F3" t="s">
        <v>92</v>
      </c>
      <c r="H3" s="9"/>
      <c r="I3" s="9">
        <f ca="1">IF( AND( AA3 = "existe", AD3 = "existe" ), I2 + 1, I2 )</f>
        <v>6291</v>
      </c>
      <c r="J3" s="9" t="str">
        <f t="shared" ref="J3" si="1">A3</f>
        <v>1_16</v>
      </c>
      <c r="K3" s="9">
        <f t="shared" ref="K3" si="2">B3*1</f>
        <v>100006</v>
      </c>
      <c r="L3" s="9" t="str">
        <f>IF(TRIM(C3)="","",TEXT(TRIM(C3),"DD/MM/AAAA"))</f>
        <v>10/12/2025</v>
      </c>
      <c r="M3" s="9" t="str">
        <f>IF(TRIM(D3)="","",TEXT(TRIM(D3),"DD/MM/AAAA"))</f>
        <v>13/12/2025</v>
      </c>
      <c r="N3" s="9" t="str">
        <f>IF(TRIM(E3)="","",TRIM(E3))</f>
        <v>CID10</v>
      </c>
      <c r="O3" s="9" t="str">
        <f>IF(TRIM(F3)="","",TRIM(F3))</f>
        <v>M510</v>
      </c>
      <c r="P3" s="3" t="str">
        <f ca="1" xml:space="preserve"> SUBSTITUTE( SUBSTITUTE( SUBSTITUTE( SUBSTITUTE( SUBSTITUTE( SUBSTITUTE(SUBSTITUTE(SUBSTITUTE($P$2, "@NRORG@", $H$2 ), "@NRALTESITUFUNC@", $I3 ), "@NRSITUFUNCM@", $K3 ), "@NRVINCULOM@", $J3 ), "@DTINISITUFUNC@", $L3 ), "@DTFIMSITUFUNC@", $M3 ), "@CDTABECDI@", $N3 ), "@CDDIAGNOST@", $O3 )</f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'1_16' ), '10/12/2025', '13/12/2025', 'CID10', 'M510', SYSDATE, 5746, '000000099991' ); COMMIT;</v>
      </c>
      <c r="Q3" s="38" t="str">
        <f ca="1">IF( AND( AA3 = "existe", AD3 = "existe" ), P3, "" )</f>
        <v/>
      </c>
      <c r="S3" s="18" t="s">
        <v>24</v>
      </c>
      <c r="T3" s="15" t="s">
        <v>2</v>
      </c>
      <c r="U3" s="18"/>
      <c r="V3" s="19"/>
      <c r="W3" s="18"/>
      <c r="X3" s="19"/>
      <c r="AA3" s="27" t="str" cm="1">
        <f t="array" aca="1" ref="AA3:AA29" ca="1">IF( COUNTIF( Base!A:A, INDIRECT( Z1 ) ) = 1, "existe", "não" )</f>
        <v>não</v>
      </c>
      <c r="AB3" s="38" t="str" cm="1">
        <f t="array" aca="1" ref="AB3:AB14" ca="1">_xlfn._xlws.SORT( _xlfn.UNIQUE( IF(_xlfn.ANCHORARRAY( AA3) &lt;&gt; "existe", INDIRECT( Z1 ), "") ) )</f>
        <v>1_16</v>
      </c>
      <c r="AD3" s="27" t="str" cm="1">
        <f t="array" aca="1" ref="AD3:AD29" ca="1">IF( COUNTIF( Base!F:F, INDIRECT( AC1 ) ) = 1, "existe", "não" )</f>
        <v>não</v>
      </c>
      <c r="AE3" s="38" t="str" cm="1">
        <f t="array" aca="1" ref="AE3:AE4" ca="1">_xlfn._xlws.SORT( _xlfn.UNIQUE( IF(_xlfn.ANCHORARRAY( AD3) &lt;&gt; "existe", INDIRECT( AC1 ), "" ) ) )</f>
        <v>100006</v>
      </c>
    </row>
    <row r="4" spans="1:31" x14ac:dyDescent="0.3">
      <c r="A4" s="24" t="s">
        <v>77</v>
      </c>
      <c r="B4" s="24" t="s">
        <v>72</v>
      </c>
      <c r="C4" s="24" t="s">
        <v>93</v>
      </c>
      <c r="D4" s="24" t="s">
        <v>94</v>
      </c>
      <c r="E4" t="s">
        <v>91</v>
      </c>
      <c r="F4" t="s">
        <v>95</v>
      </c>
      <c r="H4" s="9"/>
      <c r="I4" s="9">
        <f t="shared" ref="I4:I19" ca="1" si="3">IF( AND( AA4 = "existe", AD4 = "existe" ), I3 + 1, I3 )</f>
        <v>6291</v>
      </c>
      <c r="J4" s="9" t="str">
        <f t="shared" ref="J4:J19" si="4">A4</f>
        <v>1_16</v>
      </c>
      <c r="K4" s="9">
        <f t="shared" ref="K4:K19" si="5">B4*1</f>
        <v>100006</v>
      </c>
      <c r="L4" s="9" t="str">
        <f t="shared" ref="L4:L19" si="6">IF(TRIM(C4)="","",TEXT(TRIM(C4),"DD/MM/AAAA"))</f>
        <v>25/02/2026</v>
      </c>
      <c r="M4" s="9" t="str">
        <f t="shared" ref="M4:M19" si="7">IF(TRIM(D4)="","",TEXT(TRIM(D4),"DD/MM/AAAA"))</f>
        <v>28/02/2026</v>
      </c>
      <c r="N4" s="9" t="str">
        <f t="shared" ref="N4:N19" si="8">IF(TRIM(E4)="","",TRIM(E4))</f>
        <v>CID10</v>
      </c>
      <c r="O4" s="9" t="str">
        <f t="shared" ref="O4:O19" si="9">IF(TRIM(F4)="","",TRIM(F4))</f>
        <v>S10</v>
      </c>
      <c r="P4" s="3" t="str">
        <f t="shared" ref="P4:P29" ca="1" si="10" xml:space="preserve"> SUBSTITUTE( SUBSTITUTE( SUBSTITUTE( SUBSTITUTE( SUBSTITUTE( SUBSTITUTE(SUBSTITUTE(SUBSTITUTE($P$2, "@NRORG@", $H$2 ), "@NRALTESITUFUNC@", $I4 ), "@NRSITUFUNCM@", $K4 ), "@NRVINCULOM@", $J4 ), "@DTINISITUFUNC@", $L4 ), "@DTFIMSITUFUNC@", $M4 ), "@CDTABECDI@", $N4 ), "@CDDIAGNOST@", $O4 )</f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'1_16' ), '25/02/2026', '28/02/2026', 'CID10', 'S10', SYSDATE, 5746, '000000099991' ); COMMIT;</v>
      </c>
      <c r="Q4" s="38" t="str">
        <f t="shared" ref="Q4:Q19" ca="1" si="11">IF( AND( AA4 = "existe", AD4 = "existe" ), P4, "" )</f>
        <v/>
      </c>
      <c r="S4" s="18" t="s">
        <v>25</v>
      </c>
      <c r="T4" s="16" t="s">
        <v>26</v>
      </c>
      <c r="U4" s="18" t="s">
        <v>25</v>
      </c>
      <c r="V4" s="19" t="str">
        <f>T4</f>
        <v>GPE_ALTESITUFUNC</v>
      </c>
      <c r="W4" s="18" t="s">
        <v>25</v>
      </c>
      <c r="X4" s="19" t="str">
        <f>V4</f>
        <v>GPE_ALTESITUFUNC</v>
      </c>
      <c r="AA4" s="27" t="str">
        <f ca="1"/>
        <v>não</v>
      </c>
      <c r="AB4" s="38" t="str">
        <f ca="1"/>
        <v>1_22</v>
      </c>
      <c r="AD4" s="27" t="str">
        <f ca="1"/>
        <v>não</v>
      </c>
      <c r="AE4" s="38" t="str">
        <f ca="1"/>
        <v>13</v>
      </c>
    </row>
    <row r="5" spans="1:31" x14ac:dyDescent="0.3">
      <c r="A5" s="24" t="s">
        <v>78</v>
      </c>
      <c r="B5" s="24" t="s">
        <v>72</v>
      </c>
      <c r="C5" s="24" t="s">
        <v>96</v>
      </c>
      <c r="D5" s="24" t="s">
        <v>97</v>
      </c>
      <c r="E5" t="s">
        <v>91</v>
      </c>
      <c r="F5" t="s">
        <v>98</v>
      </c>
      <c r="H5" s="9"/>
      <c r="I5" s="9">
        <f t="shared" ca="1" si="3"/>
        <v>6291</v>
      </c>
      <c r="J5" s="9" t="str">
        <f t="shared" si="4"/>
        <v>1_22</v>
      </c>
      <c r="K5" s="9">
        <f t="shared" si="5"/>
        <v>100006</v>
      </c>
      <c r="L5" s="9" t="str">
        <f t="shared" si="6"/>
        <v>09/10/2025</v>
      </c>
      <c r="M5" s="9" t="str">
        <f t="shared" si="7"/>
        <v>10/10/2025</v>
      </c>
      <c r="N5" s="9" t="str">
        <f t="shared" si="8"/>
        <v>CID10</v>
      </c>
      <c r="O5" s="9" t="str">
        <f t="shared" si="9"/>
        <v>J069</v>
      </c>
      <c r="P5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'1_22' ), '09/10/2025', '10/10/2025', 'CID10', 'J069', SYSDATE, 5746, '000000099991' ); COMMIT;</v>
      </c>
      <c r="Q5" s="38" t="str">
        <f t="shared" ca="1" si="11"/>
        <v/>
      </c>
      <c r="S5" s="18" t="s">
        <v>27</v>
      </c>
      <c r="T5" s="16" t="s">
        <v>28</v>
      </c>
      <c r="U5" s="18" t="s">
        <v>27</v>
      </c>
      <c r="V5" s="19" t="str">
        <f>T5</f>
        <v>NRALTESITUFUNC</v>
      </c>
      <c r="W5" s="18" t="s">
        <v>27</v>
      </c>
      <c r="X5" s="19" t="str">
        <f>V5</f>
        <v>NRALTESITUFUNC</v>
      </c>
      <c r="AA5" s="27" t="str">
        <f ca="1"/>
        <v>não</v>
      </c>
      <c r="AB5" s="38" t="str">
        <f ca="1"/>
        <v>1_28</v>
      </c>
      <c r="AD5" s="27" t="str">
        <f ca="1"/>
        <v>não</v>
      </c>
    </row>
    <row r="6" spans="1:31" x14ac:dyDescent="0.3">
      <c r="A6" s="24" t="s">
        <v>78</v>
      </c>
      <c r="B6" s="24" t="s">
        <v>72</v>
      </c>
      <c r="C6" s="24" t="s">
        <v>99</v>
      </c>
      <c r="D6" s="24" t="s">
        <v>100</v>
      </c>
      <c r="E6"/>
      <c r="F6"/>
      <c r="H6" s="9"/>
      <c r="I6" s="9">
        <f t="shared" ca="1" si="3"/>
        <v>6291</v>
      </c>
      <c r="J6" s="9" t="str">
        <f t="shared" si="4"/>
        <v>1_22</v>
      </c>
      <c r="K6" s="9">
        <f t="shared" si="5"/>
        <v>100006</v>
      </c>
      <c r="L6" s="9" t="str">
        <f t="shared" si="6"/>
        <v>09/03/2026</v>
      </c>
      <c r="M6" s="9" t="str">
        <f t="shared" si="7"/>
        <v>11/03/2026</v>
      </c>
      <c r="N6" s="9" t="str">
        <f t="shared" si="8"/>
        <v/>
      </c>
      <c r="O6" s="9" t="str">
        <f t="shared" si="9"/>
        <v/>
      </c>
      <c r="P6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'1_22' ), '09/03/2026', '11/03/2026', '', '', SYSDATE, 5746, '000000099991' ); COMMIT;</v>
      </c>
      <c r="Q6" s="38" t="str">
        <f t="shared" ca="1" si="11"/>
        <v/>
      </c>
      <c r="S6" s="18" t="s">
        <v>29</v>
      </c>
      <c r="T6" s="17">
        <f ca="1">MIN(OFFSET($A$1,2,MATCH(T$3,$1:$1,0)-1,1048574,1))</f>
        <v>6291</v>
      </c>
      <c r="U6" s="18" t="s">
        <v>29</v>
      </c>
      <c r="V6" s="19">
        <f ca="1">T6</f>
        <v>6291</v>
      </c>
      <c r="W6" s="18"/>
      <c r="X6" s="19"/>
      <c r="AA6" s="27" t="str">
        <f ca="1"/>
        <v>não</v>
      </c>
      <c r="AB6" s="38" t="str">
        <f ca="1"/>
        <v>1_36</v>
      </c>
      <c r="AD6" s="27" t="str">
        <f ca="1"/>
        <v>não</v>
      </c>
    </row>
    <row r="7" spans="1:31" x14ac:dyDescent="0.3">
      <c r="A7" s="24" t="s">
        <v>79</v>
      </c>
      <c r="B7" s="24" t="s">
        <v>72</v>
      </c>
      <c r="C7" s="24" t="s">
        <v>101</v>
      </c>
      <c r="D7" s="24" t="s">
        <v>96</v>
      </c>
      <c r="E7" t="s">
        <v>91</v>
      </c>
      <c r="F7" t="s">
        <v>102</v>
      </c>
      <c r="H7" s="9"/>
      <c r="I7" s="9">
        <f t="shared" ca="1" si="3"/>
        <v>6291</v>
      </c>
      <c r="J7" s="9" t="str">
        <f t="shared" si="4"/>
        <v>1_28</v>
      </c>
      <c r="K7" s="9">
        <f t="shared" si="5"/>
        <v>100006</v>
      </c>
      <c r="L7" s="9" t="str">
        <f t="shared" si="6"/>
        <v>08/10/2025</v>
      </c>
      <c r="M7" s="9" t="str">
        <f t="shared" si="7"/>
        <v>09/10/2025</v>
      </c>
      <c r="N7" s="9" t="str">
        <f t="shared" si="8"/>
        <v>CID10</v>
      </c>
      <c r="O7" s="9" t="str">
        <f t="shared" si="9"/>
        <v>J00</v>
      </c>
      <c r="P7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'1_28' ), '08/10/2025', '09/10/2025', 'CID10', 'J00', SYSDATE, 5746, '000000099991' ); COMMIT;</v>
      </c>
      <c r="Q7" s="38" t="str">
        <f t="shared" ca="1" si="11"/>
        <v/>
      </c>
      <c r="S7" s="18" t="s">
        <v>30</v>
      </c>
      <c r="T7" s="17">
        <f ca="1">MAX(OFFSET($A$1,2,MATCH(T$3,$1:$1,0)-1,1048574,1))</f>
        <v>6291</v>
      </c>
      <c r="U7" s="18" t="s">
        <v>30</v>
      </c>
      <c r="V7" s="19">
        <f ca="1">T7</f>
        <v>6291</v>
      </c>
      <c r="W7" s="18"/>
      <c r="X7" s="19"/>
      <c r="AA7" s="27" t="str">
        <f ca="1"/>
        <v>não</v>
      </c>
      <c r="AB7" s="38" t="str">
        <f ca="1"/>
        <v>1_41</v>
      </c>
      <c r="AD7" s="27" t="str">
        <f ca="1"/>
        <v>não</v>
      </c>
    </row>
    <row r="8" spans="1:31" x14ac:dyDescent="0.3">
      <c r="A8" s="24" t="s">
        <v>79</v>
      </c>
      <c r="B8" s="24" t="s">
        <v>72</v>
      </c>
      <c r="C8" s="24" t="s">
        <v>96</v>
      </c>
      <c r="D8" s="24" t="s">
        <v>103</v>
      </c>
      <c r="E8"/>
      <c r="F8"/>
      <c r="H8" s="9"/>
      <c r="I8" s="9">
        <f t="shared" ca="1" si="3"/>
        <v>6291</v>
      </c>
      <c r="J8" s="9" t="str">
        <f t="shared" si="4"/>
        <v>1_28</v>
      </c>
      <c r="K8" s="9">
        <f t="shared" si="5"/>
        <v>100006</v>
      </c>
      <c r="L8" s="9" t="str">
        <f t="shared" si="6"/>
        <v>09/10/2025</v>
      </c>
      <c r="M8" s="9" t="str">
        <f t="shared" si="7"/>
        <v>11/10/2025</v>
      </c>
      <c r="N8" s="9" t="str">
        <f t="shared" si="8"/>
        <v/>
      </c>
      <c r="O8" s="9" t="str">
        <f t="shared" si="9"/>
        <v/>
      </c>
      <c r="P8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'1_28' ), '09/10/2025', '11/10/2025', '', '', SYSDATE, 5746, '000000099991' ); COMMIT;</v>
      </c>
      <c r="Q8" s="38" t="str">
        <f t="shared" ca="1" si="11"/>
        <v/>
      </c>
      <c r="S8" s="18" t="s">
        <v>31</v>
      </c>
      <c r="T8" s="17">
        <f t="shared" ref="T8" ca="1" si="12">T7-T6+1</f>
        <v>1</v>
      </c>
      <c r="U8" s="18"/>
      <c r="V8" s="19"/>
      <c r="W8" s="18"/>
      <c r="X8" s="19"/>
      <c r="AA8" s="27" t="str">
        <f ca="1"/>
        <v>não</v>
      </c>
      <c r="AB8" s="38" t="str">
        <f ca="1"/>
        <v>1_49</v>
      </c>
      <c r="AD8" s="27" t="str">
        <f ca="1"/>
        <v>não</v>
      </c>
    </row>
    <row r="9" spans="1:31" x14ac:dyDescent="0.3">
      <c r="A9" s="24" t="s">
        <v>80</v>
      </c>
      <c r="B9" s="24" t="s">
        <v>72</v>
      </c>
      <c r="C9" s="24" t="s">
        <v>104</v>
      </c>
      <c r="D9" s="24" t="s">
        <v>105</v>
      </c>
      <c r="E9"/>
      <c r="F9"/>
      <c r="H9" s="9"/>
      <c r="I9" s="9">
        <f t="shared" ca="1" si="3"/>
        <v>6291</v>
      </c>
      <c r="J9" s="9" t="str">
        <f t="shared" si="4"/>
        <v>1_36</v>
      </c>
      <c r="K9" s="9">
        <f t="shared" si="5"/>
        <v>100006</v>
      </c>
      <c r="L9" s="9" t="str">
        <f t="shared" si="6"/>
        <v>06/10/2025</v>
      </c>
      <c r="M9" s="9" t="str">
        <f t="shared" si="7"/>
        <v>07/10/2025</v>
      </c>
      <c r="N9" s="9" t="str">
        <f t="shared" si="8"/>
        <v/>
      </c>
      <c r="O9" s="9" t="str">
        <f t="shared" si="9"/>
        <v/>
      </c>
      <c r="P9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'1_36' ), '06/10/2025', '07/10/2025', '', '', SYSDATE, 5746, '000000099991' ); COMMIT;</v>
      </c>
      <c r="Q9" s="38" t="str">
        <f t="shared" ca="1" si="11"/>
        <v/>
      </c>
      <c r="S9" s="18" t="s">
        <v>32</v>
      </c>
      <c r="T9" s="17">
        <f ca="1">OFFSET($A$1,1,MATCH(S9,$1:$1,0)-1)</f>
        <v>5746</v>
      </c>
      <c r="U9" s="18" t="s">
        <v>32</v>
      </c>
      <c r="V9" s="19">
        <f ca="1">T9</f>
        <v>5746</v>
      </c>
      <c r="W9" s="18" t="s">
        <v>32</v>
      </c>
      <c r="X9" s="19">
        <f ca="1">V9</f>
        <v>5746</v>
      </c>
      <c r="AA9" s="27" t="str">
        <f ca="1"/>
        <v>não</v>
      </c>
      <c r="AB9" s="38" t="str">
        <f ca="1"/>
        <v>1_54</v>
      </c>
      <c r="AD9" s="27" t="str">
        <f ca="1"/>
        <v>não</v>
      </c>
    </row>
    <row r="10" spans="1:31" x14ac:dyDescent="0.3">
      <c r="A10" s="24" t="s">
        <v>80</v>
      </c>
      <c r="B10" s="24" t="s">
        <v>72</v>
      </c>
      <c r="C10" s="24" t="s">
        <v>106</v>
      </c>
      <c r="D10" s="24" t="s">
        <v>100</v>
      </c>
      <c r="E10" t="s">
        <v>91</v>
      </c>
      <c r="F10" t="s">
        <v>107</v>
      </c>
      <c r="H10" s="9"/>
      <c r="I10" s="9">
        <f t="shared" ca="1" si="3"/>
        <v>6291</v>
      </c>
      <c r="J10" s="9" t="str">
        <f t="shared" si="4"/>
        <v>1_36</v>
      </c>
      <c r="K10" s="9">
        <f t="shared" si="5"/>
        <v>100006</v>
      </c>
      <c r="L10" s="9" t="str">
        <f t="shared" si="6"/>
        <v>10/03/2026</v>
      </c>
      <c r="M10" s="9" t="str">
        <f t="shared" si="7"/>
        <v>11/03/2026</v>
      </c>
      <c r="N10" s="9" t="str">
        <f t="shared" si="8"/>
        <v>CID10</v>
      </c>
      <c r="O10" s="9" t="str">
        <f t="shared" si="9"/>
        <v>J06</v>
      </c>
      <c r="P10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'1_36' ), '10/03/2026', '11/03/2026', 'CID10', 'J06', SYSDATE, 5746, '000000099991' ); COMMIT;</v>
      </c>
      <c r="Q10" s="38" t="str">
        <f t="shared" ca="1" si="11"/>
        <v/>
      </c>
      <c r="AA10" s="27" t="str">
        <f ca="1"/>
        <v>não</v>
      </c>
      <c r="AB10" s="38" t="str">
        <f ca="1"/>
        <v>1_60</v>
      </c>
      <c r="AD10" s="27" t="str">
        <f ca="1"/>
        <v>não</v>
      </c>
    </row>
    <row r="11" spans="1:31" x14ac:dyDescent="0.3">
      <c r="A11" s="24" t="s">
        <v>81</v>
      </c>
      <c r="B11" s="24" t="s">
        <v>72</v>
      </c>
      <c r="C11" s="24" t="s">
        <v>108</v>
      </c>
      <c r="D11" s="24" t="s">
        <v>109</v>
      </c>
      <c r="E11"/>
      <c r="F11"/>
      <c r="H11" s="9"/>
      <c r="I11" s="9">
        <f t="shared" ca="1" si="3"/>
        <v>6291</v>
      </c>
      <c r="J11" s="9" t="str">
        <f t="shared" si="4"/>
        <v>1_41</v>
      </c>
      <c r="K11" s="9">
        <f t="shared" si="5"/>
        <v>100006</v>
      </c>
      <c r="L11" s="9" t="str">
        <f t="shared" si="6"/>
        <v>02/10/2025</v>
      </c>
      <c r="M11" s="9" t="str">
        <f t="shared" si="7"/>
        <v>03/10/2025</v>
      </c>
      <c r="N11" s="9" t="str">
        <f t="shared" si="8"/>
        <v/>
      </c>
      <c r="O11" s="9" t="str">
        <f t="shared" si="9"/>
        <v/>
      </c>
      <c r="P11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'1_41' ), '02/10/2025', '03/10/2025', '', '', SYSDATE, 5746, '000000099991' ); COMMIT;</v>
      </c>
      <c r="Q11" s="38" t="str">
        <f t="shared" ca="1" si="11"/>
        <v/>
      </c>
      <c r="AA11" s="27" t="str">
        <f ca="1"/>
        <v>não</v>
      </c>
      <c r="AB11" s="38" t="str">
        <f ca="1"/>
        <v>1_62</v>
      </c>
      <c r="AD11" s="27" t="str">
        <f ca="1"/>
        <v>não</v>
      </c>
    </row>
    <row r="12" spans="1:31" x14ac:dyDescent="0.3">
      <c r="A12" s="24" t="s">
        <v>81</v>
      </c>
      <c r="B12" s="24" t="s">
        <v>72</v>
      </c>
      <c r="C12" s="24" t="s">
        <v>110</v>
      </c>
      <c r="D12" s="24" t="s">
        <v>111</v>
      </c>
      <c r="E12" t="s">
        <v>91</v>
      </c>
      <c r="F12" t="s">
        <v>112</v>
      </c>
      <c r="H12" s="9"/>
      <c r="I12" s="9">
        <f t="shared" ca="1" si="3"/>
        <v>6291</v>
      </c>
      <c r="J12" s="9" t="str">
        <f t="shared" si="4"/>
        <v>1_41</v>
      </c>
      <c r="K12" s="9">
        <f t="shared" si="5"/>
        <v>100006</v>
      </c>
      <c r="L12" s="9" t="str">
        <f t="shared" si="6"/>
        <v>26/02/2026</v>
      </c>
      <c r="M12" s="9" t="str">
        <f t="shared" si="7"/>
        <v>27/02/2026</v>
      </c>
      <c r="N12" s="9" t="str">
        <f t="shared" si="8"/>
        <v>CID10</v>
      </c>
      <c r="O12" s="9" t="str">
        <f t="shared" si="9"/>
        <v>G442</v>
      </c>
      <c r="P12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'1_41' ), '26/02/2026', '27/02/2026', 'CID10', 'G442', SYSDATE, 5746, '000000099991' ); COMMIT;</v>
      </c>
      <c r="Q12" s="38" t="str">
        <f t="shared" ca="1" si="11"/>
        <v/>
      </c>
      <c r="AA12" s="27" t="str">
        <f ca="1"/>
        <v>não</v>
      </c>
      <c r="AB12" s="38" t="str">
        <f ca="1"/>
        <v>1_64</v>
      </c>
      <c r="AD12" s="27" t="str">
        <f ca="1"/>
        <v>não</v>
      </c>
    </row>
    <row r="13" spans="1:31" x14ac:dyDescent="0.3">
      <c r="A13" s="24" t="s">
        <v>81</v>
      </c>
      <c r="B13" s="24" t="s">
        <v>72</v>
      </c>
      <c r="C13" s="24" t="s">
        <v>113</v>
      </c>
      <c r="D13" s="24" t="s">
        <v>114</v>
      </c>
      <c r="E13" t="s">
        <v>91</v>
      </c>
      <c r="F13" t="s">
        <v>115</v>
      </c>
      <c r="H13" s="9"/>
      <c r="I13" s="9">
        <f t="shared" ca="1" si="3"/>
        <v>6291</v>
      </c>
      <c r="J13" s="9" t="str">
        <f t="shared" si="4"/>
        <v>1_41</v>
      </c>
      <c r="K13" s="9">
        <f t="shared" si="5"/>
        <v>100006</v>
      </c>
      <c r="L13" s="9" t="str">
        <f t="shared" si="6"/>
        <v>19/03/2026</v>
      </c>
      <c r="M13" s="9" t="str">
        <f t="shared" si="7"/>
        <v>21/03/2026</v>
      </c>
      <c r="N13" s="9" t="str">
        <f t="shared" si="8"/>
        <v>CID10</v>
      </c>
      <c r="O13" s="9" t="str">
        <f t="shared" si="9"/>
        <v>K529</v>
      </c>
      <c r="P13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'1_41' ), '19/03/2026', '21/03/2026', 'CID10', 'K529', SYSDATE, 5746, '000000099991' ); COMMIT;</v>
      </c>
      <c r="Q13" s="38" t="str">
        <f t="shared" ca="1" si="11"/>
        <v/>
      </c>
      <c r="AA13" s="27" t="str">
        <f ca="1"/>
        <v>não</v>
      </c>
      <c r="AB13" s="38" t="str">
        <f ca="1"/>
        <v>1_74</v>
      </c>
      <c r="AD13" s="27" t="str">
        <f ca="1"/>
        <v>não</v>
      </c>
    </row>
    <row r="14" spans="1:31" x14ac:dyDescent="0.3">
      <c r="A14" s="24" t="s">
        <v>82</v>
      </c>
      <c r="B14" s="24" t="s">
        <v>72</v>
      </c>
      <c r="C14" s="24" t="s">
        <v>116</v>
      </c>
      <c r="D14" s="24" t="s">
        <v>117</v>
      </c>
      <c r="E14" t="s">
        <v>91</v>
      </c>
      <c r="F14" t="s">
        <v>118</v>
      </c>
      <c r="H14" s="9"/>
      <c r="I14" s="9">
        <f t="shared" ca="1" si="3"/>
        <v>6291</v>
      </c>
      <c r="J14" s="9" t="str">
        <f t="shared" si="4"/>
        <v>1_49</v>
      </c>
      <c r="K14" s="9">
        <f t="shared" si="5"/>
        <v>100006</v>
      </c>
      <c r="L14" s="9" t="str">
        <f t="shared" si="6"/>
        <v>03/11/2025</v>
      </c>
      <c r="M14" s="9" t="str">
        <f t="shared" si="7"/>
        <v>04/11/2025</v>
      </c>
      <c r="N14" s="9" t="str">
        <f t="shared" si="8"/>
        <v>CID10</v>
      </c>
      <c r="O14" s="9" t="str">
        <f t="shared" si="9"/>
        <v>A09</v>
      </c>
      <c r="P14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'1_49' ), '03/11/2025', '04/11/2025', 'CID10', 'A09', SYSDATE, 5746, '000000099991' ); COMMIT;</v>
      </c>
      <c r="Q14" s="38" t="str">
        <f t="shared" ca="1" si="11"/>
        <v/>
      </c>
      <c r="AA14" s="27" t="str">
        <f ca="1"/>
        <v>não</v>
      </c>
      <c r="AB14" s="38" t="str">
        <f ca="1"/>
        <v>1_77</v>
      </c>
      <c r="AD14" s="27" t="str">
        <f ca="1"/>
        <v>não</v>
      </c>
    </row>
    <row r="15" spans="1:31" x14ac:dyDescent="0.3">
      <c r="A15" s="24" t="s">
        <v>82</v>
      </c>
      <c r="B15" s="24" t="s">
        <v>72</v>
      </c>
      <c r="C15" s="24" t="s">
        <v>119</v>
      </c>
      <c r="D15" s="24" t="s">
        <v>120</v>
      </c>
      <c r="E15" t="s">
        <v>91</v>
      </c>
      <c r="F15" t="s">
        <v>121</v>
      </c>
      <c r="H15" s="9"/>
      <c r="I15" s="9">
        <f t="shared" ca="1" si="3"/>
        <v>6291</v>
      </c>
      <c r="J15" s="9" t="str">
        <f t="shared" si="4"/>
        <v>1_49</v>
      </c>
      <c r="K15" s="9">
        <f t="shared" si="5"/>
        <v>100006</v>
      </c>
      <c r="L15" s="9" t="str">
        <f t="shared" si="6"/>
        <v>25/11/2025</v>
      </c>
      <c r="M15" s="9" t="str">
        <f t="shared" si="7"/>
        <v>27/11/2025</v>
      </c>
      <c r="N15" s="9" t="str">
        <f t="shared" si="8"/>
        <v>CID10</v>
      </c>
      <c r="O15" s="9" t="str">
        <f t="shared" si="9"/>
        <v>N39</v>
      </c>
      <c r="P15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'1_49' ), '25/11/2025', '27/11/2025', 'CID10', 'N39', SYSDATE, 5746, '000000099991' ); COMMIT;</v>
      </c>
      <c r="Q15" s="38" t="str">
        <f t="shared" ca="1" si="11"/>
        <v/>
      </c>
      <c r="AA15" s="27" t="str">
        <f ca="1"/>
        <v>não</v>
      </c>
      <c r="AD15" s="27" t="str">
        <f ca="1"/>
        <v>não</v>
      </c>
    </row>
    <row r="16" spans="1:31" x14ac:dyDescent="0.3">
      <c r="A16" s="24" t="s">
        <v>82</v>
      </c>
      <c r="B16" s="24" t="s">
        <v>72</v>
      </c>
      <c r="C16" s="24" t="s">
        <v>122</v>
      </c>
      <c r="D16" s="24" t="s">
        <v>123</v>
      </c>
      <c r="E16" t="s">
        <v>91</v>
      </c>
      <c r="F16" t="s">
        <v>124</v>
      </c>
      <c r="H16" s="9"/>
      <c r="I16" s="9">
        <f t="shared" ca="1" si="3"/>
        <v>6291</v>
      </c>
      <c r="J16" s="9" t="str">
        <f t="shared" si="4"/>
        <v>1_49</v>
      </c>
      <c r="K16" s="9">
        <f t="shared" si="5"/>
        <v>100006</v>
      </c>
      <c r="L16" s="9" t="str">
        <f t="shared" si="6"/>
        <v>09/12/2025</v>
      </c>
      <c r="M16" s="9" t="str">
        <f t="shared" si="7"/>
        <v>11/12/2025</v>
      </c>
      <c r="N16" s="9" t="str">
        <f t="shared" si="8"/>
        <v>CID10</v>
      </c>
      <c r="O16" s="9" t="str">
        <f t="shared" si="9"/>
        <v>N20</v>
      </c>
      <c r="P16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'1_49' ), '09/12/2025', '11/12/2025', 'CID10', 'N20', SYSDATE, 5746, '000000099991' ); COMMIT;</v>
      </c>
      <c r="Q16" s="38" t="str">
        <f t="shared" ca="1" si="11"/>
        <v/>
      </c>
      <c r="AA16" s="27" t="str">
        <f ca="1"/>
        <v>não</v>
      </c>
      <c r="AD16" s="27" t="str">
        <f ca="1"/>
        <v>não</v>
      </c>
    </row>
    <row r="17" spans="1:30" x14ac:dyDescent="0.3">
      <c r="A17" s="24" t="s">
        <v>82</v>
      </c>
      <c r="B17" s="24" t="s">
        <v>71</v>
      </c>
      <c r="C17" s="24" t="s">
        <v>125</v>
      </c>
      <c r="D17" s="24"/>
      <c r="E17"/>
      <c r="F17"/>
      <c r="H17" s="9"/>
      <c r="I17" s="9">
        <f t="shared" ca="1" si="3"/>
        <v>6291</v>
      </c>
      <c r="J17" s="9" t="str">
        <f t="shared" si="4"/>
        <v>1_49</v>
      </c>
      <c r="K17" s="9">
        <f t="shared" si="5"/>
        <v>13</v>
      </c>
      <c r="L17" s="9" t="str">
        <f t="shared" si="6"/>
        <v>27/12/2025</v>
      </c>
      <c r="M17" s="9" t="str">
        <f t="shared" si="7"/>
        <v/>
      </c>
      <c r="N17" s="9" t="str">
        <f t="shared" si="8"/>
        <v/>
      </c>
      <c r="O17" s="9" t="str">
        <f t="shared" si="9"/>
        <v/>
      </c>
      <c r="P17" s="3" t="str">
        <f t="shared" ca="1" si="10"/>
        <v>INSERT INTO GPE_ALTESITUFUNC ( NRALTESITUFUNC, NRORG, NRSITUFUNCM, NRVINCULOM, DTINISITUFUNC, DTFIMSITUFUNC, CDTABECDI, CDDIAGNOST, DTINCLUSAO, NRORGINCLUSAO, CDOPERINCLUSAO ) VALUES ( 6291, 5746, 13, ( SELECT /*MAX(*/ NRVINCULOM /*)*/ FROM GPE_VINCULOM WHERE NRORG = 5746 AND CDMATRICULA = '1_49' ), '27/12/2025', '', '', '', SYSDATE, 5746, '000000099991' ); COMMIT;</v>
      </c>
      <c r="Q17" s="38" t="str">
        <f t="shared" ca="1" si="11"/>
        <v/>
      </c>
      <c r="AA17" s="27" t="str">
        <f ca="1"/>
        <v>não</v>
      </c>
      <c r="AD17" s="27" t="str">
        <f ca="1"/>
        <v>não</v>
      </c>
    </row>
    <row r="18" spans="1:30" x14ac:dyDescent="0.3">
      <c r="A18" s="24" t="s">
        <v>83</v>
      </c>
      <c r="B18" s="24" t="s">
        <v>71</v>
      </c>
      <c r="C18" s="24" t="s">
        <v>104</v>
      </c>
      <c r="D18" s="24"/>
      <c r="E18"/>
      <c r="F18"/>
      <c r="H18" s="9"/>
      <c r="I18" s="9">
        <f t="shared" ca="1" si="3"/>
        <v>6291</v>
      </c>
      <c r="J18" s="9" t="str">
        <f t="shared" si="4"/>
        <v>1_54</v>
      </c>
      <c r="K18" s="9">
        <f t="shared" si="5"/>
        <v>13</v>
      </c>
      <c r="L18" s="9" t="str">
        <f t="shared" si="6"/>
        <v>06/10/2025</v>
      </c>
      <c r="M18" s="9" t="str">
        <f t="shared" si="7"/>
        <v/>
      </c>
      <c r="N18" s="9" t="str">
        <f t="shared" si="8"/>
        <v/>
      </c>
      <c r="O18" s="9" t="str">
        <f t="shared" si="9"/>
        <v/>
      </c>
      <c r="P18" s="3" t="str">
        <f t="shared" ca="1" si="10"/>
        <v>INSERT INTO GPE_ALTESITUFUNC ( NRALTESITUFUNC, NRORG, NRSITUFUNCM, NRVINCULOM, DTINISITUFUNC, DTFIMSITUFUNC, CDTABECDI, CDDIAGNOST, DTINCLUSAO, NRORGINCLUSAO, CDOPERINCLUSAO ) VALUES ( 6291, 5746, 13, ( SELECT /*MAX(*/ NRVINCULOM /*)*/ FROM GPE_VINCULOM WHERE NRORG = 5746 AND CDMATRICULA = '1_54' ), '06/10/2025', '', '', '', SYSDATE, 5746, '000000099991' ); COMMIT;</v>
      </c>
      <c r="Q18" s="38" t="str">
        <f t="shared" ca="1" si="11"/>
        <v/>
      </c>
      <c r="AA18" s="27" t="str">
        <f ca="1"/>
        <v>não</v>
      </c>
      <c r="AD18" s="27" t="str">
        <f ca="1"/>
        <v>não</v>
      </c>
    </row>
    <row r="19" spans="1:30" x14ac:dyDescent="0.3">
      <c r="A19" s="24" t="s">
        <v>84</v>
      </c>
      <c r="B19" s="24" t="s">
        <v>72</v>
      </c>
      <c r="C19" s="24" t="s">
        <v>126</v>
      </c>
      <c r="D19" s="24" t="s">
        <v>127</v>
      </c>
      <c r="E19" t="s">
        <v>91</v>
      </c>
      <c r="F19" t="s">
        <v>128</v>
      </c>
      <c r="H19" s="9"/>
      <c r="I19" s="9">
        <f t="shared" ca="1" si="3"/>
        <v>6291</v>
      </c>
      <c r="J19" s="9" t="str">
        <f t="shared" si="4"/>
        <v>1_60</v>
      </c>
      <c r="K19" s="9">
        <f t="shared" si="5"/>
        <v>100006</v>
      </c>
      <c r="L19" s="9" t="str">
        <f t="shared" si="6"/>
        <v>29/10/2025</v>
      </c>
      <c r="M19" s="9" t="str">
        <f t="shared" si="7"/>
        <v>30/10/2025</v>
      </c>
      <c r="N19" s="9" t="str">
        <f t="shared" si="8"/>
        <v>CID10</v>
      </c>
      <c r="O19" s="9" t="str">
        <f t="shared" si="9"/>
        <v>M545</v>
      </c>
      <c r="P19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'1_60' ), '29/10/2025', '30/10/2025', 'CID10', 'M545', SYSDATE, 5746, '000000099991' ); COMMIT;</v>
      </c>
      <c r="Q19" s="38" t="str">
        <f t="shared" ca="1" si="11"/>
        <v/>
      </c>
      <c r="AA19" s="27" t="str">
        <f ca="1"/>
        <v>não</v>
      </c>
      <c r="AD19" s="27" t="str">
        <f ca="1"/>
        <v>não</v>
      </c>
    </row>
    <row r="20" spans="1:30" x14ac:dyDescent="0.3">
      <c r="A20" s="24" t="s">
        <v>84</v>
      </c>
      <c r="B20" s="24" t="s">
        <v>72</v>
      </c>
      <c r="C20" s="24" t="s">
        <v>106</v>
      </c>
      <c r="D20" s="24" t="s">
        <v>100</v>
      </c>
      <c r="E20"/>
      <c r="F20"/>
      <c r="H20" s="9"/>
      <c r="I20" s="9">
        <f t="shared" ref="I20:I29" ca="1" si="13">IF( AND( AA20 = "existe", AD20 = "existe" ), I19 + 1, I19 )</f>
        <v>6291</v>
      </c>
      <c r="J20" s="9" t="str">
        <f t="shared" ref="J20:J29" si="14">A20</f>
        <v>1_60</v>
      </c>
      <c r="K20" s="9">
        <f t="shared" ref="K20:K29" si="15">B20*1</f>
        <v>100006</v>
      </c>
      <c r="L20" s="9" t="str">
        <f t="shared" ref="L20:L29" si="16">IF(TRIM(C20)="","",TEXT(TRIM(C20),"DD/MM/AAAA"))</f>
        <v>10/03/2026</v>
      </c>
      <c r="M20" s="9" t="str">
        <f t="shared" ref="M20:M29" si="17">IF(TRIM(D20)="","",TEXT(TRIM(D20),"DD/MM/AAAA"))</f>
        <v>11/03/2026</v>
      </c>
      <c r="N20" s="9" t="str">
        <f t="shared" ref="N20:N29" si="18">IF(TRIM(E20)="","",TRIM(E20))</f>
        <v/>
      </c>
      <c r="O20" s="9" t="str">
        <f t="shared" ref="O20:O29" si="19">IF(TRIM(F20)="","",TRIM(F20))</f>
        <v/>
      </c>
      <c r="P20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'1_60' ), '10/03/2026', '11/03/2026', '', '', SYSDATE, 5746, '000000099991' ); COMMIT;</v>
      </c>
      <c r="Q20" s="38" t="str">
        <f t="shared" ref="Q20:Q29" ca="1" si="20">IF( AND( AA20 = "existe", AD20 = "existe" ), P20, "" )</f>
        <v/>
      </c>
      <c r="AA20" s="27" t="str">
        <f ca="1"/>
        <v>não</v>
      </c>
      <c r="AD20" s="27" t="str">
        <f ca="1"/>
        <v>não</v>
      </c>
    </row>
    <row r="21" spans="1:30" x14ac:dyDescent="0.3">
      <c r="A21" s="24" t="s">
        <v>85</v>
      </c>
      <c r="B21" s="24" t="s">
        <v>72</v>
      </c>
      <c r="C21" s="24" t="s">
        <v>129</v>
      </c>
      <c r="D21" s="24" t="s">
        <v>130</v>
      </c>
      <c r="E21" t="s">
        <v>91</v>
      </c>
      <c r="F21" t="s">
        <v>107</v>
      </c>
      <c r="H21" s="9"/>
      <c r="I21" s="9">
        <f t="shared" ca="1" si="13"/>
        <v>6291</v>
      </c>
      <c r="J21" s="9" t="str">
        <f t="shared" si="14"/>
        <v>1_62</v>
      </c>
      <c r="K21" s="9">
        <f t="shared" si="15"/>
        <v>100006</v>
      </c>
      <c r="L21" s="9" t="str">
        <f t="shared" si="16"/>
        <v>11/02/2026</v>
      </c>
      <c r="M21" s="9" t="str">
        <f t="shared" si="17"/>
        <v>14/02/2026</v>
      </c>
      <c r="N21" s="9" t="str">
        <f t="shared" si="18"/>
        <v>CID10</v>
      </c>
      <c r="O21" s="9" t="str">
        <f t="shared" si="19"/>
        <v>J06</v>
      </c>
      <c r="P21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'1_62' ), '11/02/2026', '14/02/2026', 'CID10', 'J06', SYSDATE, 5746, '000000099991' ); COMMIT;</v>
      </c>
      <c r="Q21" s="38" t="str">
        <f t="shared" ca="1" si="20"/>
        <v/>
      </c>
      <c r="AA21" s="27" t="str">
        <f ca="1"/>
        <v>não</v>
      </c>
      <c r="AD21" s="27" t="str">
        <f ca="1"/>
        <v>não</v>
      </c>
    </row>
    <row r="22" spans="1:30" x14ac:dyDescent="0.3">
      <c r="A22" s="24" t="s">
        <v>86</v>
      </c>
      <c r="B22" s="24" t="s">
        <v>72</v>
      </c>
      <c r="C22" s="24" t="s">
        <v>131</v>
      </c>
      <c r="D22" s="24" t="s">
        <v>125</v>
      </c>
      <c r="E22" t="s">
        <v>91</v>
      </c>
      <c r="F22" t="s">
        <v>132</v>
      </c>
      <c r="H22" s="9"/>
      <c r="I22" s="9">
        <f t="shared" ca="1" si="13"/>
        <v>6291</v>
      </c>
      <c r="J22" s="9" t="str">
        <f t="shared" si="14"/>
        <v>1_64</v>
      </c>
      <c r="K22" s="9">
        <f t="shared" si="15"/>
        <v>100006</v>
      </c>
      <c r="L22" s="9" t="str">
        <f t="shared" si="16"/>
        <v>22/12/2025</v>
      </c>
      <c r="M22" s="9" t="str">
        <f t="shared" si="17"/>
        <v>27/12/2025</v>
      </c>
      <c r="N22" s="9" t="str">
        <f t="shared" si="18"/>
        <v>CID10</v>
      </c>
      <c r="O22" s="9" t="str">
        <f t="shared" si="19"/>
        <v>H10</v>
      </c>
      <c r="P22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'1_64' ), '22/12/2025', '27/12/2025', 'CID10', 'H10', SYSDATE, 5746, '000000099991' ); COMMIT;</v>
      </c>
      <c r="Q22" s="38" t="str">
        <f t="shared" ca="1" si="20"/>
        <v/>
      </c>
      <c r="AA22" s="27" t="str">
        <f ca="1"/>
        <v>não</v>
      </c>
      <c r="AD22" s="27" t="str">
        <f ca="1"/>
        <v>não</v>
      </c>
    </row>
    <row r="23" spans="1:30" x14ac:dyDescent="0.3">
      <c r="A23" s="24" t="s">
        <v>86</v>
      </c>
      <c r="B23" s="24" t="s">
        <v>72</v>
      </c>
      <c r="C23" s="24" t="s">
        <v>133</v>
      </c>
      <c r="D23" s="24" t="s">
        <v>134</v>
      </c>
      <c r="E23" t="s">
        <v>91</v>
      </c>
      <c r="F23" t="s">
        <v>135</v>
      </c>
      <c r="H23" s="9"/>
      <c r="I23" s="9">
        <f t="shared" ca="1" si="13"/>
        <v>6291</v>
      </c>
      <c r="J23" s="9" t="str">
        <f t="shared" si="14"/>
        <v>1_64</v>
      </c>
      <c r="K23" s="9">
        <f t="shared" si="15"/>
        <v>100006</v>
      </c>
      <c r="L23" s="9" t="str">
        <f t="shared" si="16"/>
        <v>12/03/2026</v>
      </c>
      <c r="M23" s="9" t="str">
        <f t="shared" si="17"/>
        <v>14/03/2026</v>
      </c>
      <c r="N23" s="9" t="str">
        <f t="shared" si="18"/>
        <v>CID10</v>
      </c>
      <c r="O23" s="9" t="str">
        <f t="shared" si="19"/>
        <v>F32</v>
      </c>
      <c r="P23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'1_64' ), '12/03/2026', '14/03/2026', 'CID10', 'F32', SYSDATE, 5746, '000000099991' ); COMMIT;</v>
      </c>
      <c r="Q23" s="38" t="str">
        <f t="shared" ca="1" si="20"/>
        <v/>
      </c>
      <c r="AA23" s="27" t="str">
        <f ca="1"/>
        <v>não</v>
      </c>
      <c r="AD23" s="27" t="str">
        <f ca="1"/>
        <v>não</v>
      </c>
    </row>
    <row r="24" spans="1:30" x14ac:dyDescent="0.3">
      <c r="A24" s="24" t="s">
        <v>86</v>
      </c>
      <c r="B24" s="24" t="s">
        <v>72</v>
      </c>
      <c r="C24" s="24" t="s">
        <v>136</v>
      </c>
      <c r="D24" s="24" t="s">
        <v>137</v>
      </c>
      <c r="E24" t="s">
        <v>91</v>
      </c>
      <c r="F24" t="s">
        <v>138</v>
      </c>
      <c r="H24" s="9"/>
      <c r="I24" s="9">
        <f t="shared" ca="1" si="13"/>
        <v>6291</v>
      </c>
      <c r="J24" s="9" t="str">
        <f t="shared" si="14"/>
        <v>1_64</v>
      </c>
      <c r="K24" s="9">
        <f t="shared" si="15"/>
        <v>100006</v>
      </c>
      <c r="L24" s="9" t="str">
        <f t="shared" si="16"/>
        <v>23/03/2026</v>
      </c>
      <c r="M24" s="9" t="str">
        <f t="shared" si="17"/>
        <v>30/03/2026</v>
      </c>
      <c r="N24" s="9" t="str">
        <f t="shared" si="18"/>
        <v>CID10</v>
      </c>
      <c r="O24" s="9" t="str">
        <f t="shared" si="19"/>
        <v>F41</v>
      </c>
      <c r="P24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'1_64' ), '23/03/2026', '30/03/2026', 'CID10', 'F41', SYSDATE, 5746, '000000099991' ); COMMIT;</v>
      </c>
      <c r="Q24" s="38" t="str">
        <f t="shared" ca="1" si="20"/>
        <v/>
      </c>
      <c r="AA24" s="27" t="str">
        <f ca="1"/>
        <v>não</v>
      </c>
      <c r="AD24" s="27" t="str">
        <f ca="1"/>
        <v>não</v>
      </c>
    </row>
    <row r="25" spans="1:30" x14ac:dyDescent="0.3">
      <c r="A25" s="24" t="s">
        <v>87</v>
      </c>
      <c r="B25" s="24" t="s">
        <v>72</v>
      </c>
      <c r="C25" s="24" t="s">
        <v>97</v>
      </c>
      <c r="D25" s="24" t="s">
        <v>139</v>
      </c>
      <c r="E25"/>
      <c r="F25"/>
      <c r="H25" s="9"/>
      <c r="I25" s="9">
        <f t="shared" ca="1" si="13"/>
        <v>6291</v>
      </c>
      <c r="J25" s="9" t="str">
        <f t="shared" si="14"/>
        <v>1_74</v>
      </c>
      <c r="K25" s="9">
        <f t="shared" si="15"/>
        <v>100006</v>
      </c>
      <c r="L25" s="9" t="str">
        <f t="shared" si="16"/>
        <v>10/10/2025</v>
      </c>
      <c r="M25" s="9" t="str">
        <f t="shared" si="17"/>
        <v>25/10/2025</v>
      </c>
      <c r="N25" s="9" t="str">
        <f t="shared" si="18"/>
        <v/>
      </c>
      <c r="O25" s="9" t="str">
        <f t="shared" si="19"/>
        <v/>
      </c>
      <c r="P25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'1_74' ), '10/10/2025', '25/10/2025', '', '', SYSDATE, 5746, '000000099991' ); COMMIT;</v>
      </c>
      <c r="Q25" s="38" t="str">
        <f t="shared" ca="1" si="20"/>
        <v/>
      </c>
      <c r="AA25" s="27" t="str">
        <f ca="1"/>
        <v>não</v>
      </c>
      <c r="AD25" s="27" t="str">
        <f ca="1"/>
        <v>não</v>
      </c>
    </row>
    <row r="26" spans="1:30" x14ac:dyDescent="0.3">
      <c r="A26" s="24" t="s">
        <v>87</v>
      </c>
      <c r="B26" s="24" t="s">
        <v>71</v>
      </c>
      <c r="C26" s="24" t="s">
        <v>140</v>
      </c>
      <c r="D26" s="24"/>
      <c r="E26"/>
      <c r="F26"/>
      <c r="H26" s="9"/>
      <c r="I26" s="9">
        <f t="shared" ca="1" si="13"/>
        <v>6291</v>
      </c>
      <c r="J26" s="9" t="str">
        <f t="shared" si="14"/>
        <v>1_74</v>
      </c>
      <c r="K26" s="9">
        <f t="shared" si="15"/>
        <v>13</v>
      </c>
      <c r="L26" s="9" t="str">
        <f t="shared" si="16"/>
        <v>28/11/2025</v>
      </c>
      <c r="M26" s="9" t="str">
        <f t="shared" si="17"/>
        <v/>
      </c>
      <c r="N26" s="9" t="str">
        <f t="shared" si="18"/>
        <v/>
      </c>
      <c r="O26" s="9" t="str">
        <f t="shared" si="19"/>
        <v/>
      </c>
      <c r="P26" s="3" t="str">
        <f t="shared" ca="1" si="10"/>
        <v>INSERT INTO GPE_ALTESITUFUNC ( NRALTESITUFUNC, NRORG, NRSITUFUNCM, NRVINCULOM, DTINISITUFUNC, DTFIMSITUFUNC, CDTABECDI, CDDIAGNOST, DTINCLUSAO, NRORGINCLUSAO, CDOPERINCLUSAO ) VALUES ( 6291, 5746, 13, ( SELECT /*MAX(*/ NRVINCULOM /*)*/ FROM GPE_VINCULOM WHERE NRORG = 5746 AND CDMATRICULA = '1_74' ), '28/11/2025', '', '', '', SYSDATE, 5746, '000000099991' ); COMMIT;</v>
      </c>
      <c r="Q26" s="38" t="str">
        <f t="shared" ca="1" si="20"/>
        <v/>
      </c>
      <c r="AA26" s="27" t="str">
        <f ca="1"/>
        <v>não</v>
      </c>
      <c r="AD26" s="27" t="str">
        <f ca="1"/>
        <v>não</v>
      </c>
    </row>
    <row r="27" spans="1:30" x14ac:dyDescent="0.3">
      <c r="A27" s="24" t="s">
        <v>88</v>
      </c>
      <c r="B27" s="24" t="s">
        <v>72</v>
      </c>
      <c r="C27" s="24" t="s">
        <v>101</v>
      </c>
      <c r="D27" s="24" t="s">
        <v>96</v>
      </c>
      <c r="E27"/>
      <c r="F27"/>
      <c r="H27" s="9"/>
      <c r="I27" s="9">
        <f t="shared" ca="1" si="13"/>
        <v>6291</v>
      </c>
      <c r="J27" s="9" t="str">
        <f t="shared" si="14"/>
        <v>1_77</v>
      </c>
      <c r="K27" s="9">
        <f t="shared" si="15"/>
        <v>100006</v>
      </c>
      <c r="L27" s="9" t="str">
        <f t="shared" si="16"/>
        <v>08/10/2025</v>
      </c>
      <c r="M27" s="9" t="str">
        <f t="shared" si="17"/>
        <v>09/10/2025</v>
      </c>
      <c r="N27" s="9" t="str">
        <f t="shared" si="18"/>
        <v/>
      </c>
      <c r="O27" s="9" t="str">
        <f t="shared" si="19"/>
        <v/>
      </c>
      <c r="P27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'1_77' ), '08/10/2025', '09/10/2025', '', '', SYSDATE, 5746, '000000099991' ); COMMIT;</v>
      </c>
      <c r="Q27" s="38" t="str">
        <f t="shared" ca="1" si="20"/>
        <v/>
      </c>
      <c r="AA27" s="27" t="str">
        <f ca="1"/>
        <v>não</v>
      </c>
      <c r="AD27" s="27" t="str">
        <f ca="1"/>
        <v>não</v>
      </c>
    </row>
    <row r="28" spans="1:30" x14ac:dyDescent="0.3">
      <c r="A28" s="24" t="s">
        <v>88</v>
      </c>
      <c r="B28" s="24" t="s">
        <v>72</v>
      </c>
      <c r="C28" s="24" t="s">
        <v>141</v>
      </c>
      <c r="D28" s="24" t="s">
        <v>142</v>
      </c>
      <c r="E28" t="s">
        <v>91</v>
      </c>
      <c r="F28" t="s">
        <v>118</v>
      </c>
      <c r="H28" s="9"/>
      <c r="I28" s="9">
        <f t="shared" ca="1" si="13"/>
        <v>6291</v>
      </c>
      <c r="J28" s="9" t="str">
        <f t="shared" si="14"/>
        <v>1_77</v>
      </c>
      <c r="K28" s="9">
        <f t="shared" si="15"/>
        <v>100006</v>
      </c>
      <c r="L28" s="9" t="str">
        <f t="shared" si="16"/>
        <v>17/11/2025</v>
      </c>
      <c r="M28" s="9" t="str">
        <f t="shared" si="17"/>
        <v>18/11/2025</v>
      </c>
      <c r="N28" s="9" t="str">
        <f t="shared" si="18"/>
        <v>CID10</v>
      </c>
      <c r="O28" s="9" t="str">
        <f t="shared" si="19"/>
        <v>A09</v>
      </c>
      <c r="P28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'1_77' ), '17/11/2025', '18/11/2025', 'CID10', 'A09', SYSDATE, 5746, '000000099991' ); COMMIT;</v>
      </c>
      <c r="Q28" s="38" t="str">
        <f t="shared" ca="1" si="20"/>
        <v/>
      </c>
      <c r="AA28" s="27" t="str">
        <f ca="1"/>
        <v>não</v>
      </c>
      <c r="AD28" s="27" t="str">
        <f ca="1"/>
        <v>não</v>
      </c>
    </row>
    <row r="29" spans="1:30" x14ac:dyDescent="0.3">
      <c r="A29" s="24" t="s">
        <v>88</v>
      </c>
      <c r="B29" s="24" t="s">
        <v>72</v>
      </c>
      <c r="C29" s="24" t="s">
        <v>143</v>
      </c>
      <c r="D29" s="24" t="s">
        <v>144</v>
      </c>
      <c r="E29" t="s">
        <v>91</v>
      </c>
      <c r="F29" t="s">
        <v>145</v>
      </c>
      <c r="H29" s="9"/>
      <c r="I29" s="9">
        <f t="shared" ca="1" si="13"/>
        <v>6291</v>
      </c>
      <c r="J29" s="9" t="str">
        <f t="shared" si="14"/>
        <v>1_77</v>
      </c>
      <c r="K29" s="9">
        <f t="shared" si="15"/>
        <v>100006</v>
      </c>
      <c r="L29" s="9" t="str">
        <f t="shared" si="16"/>
        <v>05/12/2025</v>
      </c>
      <c r="M29" s="9" t="str">
        <f t="shared" si="17"/>
        <v>06/12/2025</v>
      </c>
      <c r="N29" s="9" t="str">
        <f t="shared" si="18"/>
        <v>CID10</v>
      </c>
      <c r="O29" s="9" t="str">
        <f t="shared" si="19"/>
        <v>Z010</v>
      </c>
      <c r="P29" s="3" t="str">
        <f t="shared" ca="1" si="10"/>
        <v>INSERT INTO GPE_ALTESITUFUNC ( NRALTESITUFUNC, NRORG, NRSITUFUNCM, NRVINCULOM, DTINISITUFUNC, DTFIMSITUFUNC, CDTABECDI, CDDIAGNOST, DTINCLUSAO, NRORGINCLUSAO, CDOPERINCLUSAO ) VALUES ( 6291, 5746, 100006, ( SELECT /*MAX(*/ NRVINCULOM /*)*/ FROM GPE_VINCULOM WHERE NRORG = 5746 AND CDMATRICULA = '1_77' ), '05/12/2025', '06/12/2025', 'CID10', 'Z010', SYSDATE, 5746, '000000099991' ); COMMIT;</v>
      </c>
      <c r="Q29" s="38" t="str">
        <f t="shared" ca="1" si="20"/>
        <v/>
      </c>
      <c r="AA29" s="27" t="str">
        <f ca="1"/>
        <v>não</v>
      </c>
      <c r="AD29" s="27" t="str">
        <f ca="1"/>
        <v>não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31C72-7A42-4C69-9359-396AE7320EF8}">
  <dimension ref="A1:H2"/>
  <sheetViews>
    <sheetView workbookViewId="0"/>
  </sheetViews>
  <sheetFormatPr defaultColWidth="9.109375" defaultRowHeight="14.4" x14ac:dyDescent="0.3"/>
  <cols>
    <col min="1" max="1" width="14.109375" style="43" bestFit="1" customWidth="1"/>
    <col min="2" max="2" width="13.6640625" style="43" bestFit="1" customWidth="1"/>
    <col min="3" max="4" width="18.5546875" style="43" bestFit="1" customWidth="1"/>
    <col min="5" max="5" width="64" style="24" bestFit="1" customWidth="1"/>
    <col min="6" max="6" width="14.5546875" style="43" bestFit="1" customWidth="1"/>
    <col min="7" max="7" width="54.5546875" style="24" bestFit="1" customWidth="1"/>
    <col min="8" max="8" width="21.109375" style="49" bestFit="1" customWidth="1"/>
    <col min="9" max="16384" width="9.109375" style="24"/>
  </cols>
  <sheetData>
    <row r="1" spans="1:8" ht="144" x14ac:dyDescent="0.3">
      <c r="A1" s="45" t="s">
        <v>33</v>
      </c>
      <c r="B1" s="45" t="s">
        <v>34</v>
      </c>
      <c r="C1" s="45" t="s">
        <v>35</v>
      </c>
      <c r="D1" s="45" t="s">
        <v>36</v>
      </c>
      <c r="E1" s="44" t="s">
        <v>37</v>
      </c>
      <c r="F1" s="45" t="s">
        <v>38</v>
      </c>
      <c r="G1" s="44" t="s">
        <v>39</v>
      </c>
      <c r="H1" s="47" t="s">
        <v>147</v>
      </c>
    </row>
    <row r="2" spans="1:8" x14ac:dyDescent="0.3">
      <c r="H2" s="48" t="str" cm="1">
        <f t="array" aca="1" ref="H2" ca="1">_xlfn.LET(
_xlpm.linhas, COUNTA( B:B ),
_xlpm.array_matr, INDIRECT( "A2:A" &amp; _xlpm.linhas ),
_xlpm.array_qde, COUNTIF( _xlpm.array_matr, _xlpm.array_matr ),
_xlpm.filtrado, _xlfn._xlws.FILTER( _xlpm.array_matr, _xlpm.array_qde &gt; 1, "" ),
_xlfn.UNIQUE( _xlpm.filtrado )
)</f>
        <v/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B52A-7AEE-41C6-8463-F835672C891B}">
  <dimension ref="A1:I19"/>
  <sheetViews>
    <sheetView workbookViewId="0">
      <selection activeCell="A8" sqref="A8:A11"/>
    </sheetView>
  </sheetViews>
  <sheetFormatPr defaultRowHeight="14.4" x14ac:dyDescent="0.3"/>
  <cols>
    <col min="1" max="1" width="23.33203125" bestFit="1" customWidth="1"/>
    <col min="2" max="2" width="21.109375" bestFit="1" customWidth="1"/>
    <col min="3" max="3" width="12.44140625" bestFit="1" customWidth="1"/>
    <col min="4" max="4" width="10.6640625" bestFit="1" customWidth="1"/>
    <col min="5" max="5" width="79.109375" bestFit="1" customWidth="1"/>
    <col min="7" max="7" width="10.88671875" bestFit="1" customWidth="1"/>
  </cols>
  <sheetData>
    <row r="1" spans="1:9" ht="23.4" x14ac:dyDescent="0.45">
      <c r="A1" s="50" t="s">
        <v>40</v>
      </c>
      <c r="B1" s="50"/>
      <c r="C1" s="50"/>
      <c r="D1" s="50"/>
      <c r="E1" s="50"/>
      <c r="I1" t="s">
        <v>41</v>
      </c>
    </row>
    <row r="2" spans="1:9" ht="20.399999999999999" thickBot="1" x14ac:dyDescent="0.45">
      <c r="A2" s="29" t="s">
        <v>42</v>
      </c>
      <c r="B2" s="29" t="s">
        <v>43</v>
      </c>
      <c r="C2" s="29" t="s">
        <v>44</v>
      </c>
      <c r="D2" s="29" t="s">
        <v>45</v>
      </c>
      <c r="E2" s="29" t="s">
        <v>46</v>
      </c>
      <c r="G2" s="30" t="s">
        <v>47</v>
      </c>
      <c r="I2">
        <v>0</v>
      </c>
    </row>
    <row r="3" spans="1:9" ht="15" thickTop="1" x14ac:dyDescent="0.3">
      <c r="A3" t="s">
        <v>48</v>
      </c>
      <c r="B3" t="e" cm="1" vm="1">
        <f t="array" ref="B3">_xlfn.LAMBDA(_xlpm.texto,_xlpm.de,_xlpm.para, IF( _xlpm.de = "", _xlpm.texto, AUX_TROCAR( SUBSTITUTE( _xlpm.texto, LEFT( _xlpm.de ), LEFT( _xlpm.para ) ), RIGHT( _xlpm.de, LEN( _xlpm.de ) - 1), RIGHT( _xlpm.para, LEN( _xlpm.para ) - 1 ) ) ) )</f>
        <v>#VALUE!</v>
      </c>
      <c r="C3">
        <v>1</v>
      </c>
      <c r="D3" s="1">
        <v>44768</v>
      </c>
      <c r="E3" s="20" t="s">
        <v>49</v>
      </c>
      <c r="G3" s="31" t="s">
        <v>50</v>
      </c>
      <c r="I3">
        <v>1</v>
      </c>
    </row>
    <row r="4" spans="1:9" x14ac:dyDescent="0.3">
      <c r="A4" t="s">
        <v>51</v>
      </c>
      <c r="B4" t="e" vm="1">
        <f>_xlfn.LAMBDA(_xlpm.texto, AUX_TROCAR( _xlpm.texto, "áàâãäÁÀÂÃÄéèêëÉÈÊËíìîïÍÌÎÏóòôöÓÒÔÖúùûüÚÙÛÜçÇ&amp;'`´~^", "aaaaaAAAAAeeeeEEEEiiiiIIIIooooOOOOuuuuUUUUcC      " ) )</f>
        <v>#VALUE!</v>
      </c>
      <c r="C4">
        <v>1</v>
      </c>
      <c r="D4" s="1">
        <v>44768</v>
      </c>
      <c r="E4" s="20" t="s">
        <v>52</v>
      </c>
      <c r="G4" s="31" t="s">
        <v>7</v>
      </c>
    </row>
    <row r="5" spans="1:9" x14ac:dyDescent="0.3">
      <c r="A5" t="s">
        <v>53</v>
      </c>
      <c r="B5" t="e" cm="1" vm="1">
        <f t="array" ref="B5">_xlfn.LAMBDA(_xlpm.script,_xlpm.chaves,_xlpm.valores, _xlfn.LET(
_xlpm.saida, _xlfn.REDUCE( _xlpm.script, _xlpm.chaves, _xlfn.LAMBDA(_xlpm.A,_xlpm.B, SUBSTITUTE( _xlpm.A, _xlpm.B, _xlfn.XLOOKUP( _xlpm.B, _xlpm.chaves, _xlpm.valores ) ) ) ),
_xlpm.saida
) )</f>
        <v>#VALUE!</v>
      </c>
      <c r="C5">
        <v>1</v>
      </c>
      <c r="D5" s="1">
        <v>44819</v>
      </c>
      <c r="E5" s="20" t="s">
        <v>54</v>
      </c>
      <c r="G5" s="31" t="s">
        <v>55</v>
      </c>
    </row>
    <row r="6" spans="1:9" x14ac:dyDescent="0.3">
      <c r="D6" s="1"/>
      <c r="E6" s="20"/>
      <c r="G6" s="31" t="s">
        <v>56</v>
      </c>
    </row>
    <row r="7" spans="1:9" x14ac:dyDescent="0.3">
      <c r="D7" s="1"/>
      <c r="E7" s="20"/>
    </row>
    <row r="8" spans="1:9" x14ac:dyDescent="0.3">
      <c r="A8" t="s">
        <v>57</v>
      </c>
      <c r="B8" t="e" cm="1" vm="1">
        <f t="array" ref="B8">_xlfn.LAMBDA(_xlpm.data, "'" &amp; TEXT( TRIM( _xlpm.data ), "DD/MM/AAAA" ) &amp; "'" )</f>
        <v>#VALUE!</v>
      </c>
      <c r="C8">
        <v>1</v>
      </c>
      <c r="D8" s="1">
        <v>44841</v>
      </c>
      <c r="E8" s="20" t="s">
        <v>58</v>
      </c>
    </row>
    <row r="9" spans="1:9" x14ac:dyDescent="0.3">
      <c r="A9" t="s">
        <v>59</v>
      </c>
      <c r="B9" t="e" cm="1" vm="1">
        <f t="array" ref="B9">_xlfn.LAMBDA(_xlpm.texto, "'" &amp; UPPER( TRIM( MIG_REMOVE.ESPECIAL( _xlpm.texto ) ) ) &amp; "'" )</f>
        <v>#VALUE!</v>
      </c>
      <c r="C9">
        <v>1</v>
      </c>
      <c r="D9" s="1">
        <v>44841</v>
      </c>
      <c r="E9" s="20" t="s">
        <v>60</v>
      </c>
    </row>
    <row r="10" spans="1:9" x14ac:dyDescent="0.3">
      <c r="A10" t="s">
        <v>61</v>
      </c>
      <c r="B10" t="e" cm="1" vm="1">
        <f t="array" ref="B10">_xlfn.LAMBDA(_xlpm.número, SUBSTITUTE( _xlpm.número, ",", ".") )</f>
        <v>#VALUE!</v>
      </c>
      <c r="C10">
        <v>1</v>
      </c>
      <c r="D10" s="1">
        <v>44841</v>
      </c>
      <c r="E10" s="20" t="s">
        <v>62</v>
      </c>
    </row>
    <row r="11" spans="1:9" x14ac:dyDescent="0.3">
      <c r="A11" t="s">
        <v>63</v>
      </c>
      <c r="B11" t="e" cm="1" vm="1">
        <f t="array" ref="B11">_xlfn.LAMBDA(_xlpm.texto, _xlfn.CONCAT( "'", IFERROR( -- MID( _xlpm.texto, _xlfn.SEQUENCE(LEN( _xlpm.texto ) ), 1 ), "" ), "'"  ) )</f>
        <v>#VALUE!</v>
      </c>
      <c r="C11">
        <v>1</v>
      </c>
      <c r="D11" s="1">
        <v>44769</v>
      </c>
      <c r="E11" s="20" t="s">
        <v>64</v>
      </c>
    </row>
    <row r="13" spans="1:9" x14ac:dyDescent="0.3">
      <c r="A13" t="s">
        <v>65</v>
      </c>
      <c r="B13" t="e" cm="1" vm="1">
        <f t="array" ref="B13">_xlfn.LAMBDA(_xlpm.colunaPK,_xlpm.org,_xlpm.campo,_xlpm.tabela,_xlpm.offset,
_xlfn.LET(
_xlpm.menor, SMALL( _xlpm.colunaPK, _xlpm.offset ),
_xlpm.maior, LARGE( _xlpm.colunaPK, 1 ),
_xlpm.qde, _xlpm.maior - _xlpm.menor + 1,
"/*" &amp; _xlpm.tabela &amp; "*/
SELECT A + 1 A, B - 1 B, B - A - 1 LENGHT, (SELECT TO_NUMBER(NRSEQUENCIAL) FROM NOVOCODIGO WHERE NRORG = " &amp; _xlpm.org &amp; " AND CDCONTADOR = '" &amp; _xlpm.tabela &amp; "') NOVOCODIGO FROM (SELECT 0 A, MIN(" &amp; _xlpm.campo &amp; ") B FROM " &amp; _xlpm.tabela &amp; " WHERE NRORG = " &amp; _xlpm.org &amp; " UNION ALL SELECT " &amp; _xlpm.campo &amp;", LEAD(" &amp; _xlpm.campo &amp; ") OVER (ORDER BY " &amp; _xlpm.campo &amp; ") FROM " &amp; _xlpm.tabela &amp; " WHERE NRORG = " &amp; _xlpm.org &amp; " ) WHERE B - A &gt; " &amp; _xlpm.qde &amp; " OR B IS NULL ORDER BY A;"
) )</f>
        <v>#VALUE!</v>
      </c>
      <c r="C13">
        <v>1</v>
      </c>
      <c r="D13" s="32">
        <v>44847</v>
      </c>
    </row>
    <row r="16" spans="1:9" x14ac:dyDescent="0.3">
      <c r="A16" s="1"/>
    </row>
    <row r="18" spans="1:1" x14ac:dyDescent="0.3">
      <c r="A18" s="32" t="s">
        <v>66</v>
      </c>
    </row>
    <row r="19" spans="1:1" x14ac:dyDescent="0.3">
      <c r="A19" s="33" t="str" cm="1">
        <f t="array" ref="A19">MIG_NORMA.NÚMERICO(A18)</f>
        <v>'04319015622'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5C38A-9E8A-4569-8A62-0C4CFD6A6A37}">
  <dimension ref="A1:I4"/>
  <sheetViews>
    <sheetView workbookViewId="0">
      <selection activeCell="I1" sqref="I1"/>
    </sheetView>
  </sheetViews>
  <sheetFormatPr defaultRowHeight="14.4" x14ac:dyDescent="0.3"/>
  <cols>
    <col min="1" max="1" width="18.88671875" bestFit="1" customWidth="1"/>
    <col min="2" max="2" width="27.5546875" bestFit="1" customWidth="1"/>
    <col min="3" max="3" width="16.109375" bestFit="1" customWidth="1"/>
    <col min="4" max="4" width="15.6640625" bestFit="1" customWidth="1"/>
    <col min="5" max="5" width="17" bestFit="1" customWidth="1"/>
    <col min="6" max="6" width="17.6640625" bestFit="1" customWidth="1"/>
    <col min="7" max="7" width="16.44140625" bestFit="1" customWidth="1"/>
    <col min="9" max="9" width="101.5546875" bestFit="1" customWidth="1"/>
  </cols>
  <sheetData>
    <row r="1" spans="1:9" ht="184.8" x14ac:dyDescent="0.3">
      <c r="A1" t="s">
        <v>28</v>
      </c>
      <c r="B1" t="s">
        <v>67</v>
      </c>
      <c r="C1" t="s">
        <v>33</v>
      </c>
      <c r="D1" t="s">
        <v>34</v>
      </c>
      <c r="E1" t="s">
        <v>68</v>
      </c>
      <c r="F1" t="s">
        <v>69</v>
      </c>
      <c r="G1" t="s">
        <v>38</v>
      </c>
      <c r="I1" s="20" t="s">
        <v>70</v>
      </c>
    </row>
    <row r="2" spans="1:9" x14ac:dyDescent="0.3">
      <c r="A2">
        <v>1</v>
      </c>
      <c r="B2" s="23">
        <v>2000019090819990</v>
      </c>
      <c r="C2" s="23">
        <v>2000019</v>
      </c>
      <c r="D2" s="22">
        <v>1</v>
      </c>
      <c r="E2" s="21">
        <v>36381</v>
      </c>
      <c r="G2">
        <v>1</v>
      </c>
    </row>
    <row r="3" spans="1:9" x14ac:dyDescent="0.3">
      <c r="A3">
        <v>1392</v>
      </c>
      <c r="B3" s="23">
        <v>2000024011019990</v>
      </c>
      <c r="C3" s="23">
        <v>2000024</v>
      </c>
      <c r="D3" s="22">
        <v>1392</v>
      </c>
      <c r="E3" s="21">
        <v>36434</v>
      </c>
      <c r="G3">
        <v>1</v>
      </c>
    </row>
    <row r="4" spans="1:9" x14ac:dyDescent="0.3">
      <c r="A4">
        <v>1393</v>
      </c>
      <c r="B4" s="23">
        <v>2000030081019990</v>
      </c>
      <c r="C4" s="23">
        <v>2000030</v>
      </c>
      <c r="D4" s="22">
        <v>1393</v>
      </c>
      <c r="E4" s="21">
        <v>36441</v>
      </c>
      <c r="G4">
        <v>1</v>
      </c>
    </row>
  </sheetData>
  <autoFilter ref="A1:G4" xr:uid="{8865C38A-9E8A-4569-8A62-0C4CFD6A6A37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Base</vt:lpstr>
      <vt:lpstr>prototipo 2</vt:lpstr>
      <vt:lpstr>HCM - old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APARECIDA DA SILVA</dc:creator>
  <cp:keywords/>
  <dc:description/>
  <cp:lastModifiedBy>Bruno Borba</cp:lastModifiedBy>
  <cp:revision/>
  <dcterms:created xsi:type="dcterms:W3CDTF">2022-07-11T21:16:08Z</dcterms:created>
  <dcterms:modified xsi:type="dcterms:W3CDTF">2026-07-03T14:39:08Z</dcterms:modified>
  <cp:category/>
  <cp:contentStatus/>
</cp:coreProperties>
</file>