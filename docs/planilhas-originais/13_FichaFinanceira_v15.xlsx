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1180" documentId="8_{23A533B7-DFBA-49F9-9D81-0BA65AF354C1}" xr6:coauthVersionLast="47" xr6:coauthVersionMax="47" xr10:uidLastSave="{D58B9F46-F583-4A68-84DC-422D09F9D3F8}"/>
  <bookViews>
    <workbookView xWindow="22635" yWindow="0" windowWidth="26010" windowHeight="20880" tabRatio="500" activeTab="1" xr2:uid="{00000000-000D-0000-FFFF-FFFF00000000}"/>
  </bookViews>
  <sheets>
    <sheet name="Dados" sheetId="1" r:id="rId1"/>
    <sheet name="Base" sheetId="2" r:id="rId2"/>
    <sheet name="Scripts" sheetId="3" r:id="rId3"/>
    <sheet name="prototipo 2" sheetId="4" r:id="rId4"/>
  </sheets>
  <definedNames>
    <definedName name="_xlnm._FilterDatabase" localSheetId="1" hidden="1">Base!$D$1:$E$1</definedName>
    <definedName name="_xlnm._FilterDatabase" localSheetId="0" hidden="1">Dados!$A$1:$H$389</definedName>
    <definedName name="AUX_TROCAR">_xlfn.LAMBDA(_xlpm.texto,_xlpm.de,_xlpm.para, IF( _xlpm.de = "", _xlpm.texto, AUX_TROCAR( SUBSTITUTE( _xlpm.texto, LEFT( _xlpm.de ), LEFT( _xlpm.para ) ), RIGHT( _xlpm.de, LEN( _xlpm.de ) - 1), RIGHT( _xlpm.para, LEN( _xlpm.para ) - 1 ) ) ) )</definedName>
    <definedName name="MIG_GERA.SCRIPT">_xlfn.LAMBDA(_xlpm.script,_xlpm.chaves,_xlpm.valores, _xlfn.LET( _xlpm.saida, _xlfn.REDUCE( _xlpm.script, _xlpm.chaves, _xlfn.LAMBDA(_xlpm.A,_xlpm.B, SUBSTITUTE( _xlpm.A, _xlpm.B, _xlfn.XLOOKUP( _xlpm.B, _xlpm.chaves, _xlpm.valores ) ) ) ), _xlpm.saida ) )</definedName>
    <definedName name="MIG_NORMA.DATA">_xlfn.LAMBDA(_xlpm.data, "'" &amp; TEXT( TRIM( _xlpm.data ), "DD/MM/AAAA" ) &amp; "'" )</definedName>
    <definedName name="MIG_NORMA.DECIMAL">_xlfn.LAMBDA(_xlpm.número, SUBSTITUTE( _xlpm.número, ",", ".") )</definedName>
    <definedName name="MIG_NORMA.NÚMERICO">_xlfn.LAMBDA(_xlpm.texto, _xlfn.CONCAT( "'", IFERROR( -- MID( _xlpm.texto, _xlfn.SEQUENCE(LEN( _xlpm.texto ) ), 1 ), "" ), "'"  ) )</definedName>
    <definedName name="MIG_NORMA.TEXTO">_xlfn.LAMBDA(_xlpm.texto, "'" &amp; UPPER( TRIM( MIG_REMOVE.ESPECIAL( _xlpm.texto ) ) ) &amp; "'" )</definedName>
    <definedName name="MIG_QRY.CHAVES">_xlfn.LAMBDA(_xlpm.colunaPK,_xlpm.org,_xlpm.campo,_xlpm.tabela,_xlpm.offset, _xlfn.LET( _xlpm.menor, SMALL( _xlpm.colunaPK, _xlpm.offset ), _xlpm.maior, LARGE( _xlpm.colunaPK, 1 ), _xlpm.qde, _xlpm.maior - _xlpm.menor + 1, "/*" &amp; _xlpm.tabela &amp; "*/ 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 ) )</definedName>
    <definedName name="MIG_REMOVE.ESPECIAL">_xlfn.LAMBDA(_xlpm.texto, AUX_TROCAR( _xlpm.texto, "áàâãäÁÀÂÃÄéèêëÉÈÊËíìîïÍÌÎÏóòôöÓÒÔÖúùûüÚÙÛÜçÇ&amp;'`´~^ªº", "aaaaaAAAAAeeeeEEEEiiiiIIIIooooOOOOuuuuUUUUcC      ao" )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2" l="1" a="1"/>
  <c r="T21" i="1" a="1"/>
  <c r="T20" i="1" a="1"/>
  <c r="T19" i="1" a="1"/>
  <c r="T18" i="1" a="1"/>
  <c r="T17" i="1" a="1"/>
  <c r="T16" i="1" a="1"/>
  <c r="T15" i="1" a="1"/>
  <c r="T14" i="1" a="1"/>
  <c r="T13" i="1" a="1"/>
  <c r="T12" i="1" a="1"/>
  <c r="T11" i="1" a="1"/>
  <c r="T10" i="1" a="1"/>
  <c r="T9" i="1" a="1"/>
  <c r="T8" i="1" a="1"/>
  <c r="T7" i="1" a="1"/>
  <c r="T6" i="1" a="1"/>
  <c r="T5" i="1" a="1"/>
  <c r="T4" i="1" a="1"/>
  <c r="T3" i="1" a="1"/>
  <c r="B4" i="4"/>
  <c r="U2" i="1" l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B19" i="4" a="1"/>
  <c r="B13" i="4" a="1"/>
  <c r="B11" i="4" a="1"/>
  <c r="B10" i="4" a="1"/>
  <c r="B9" i="4" a="1"/>
  <c r="B8" i="4" a="1"/>
  <c r="B5" i="4" a="1"/>
  <c r="B3" i="4" a="1"/>
  <c r="R15" i="1" l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X16" i="1"/>
  <c r="X15" i="1"/>
  <c r="X14" i="1"/>
  <c r="X18" i="1" s="1" a="1"/>
  <c r="X13" i="1"/>
  <c r="X17" i="1" s="1"/>
  <c r="X19" i="1" l="1"/>
  <c r="X20" i="1" a="1"/>
  <c r="AJ2" i="1"/>
  <c r="Y3" i="1"/>
  <c r="AB3" i="1" a="1"/>
  <c r="X4" i="1" l="1"/>
  <c r="X5" i="1"/>
  <c r="X7" i="1" s="1"/>
  <c r="X9" i="1"/>
  <c r="X6" i="1" l="1"/>
  <c r="Y6" i="1"/>
  <c r="Y4" i="1"/>
  <c r="S14" i="1" l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R4" i="1"/>
  <c r="S4" i="1"/>
  <c r="S3" i="1" l="1"/>
  <c r="R3" i="1"/>
  <c r="AD3" i="1" a="1"/>
  <c r="O3" i="1" l="1"/>
  <c r="Q3" i="1" s="1"/>
  <c r="O14" i="1"/>
  <c r="Q14" i="1" s="1"/>
  <c r="O13" i="1"/>
  <c r="O9" i="1"/>
  <c r="Q9" i="1" l="1"/>
  <c r="Q13" i="1"/>
  <c r="O7" i="1" l="1"/>
  <c r="Q7" i="1"/>
  <c r="O17" i="1"/>
  <c r="Q17" i="1"/>
  <c r="O15" i="1"/>
  <c r="O5" i="1"/>
  <c r="Q5" i="1" s="1"/>
  <c r="O6" i="1"/>
  <c r="Q6" i="1" s="1"/>
  <c r="O8" i="1"/>
  <c r="Q8" i="1" s="1"/>
  <c r="O18" i="1"/>
  <c r="O19" i="1"/>
  <c r="Q19" i="1" s="1"/>
  <c r="O20" i="1"/>
  <c r="Q20" i="1" s="1"/>
  <c r="O12" i="1"/>
  <c r="Q12" i="1"/>
  <c r="O16" i="1"/>
  <c r="Q16" i="1" s="1"/>
  <c r="O4" i="1"/>
  <c r="O11" i="1"/>
  <c r="Q11" i="1"/>
  <c r="O10" i="1"/>
  <c r="Q10" i="1"/>
  <c r="O21" i="1"/>
  <c r="Q21" i="1"/>
  <c r="Y5" i="1" a="1"/>
  <c r="Y7" i="1" a="1"/>
  <c r="Q4" i="1" l="1"/>
  <c r="Q18" i="1"/>
  <c r="Q15" i="1"/>
  <c r="AG2" i="1" s="1"/>
  <c r="AE3" i="1" s="1" a="1"/>
  <c r="AC3" i="1" a="1"/>
  <c r="AC2" i="1" s="1"/>
  <c r="AA3" i="1" a="1"/>
  <c r="AE2" i="1" l="1"/>
  <c r="L3" i="1" s="1"/>
  <c r="AA2" i="1"/>
  <c r="L4" i="1" l="1"/>
  <c r="Y8" i="1" a="1"/>
  <c r="U3" i="1" a="1"/>
  <c r="V3" i="1" s="1"/>
  <c r="U4" i="1" l="1" a="1"/>
  <c r="V4" i="1" s="1"/>
  <c r="L5" i="1"/>
  <c r="L6" i="1" l="1"/>
  <c r="U5" i="1" a="1"/>
  <c r="V5" i="1" s="1"/>
  <c r="U6" i="1" l="1" a="1"/>
  <c r="V6" i="1" s="1"/>
  <c r="L7" i="1"/>
  <c r="U7" i="1" l="1" a="1"/>
  <c r="L8" i="1"/>
  <c r="U8" i="1" l="1" a="1"/>
  <c r="L9" i="1"/>
  <c r="L10" i="1" l="1"/>
  <c r="U9" i="1" a="1"/>
  <c r="V9" i="1" s="1"/>
  <c r="V7" i="1"/>
  <c r="U10" i="1" l="1" a="1"/>
  <c r="L11" i="1"/>
  <c r="V8" i="1"/>
  <c r="U11" i="1" l="1" a="1"/>
  <c r="L12" i="1"/>
  <c r="L13" i="1" l="1"/>
  <c r="U12" i="1" a="1"/>
  <c r="V10" i="1"/>
  <c r="U13" i="1" l="1" a="1"/>
  <c r="V13" i="1" s="1"/>
  <c r="L14" i="1"/>
  <c r="V11" i="1"/>
  <c r="L15" i="1" l="1"/>
  <c r="U14" i="1" a="1"/>
  <c r="V12" i="1"/>
  <c r="L16" i="1" l="1"/>
  <c r="U15" i="1" a="1"/>
  <c r="L17" i="1" l="1"/>
  <c r="U16" i="1" a="1"/>
  <c r="V14" i="1"/>
  <c r="L18" i="1" l="1"/>
  <c r="U17" i="1" a="1"/>
  <c r="V15" i="1"/>
  <c r="L19" i="1" l="1"/>
  <c r="U18" i="1" a="1"/>
  <c r="V16" i="1"/>
  <c r="U19" i="1" l="1" a="1"/>
  <c r="V19" i="1" s="1"/>
  <c r="L20" i="1"/>
  <c r="V17" i="1"/>
  <c r="U20" i="1" l="1" a="1"/>
  <c r="V20" i="1" s="1"/>
  <c r="L21" i="1"/>
  <c r="V18" i="1"/>
  <c r="Y9" i="1" l="1" a="1"/>
  <c r="U21" i="1" a="1"/>
  <c r="V21" i="1" s="1"/>
  <c r="Y10" i="1" l="1"/>
  <c r="AH2" i="1" s="1"/>
  <c r="AI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Mauricio Goncalves:
</t>
        </r>
        <r>
          <rPr>
            <sz val="9"/>
            <color rgb="FF000000"/>
            <rFont val="Segoe UI"/>
            <family val="2"/>
            <charset val="1"/>
          </rPr>
          <t>08 - TIPO DE MOVIMENTO
Chave Valor
1        MENSAL
2         FERIAS
3         FERIAS 13 SALARIO
4         13 SALARIO
5         RESCISAO FERIAS VENCIDAS
6         RESCISAO FERIAS PROPORCIONAIS
7         FERIAS_DOBRO_RESC
8         RESCISAO 13 SALARIO
9         RESCISAO AVISO PREVIO
10        ADIANTAMENTO
11        FERIAS2
12        FERIAS2 13 SALARIO
13        PROVISAO FERIAS VENCIDAS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<sst xmlns="http://schemas.openxmlformats.org/spreadsheetml/2006/main" count="4522" uniqueCount="3751">
  <si>
    <t>→</t>
  </si>
  <si>
    <t>@NRORG@</t>
  </si>
  <si>
    <t>@NRO@</t>
  </si>
  <si>
    <t>@NRTIPOMOVIMENT@</t>
  </si>
  <si>
    <t>@CDMATRICULA@</t>
  </si>
  <si>
    <t>@DTMESCOMPETENC@</t>
  </si>
  <si>
    <t>@NREVENTO@</t>
  </si>
  <si>
    <t>@DTOCORRENCIA@</t>
  </si>
  <si>
    <t>@VREVENTOFOLHA@</t>
  </si>
  <si>
    <t>@VRREFFOLHA@</t>
  </si>
  <si>
    <t>Tp Movimento</t>
  </si>
  <si>
    <t>Nr. Vínculo</t>
  </si>
  <si>
    <t>Competência</t>
  </si>
  <si>
    <t>Nr. Evento</t>
  </si>
  <si>
    <t>Valor</t>
  </si>
  <si>
    <t>Descrição do Cálculo</t>
  </si>
  <si>
    <t>Data de Ocorrência</t>
  </si>
  <si>
    <t>Valor de Referencia</t>
  </si>
  <si>
    <t>Script usa:</t>
  </si>
  <si>
    <t>nr vinculo</t>
  </si>
  <si>
    <t>competencia</t>
  </si>
  <si>
    <t>evento</t>
  </si>
  <si>
    <t>dt ocorrência</t>
  </si>
  <si>
    <t>valor</t>
  </si>
  <si>
    <t>referência</t>
  </si>
  <si>
    <t>Saída</t>
  </si>
  <si>
    <t>Configurações</t>
  </si>
  <si>
    <t>inluir novo código na busca de pk's
relatório CSV linha por linha dos erros!
Incluir query de verificação de existência de cálculos
incluir script de criação de cálculos aqui</t>
  </si>
  <si>
    <t>Existe vínculo?</t>
  </si>
  <si>
    <t>Existe evento?</t>
  </si>
  <si>
    <t xml:space="preserve"> </t>
  </si>
  <si>
    <t>CDMATRICULA</t>
  </si>
  <si>
    <t>Linhas</t>
  </si>
  <si>
    <t>NRDE-NRPARA</t>
  </si>
  <si>
    <t>Movimentos (param query)</t>
  </si>
  <si>
    <t>Qde 0's na matricula</t>
  </si>
  <si>
    <t>Competências (param query)</t>
  </si>
  <si>
    <t>Movimentos 2</t>
  </si>
  <si>
    <t>Competências Mês</t>
  </si>
  <si>
    <t>Primeira PK</t>
  </si>
  <si>
    <t>L3</t>
  </si>
  <si>
    <t>Excluir da linha</t>
  </si>
  <si>
    <t>Última PK</t>
  </si>
  <si>
    <t>22 em diante.</t>
  </si>
  <si>
    <t>Registros</t>
  </si>
  <si>
    <t>Nunca antes!!</t>
  </si>
  <si>
    <t>Não excluir esta linha</t>
  </si>
  <si>
    <t>qde linhas template</t>
  </si>
  <si>
    <t>qde base vinculo</t>
  </si>
  <si>
    <t>qde base evento cliente</t>
  </si>
  <si>
    <t>qde base evento HCM</t>
  </si>
  <si>
    <t>Vinculo template</t>
  </si>
  <si>
    <t>vinculo base</t>
  </si>
  <si>
    <t>eventos template</t>
  </si>
  <si>
    <t>eventos base de-para/HCM</t>
  </si>
  <si>
    <t>NRVINCULOM</t>
  </si>
  <si>
    <t>/*Busca vinculos por matricula - numero do cliente*/
SELECT
  VM.CDMATRICULA, VM.NRVINCULOM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  AND ( TRUNC( VM.DTINCLUSAO, 'DD' ) &gt;= :P_DTMIGTESTE OR :P_DTMIGTESTE IS NULL )
ORDER BY VM.CDMATRICULA;</t>
  </si>
  <si>
    <t>NRDE</t>
  </si>
  <si>
    <t>NREVENTOM</t>
  </si>
  <si>
    <t>/*Busca eventos do cliente*/
SELECT DP.NRDE, EVH.NREVENTOM
FROM MIG_MIGRAMDEPARA DP
LEFT JOIN FPA_EVENTOH EVH ON EVH.NRORG IN ( 0, DP.NRORG )
                    AND EVH.NREVENTOM = DP.NRPARA
                    AND EVH.DTMESCOMPETENC = ( SELECT MAX(DTMESCOMPETENC) FROM FPA_EVENTOH
                                               WHERE NRORG          = EVH.NRORG
                                                 AND NREVENTOM      = EVH.NREVENTOM
                                                 AND DTMESCOMPETENC &lt;= :P_DTMESCOMPETENC )
WHERE DP.NRORG = :P_NRORG
ORDER BY DP.NRDE;</t>
  </si>
  <si>
    <t>/*Busca eventos do HCM*/
SELECT
  EVM.NREVENTOM
FROM FPA_EVENTOM EVM
JOIN FPA_EVENTOH EVH ON EVH.NRORG          = EVM.NRORG
                    AND EVH.NREVENTOM      = EVM.NREVENTOM
                    AND EVH.DTMESCOMPETENC = ( SELECT MAX(DTMESCOMPETENC) FROM FPA_EVENTOH
                                               WHERE NRORG          = EVH.NRORG
                                                 AND NREVENTOM      = EVH.NREVENTOM
                                                 AND DTMESCOMPETENC &lt;= :P_DTMESCOMPETENC )
WHERE EVM.NRORG IN ( 0, :P_NRORG )
ORDER BY EVM.NREVENTOM;</t>
  </si>
  <si>
    <t>10</t>
  </si>
  <si>
    <t>1392</t>
  </si>
  <si>
    <t>15</t>
  </si>
  <si>
    <t>ID</t>
  </si>
  <si>
    <t>Script</t>
  </si>
  <si>
    <t>CDMATRICULA/NRDE-NRPARA</t>
  </si>
  <si>
    <t>CDMATRICULA/NREVENTOM</t>
  </si>
  <si>
    <t>NRVINCULOM/NRDE-NRPARA</t>
  </si>
  <si>
    <t>NRVINCULOM/NREVENTOM</t>
  </si>
  <si>
    <t>Protótipo 2 - 07/10/2022</t>
  </si>
  <si>
    <t>texto</t>
  </si>
  <si>
    <t>Nome da função</t>
  </si>
  <si>
    <t>Fórmula lambda</t>
  </si>
  <si>
    <t>Versão</t>
  </si>
  <si>
    <t>Criada</t>
  </si>
  <si>
    <t>Descrição</t>
  </si>
  <si>
    <t>Planilhas:</t>
  </si>
  <si>
    <t>AUX_TROCAR</t>
  </si>
  <si>
    <t>Função auxiliar para trocar caracters especiais</t>
  </si>
  <si>
    <t>Dados</t>
  </si>
  <si>
    <t>MIG_REMOVE.ESPECIAL</t>
  </si>
  <si>
    <t>Remove caracteres especiais. Utiliza a função AUX.TROCAR</t>
  </si>
  <si>
    <t>MIG_GERA.SCRIPT</t>
  </si>
  <si>
    <t>Gera um script substituíndo um texto (script) com mnemônicos de um array por valores de outro array de valores.</t>
  </si>
  <si>
    <t>Base</t>
  </si>
  <si>
    <t>protótipo</t>
  </si>
  <si>
    <t>MIG_NORMA.DATA</t>
  </si>
  <si>
    <t>Normaliza um valor para data</t>
  </si>
  <si>
    <t>MIG_NORMA.TEXTO</t>
  </si>
  <si>
    <t>Normaliza um valor de texto. Remove espaçoes me branco, caracteres especiais e torna o texto maiúsculo.</t>
  </si>
  <si>
    <t>MIG_NORMA.DECIMAL</t>
  </si>
  <si>
    <t>Normaliza um número para ser inserido no banco de dados</t>
  </si>
  <si>
    <t>MIG_NORMA.NÚMERICO</t>
  </si>
  <si>
    <t>Retorna apenas os números de um texto</t>
  </si>
  <si>
    <t>MIG_QRY.CHAVES</t>
  </si>
  <si>
    <t>80</t>
  </si>
  <si>
    <t>22</t>
  </si>
  <si>
    <t>23</t>
  </si>
  <si>
    <t>24</t>
  </si>
  <si>
    <t>27</t>
  </si>
  <si>
    <t>108</t>
  </si>
  <si>
    <t>110</t>
  </si>
  <si>
    <t>112</t>
  </si>
  <si>
    <t>197</t>
  </si>
  <si>
    <t>63</t>
  </si>
  <si>
    <t>25</t>
  </si>
  <si>
    <t>26</t>
  </si>
  <si>
    <t>940</t>
  </si>
  <si>
    <t>941</t>
  </si>
  <si>
    <t>990</t>
  </si>
  <si>
    <t>180</t>
  </si>
  <si>
    <t>105</t>
  </si>
  <si>
    <t>121</t>
  </si>
  <si>
    <t>128</t>
  </si>
  <si>
    <t>129</t>
  </si>
  <si>
    <t>152</t>
  </si>
  <si>
    <t>175</t>
  </si>
  <si>
    <t>179</t>
  </si>
  <si>
    <t>202</t>
  </si>
  <si>
    <t>2</t>
  </si>
  <si>
    <t>231</t>
  </si>
  <si>
    <t>232</t>
  </si>
  <si>
    <t>203</t>
  </si>
  <si>
    <t>250</t>
  </si>
  <si>
    <t>20</t>
  </si>
  <si>
    <t>34</t>
  </si>
  <si>
    <t>204</t>
  </si>
  <si>
    <t>235</t>
  </si>
  <si>
    <t>277</t>
  </si>
  <si>
    <t>150</t>
  </si>
  <si>
    <t>160</t>
  </si>
  <si>
    <t>167</t>
  </si>
  <si>
    <t>222</t>
  </si>
  <si>
    <t>996</t>
  </si>
  <si>
    <t>997</t>
  </si>
  <si>
    <t>75</t>
  </si>
  <si>
    <t>239</t>
  </si>
  <si>
    <t>942</t>
  </si>
  <si>
    <t>253</t>
  </si>
  <si>
    <t>39</t>
  </si>
  <si>
    <t>130</t>
  </si>
  <si>
    <t>137</t>
  </si>
  <si>
    <t>138</t>
  </si>
  <si>
    <t>248</t>
  </si>
  <si>
    <t>21</t>
  </si>
  <si>
    <t>254</t>
  </si>
  <si>
    <t>255</t>
  </si>
  <si>
    <t>256</t>
  </si>
  <si>
    <t>215</t>
  </si>
  <si>
    <t>28</t>
  </si>
  <si>
    <t>77</t>
  </si>
  <si>
    <t>190</t>
  </si>
  <si>
    <t>979</t>
  </si>
  <si>
    <t>272</t>
  </si>
  <si>
    <t>257</t>
  </si>
  <si>
    <t>3</t>
  </si>
  <si>
    <t>35</t>
  </si>
  <si>
    <t>64</t>
  </si>
  <si>
    <t>227</t>
  </si>
  <si>
    <t>211</t>
  </si>
  <si>
    <t>123</t>
  </si>
  <si>
    <t>210</t>
  </si>
  <si>
    <t>81</t>
  </si>
  <si>
    <t>198</t>
  </si>
  <si>
    <t>213</t>
  </si>
  <si>
    <t>199</t>
  </si>
  <si>
    <t>205</t>
  </si>
  <si>
    <t>221</t>
  </si>
  <si>
    <t>76</t>
  </si>
  <si>
    <t>18</t>
  </si>
  <si>
    <t>212</t>
  </si>
  <si>
    <t>208</t>
  </si>
  <si>
    <t>214</t>
  </si>
  <si>
    <t>113</t>
  </si>
  <si>
    <t>258</t>
  </si>
  <si>
    <t>195</t>
  </si>
  <si>
    <t>261</t>
  </si>
  <si>
    <t>42</t>
  </si>
  <si>
    <t>225</t>
  </si>
  <si>
    <t>246</t>
  </si>
  <si>
    <t>241</t>
  </si>
  <si>
    <t>242</t>
  </si>
  <si>
    <t>61</t>
  </si>
  <si>
    <t>209</t>
  </si>
  <si>
    <t>156</t>
  </si>
  <si>
    <t>171</t>
  </si>
  <si>
    <t>252</t>
  </si>
  <si>
    <t>217</t>
  </si>
  <si>
    <t>122</t>
  </si>
  <si>
    <t>164</t>
  </si>
  <si>
    <t>244</t>
  </si>
  <si>
    <t>151</t>
  </si>
  <si>
    <t>263</t>
  </si>
  <si>
    <t>264</t>
  </si>
  <si>
    <t>243</t>
  </si>
  <si>
    <t>220</t>
  </si>
  <si>
    <t>223</t>
  </si>
  <si>
    <t>238</t>
  </si>
  <si>
    <t>125</t>
  </si>
  <si>
    <t>196</t>
  </si>
  <si>
    <t>145</t>
  </si>
  <si>
    <t>116</t>
  </si>
  <si>
    <t>120</t>
  </si>
  <si>
    <t>978</t>
  </si>
  <si>
    <t>168</t>
  </si>
  <si>
    <t>119</t>
  </si>
  <si>
    <t>228</t>
  </si>
  <si>
    <t>13</t>
  </si>
  <si>
    <t>153</t>
  </si>
  <si>
    <t>226</t>
  </si>
  <si>
    <t>154</t>
  </si>
  <si>
    <t>169</t>
  </si>
  <si>
    <t>17</t>
  </si>
  <si>
    <t>229</t>
  </si>
  <si>
    <t>224</t>
  </si>
  <si>
    <t>32</t>
  </si>
  <si>
    <t>245</t>
  </si>
  <si>
    <t>233</t>
  </si>
  <si>
    <t>249</t>
  </si>
  <si>
    <t>230</t>
  </si>
  <si>
    <t>268</t>
  </si>
  <si>
    <t>236</t>
  </si>
  <si>
    <t>234</t>
  </si>
  <si>
    <t>31</t>
  </si>
  <si>
    <t>260</t>
  </si>
  <si>
    <t>247</t>
  </si>
  <si>
    <t>251</t>
  </si>
  <si>
    <t>259</t>
  </si>
  <si>
    <t>992</t>
  </si>
  <si>
    <t>267</t>
  </si>
  <si>
    <t>266</t>
  </si>
  <si>
    <t>158</t>
  </si>
  <si>
    <t>173</t>
  </si>
  <si>
    <t>281</t>
  </si>
  <si>
    <t>265</t>
  </si>
  <si>
    <t>278</t>
  </si>
  <si>
    <t>975</t>
  </si>
  <si>
    <t>279</t>
  </si>
  <si>
    <t>282</t>
  </si>
  <si>
    <t>280</t>
  </si>
  <si>
    <t>269</t>
  </si>
  <si>
    <t>270</t>
  </si>
  <si>
    <t>274</t>
  </si>
  <si>
    <t>271</t>
  </si>
  <si>
    <t>273</t>
  </si>
  <si>
    <t>100</t>
  </si>
  <si>
    <t>998</t>
  </si>
  <si>
    <t>999</t>
  </si>
  <si>
    <t>1000</t>
  </si>
  <si>
    <t>1001</t>
  </si>
  <si>
    <t>1002</t>
  </si>
  <si>
    <t>1003</t>
  </si>
  <si>
    <t>1004</t>
  </si>
  <si>
    <t>1005</t>
  </si>
  <si>
    <t>101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</si>
  <si>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</si>
  <si>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</si>
  <si>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</si>
  <si>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</si>
  <si>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</si>
  <si>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</si>
  <si>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</si>
  <si>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</si>
  <si>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</si>
  <si>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</si>
  <si>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102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</si>
  <si>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</si>
  <si>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</si>
  <si>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</si>
  <si>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</si>
  <si>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</si>
  <si>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</si>
  <si>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</si>
  <si>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</si>
  <si>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</si>
  <si>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</si>
  <si>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103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</si>
  <si>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</si>
  <si>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</si>
  <si>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</si>
  <si>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</si>
  <si>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</si>
  <si>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</si>
  <si>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</si>
  <si>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</si>
  <si>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</si>
  <si>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</si>
  <si>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104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</si>
  <si>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</si>
  <si>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</si>
  <si>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</si>
  <si>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</si>
  <si>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</si>
  <si>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</si>
  <si>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</si>
  <si>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</si>
  <si>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</si>
  <si>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</si>
  <si>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</si>
  <si>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</si>
  <si>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</si>
  <si>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</si>
  <si>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</si>
  <si>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</si>
  <si>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</si>
  <si>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</si>
  <si>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</si>
  <si>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</si>
  <si>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106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</si>
  <si>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</si>
  <si>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</si>
  <si>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</si>
  <si>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</si>
  <si>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</si>
  <si>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</si>
  <si>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</si>
  <si>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</si>
  <si>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</si>
  <si>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107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</si>
  <si>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</si>
  <si>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</si>
  <si>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</si>
  <si>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</si>
  <si>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</si>
  <si>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</si>
  <si>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</si>
  <si>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</si>
  <si>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</si>
  <si>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</si>
  <si>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</si>
  <si>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</si>
  <si>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</si>
  <si>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</si>
  <si>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</si>
  <si>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</si>
  <si>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</si>
  <si>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</si>
  <si>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</si>
  <si>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</si>
  <si>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109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</si>
  <si>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</si>
  <si>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</si>
  <si>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</si>
  <si>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</si>
  <si>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</si>
  <si>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</si>
  <si>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</si>
  <si>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</si>
  <si>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</si>
  <si>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</si>
  <si>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11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</si>
  <si>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</si>
  <si>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</si>
  <si>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</si>
  <si>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</si>
  <si>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</si>
  <si>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</si>
  <si>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</si>
  <si>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</si>
  <si>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</si>
  <si>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</si>
  <si>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111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</si>
  <si>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</si>
  <si>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</si>
  <si>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</si>
  <si>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</si>
  <si>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</si>
  <si>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</si>
  <si>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</si>
  <si>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</si>
  <si>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</si>
  <si>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</si>
  <si>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</si>
  <si>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</si>
  <si>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</si>
  <si>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</si>
  <si>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</si>
  <si>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</si>
  <si>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</si>
  <si>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</si>
  <si>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</si>
  <si>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</si>
  <si>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</si>
  <si>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</si>
  <si>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</si>
  <si>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</si>
  <si>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</si>
  <si>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</si>
  <si>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</si>
  <si>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</si>
  <si>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</si>
  <si>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</si>
  <si>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</si>
  <si>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</si>
  <si>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</si>
  <si>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</si>
  <si>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</si>
  <si>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</si>
  <si>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</si>
  <si>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</si>
  <si>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</si>
  <si>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</si>
  <si>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</si>
  <si>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115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</si>
  <si>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</si>
  <si>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</si>
  <si>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</si>
  <si>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</si>
  <si>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</si>
  <si>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</si>
  <si>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</si>
  <si>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</si>
  <si>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</si>
  <si>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1155</t>
  </si>
  <si>
    <t>1158</t>
  </si>
  <si>
    <t>1159</t>
  </si>
  <si>
    <t>1160</t>
  </si>
  <si>
    <t>1161</t>
  </si>
  <si>
    <t>1162</t>
  </si>
  <si>
    <t>1163</t>
  </si>
  <si>
    <t>1164</t>
  </si>
  <si>
    <t>117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</si>
  <si>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</si>
  <si>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</si>
  <si>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</si>
  <si>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</si>
  <si>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</si>
  <si>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</si>
  <si>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</si>
  <si>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</si>
  <si>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</si>
  <si>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118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</si>
  <si>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</si>
  <si>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</si>
  <si>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</si>
  <si>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</si>
  <si>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</si>
  <si>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</si>
  <si>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</si>
  <si>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</si>
  <si>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</si>
  <si>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</si>
  <si>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</si>
  <si>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</si>
  <si>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</si>
  <si>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</si>
  <si>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</si>
  <si>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</si>
  <si>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</si>
  <si>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</si>
  <si>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12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</si>
  <si>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</si>
  <si>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</si>
  <si>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</si>
  <si>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</si>
  <si>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</si>
  <si>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</si>
  <si>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</si>
  <si>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</si>
  <si>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</si>
  <si>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</si>
  <si>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</si>
  <si>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</si>
  <si>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</si>
  <si>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</si>
  <si>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</si>
  <si>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</si>
  <si>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</si>
  <si>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</si>
  <si>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</si>
  <si>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</si>
  <si>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</si>
  <si>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</si>
  <si>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</si>
  <si>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</si>
  <si>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</si>
  <si>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</si>
  <si>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</si>
  <si>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</si>
  <si>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</si>
  <si>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</si>
  <si>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</si>
  <si>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</si>
  <si>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</si>
  <si>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</si>
  <si>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</si>
  <si>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124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</si>
  <si>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</si>
  <si>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</si>
  <si>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</si>
  <si>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</si>
  <si>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</si>
  <si>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</si>
  <si>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</si>
  <si>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</si>
  <si>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</si>
  <si>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</si>
  <si>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</si>
  <si>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</si>
  <si>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</si>
  <si>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</si>
  <si>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</si>
  <si>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</si>
  <si>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</si>
  <si>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</si>
  <si>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</si>
  <si>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</si>
  <si>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126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</si>
  <si>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</si>
  <si>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</si>
  <si>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</si>
  <si>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</si>
  <si>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</si>
  <si>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</si>
  <si>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</si>
  <si>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</si>
  <si>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</si>
  <si>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</si>
  <si>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</si>
  <si>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</si>
  <si>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</si>
  <si>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</si>
  <si>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</si>
  <si>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</si>
  <si>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</si>
  <si>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</si>
  <si>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</si>
  <si>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</si>
  <si>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</si>
  <si>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</si>
  <si>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</si>
  <si>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</si>
  <si>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</si>
  <si>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</si>
  <si>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</si>
  <si>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</si>
  <si>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</si>
  <si>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</si>
  <si>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</si>
  <si>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</si>
  <si>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</si>
  <si>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</si>
  <si>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</si>
  <si>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</si>
  <si>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</si>
  <si>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</si>
  <si>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1287</t>
  </si>
  <si>
    <t>1289</t>
  </si>
  <si>
    <t>1290</t>
  </si>
  <si>
    <t>1291</t>
  </si>
  <si>
    <t>1292</t>
  </si>
  <si>
    <t>1293</t>
  </si>
  <si>
    <t>1294</t>
  </si>
  <si>
    <t>131</t>
  </si>
  <si>
    <t>1297</t>
  </si>
  <si>
    <t>1298</t>
  </si>
  <si>
    <t>1299</t>
  </si>
  <si>
    <t>1300</t>
  </si>
  <si>
    <t>1301</t>
  </si>
  <si>
    <t>1302</t>
  </si>
  <si>
    <t>1303</t>
  </si>
  <si>
    <t>1304</t>
  </si>
  <si>
    <t>132</t>
  </si>
  <si>
    <t>1305</t>
  </si>
  <si>
    <t>1306</t>
  </si>
  <si>
    <t>1307</t>
  </si>
  <si>
    <t>1308</t>
  </si>
  <si>
    <t>1309</t>
  </si>
  <si>
    <t>1310</t>
  </si>
  <si>
    <t>1312</t>
  </si>
  <si>
    <t>1313</t>
  </si>
  <si>
    <t>133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</si>
  <si>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</si>
  <si>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</si>
  <si>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</si>
  <si>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</si>
  <si>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</si>
  <si>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</si>
  <si>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</si>
  <si>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</si>
  <si>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</si>
  <si>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</si>
  <si>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134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</si>
  <si>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</si>
  <si>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</si>
  <si>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</si>
  <si>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</si>
  <si>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</si>
  <si>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</si>
  <si>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</si>
  <si>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</si>
  <si>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</si>
  <si>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</si>
  <si>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135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</si>
  <si>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</si>
  <si>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</si>
  <si>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</si>
  <si>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</si>
  <si>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</si>
  <si>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</si>
  <si>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</si>
  <si>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</si>
  <si>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</si>
  <si>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</si>
  <si>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136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</si>
  <si>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</si>
  <si>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</si>
  <si>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</si>
  <si>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</si>
  <si>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</si>
  <si>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</si>
  <si>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</si>
  <si>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</si>
  <si>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</si>
  <si>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</si>
  <si>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</si>
  <si>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</si>
  <si>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</si>
  <si>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</si>
  <si>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</si>
  <si>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</si>
  <si>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</si>
  <si>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</si>
  <si>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</si>
  <si>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</si>
  <si>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</si>
  <si>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</si>
  <si>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</si>
  <si>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</si>
  <si>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</si>
  <si>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</si>
  <si>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</si>
  <si>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</si>
  <si>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</si>
  <si>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139</t>
  </si>
  <si>
    <t>1376</t>
  </si>
  <si>
    <t>1377</t>
  </si>
  <si>
    <t>1378</t>
  </si>
  <si>
    <t>1379</t>
  </si>
  <si>
    <t>1380</t>
  </si>
  <si>
    <t>1381</t>
  </si>
  <si>
    <t>1382</t>
  </si>
  <si>
    <t>1383</t>
  </si>
  <si>
    <t>14</t>
  </si>
  <si>
    <t>140</t>
  </si>
  <si>
    <t>1384</t>
  </si>
  <si>
    <t>1385</t>
  </si>
  <si>
    <t>1386</t>
  </si>
  <si>
    <t>1387</t>
  </si>
  <si>
    <t>1388</t>
  </si>
  <si>
    <t>1389</t>
  </si>
  <si>
    <t>1390</t>
  </si>
  <si>
    <t>1391</t>
  </si>
  <si>
    <t>1393</t>
  </si>
  <si>
    <t>141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</si>
  <si>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</si>
  <si>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</si>
  <si>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</si>
  <si>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</si>
  <si>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</si>
  <si>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</si>
  <si>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</si>
  <si>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</si>
  <si>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</si>
  <si>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</si>
  <si>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142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</si>
  <si>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</si>
  <si>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</si>
  <si>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</si>
  <si>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</si>
  <si>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</si>
  <si>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</si>
  <si>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</si>
  <si>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</si>
  <si>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</si>
  <si>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143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</si>
  <si>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</si>
  <si>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</si>
  <si>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</si>
  <si>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</si>
  <si>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</si>
  <si>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</si>
  <si>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</si>
  <si>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</si>
  <si>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</si>
  <si>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144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</si>
  <si>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</si>
  <si>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</si>
  <si>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</si>
  <si>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</si>
  <si>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</si>
  <si>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</si>
  <si>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</si>
  <si>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</si>
  <si>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</si>
  <si>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</si>
  <si>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</si>
  <si>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</si>
  <si>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</si>
  <si>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</si>
  <si>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</si>
  <si>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</si>
  <si>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</si>
  <si>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</si>
  <si>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</si>
  <si>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146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</si>
  <si>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</si>
  <si>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</si>
  <si>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</si>
  <si>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</si>
  <si>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</si>
  <si>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</si>
  <si>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</si>
  <si>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</si>
  <si>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</si>
  <si>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147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</si>
  <si>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</si>
  <si>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</si>
  <si>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</si>
  <si>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</si>
  <si>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</si>
  <si>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</si>
  <si>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</si>
  <si>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</si>
  <si>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</si>
  <si>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</si>
  <si>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148</t>
  </si>
  <si>
    <t>1460</t>
  </si>
  <si>
    <t>1461</t>
  </si>
  <si>
    <t>1462</t>
  </si>
  <si>
    <t>1463</t>
  </si>
  <si>
    <t>1464</t>
  </si>
  <si>
    <t>1465</t>
  </si>
  <si>
    <t>1466</t>
  </si>
  <si>
    <t>1467</t>
  </si>
  <si>
    <t>149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</si>
  <si>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</si>
  <si>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</si>
  <si>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</si>
  <si>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</si>
  <si>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</si>
  <si>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</si>
  <si>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</si>
  <si>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</si>
  <si>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</si>
  <si>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</si>
  <si>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</si>
  <si>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</si>
  <si>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</si>
  <si>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</si>
  <si>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</si>
  <si>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</si>
  <si>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</si>
  <si>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</si>
  <si>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</si>
  <si>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</si>
  <si>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</si>
  <si>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</si>
  <si>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</si>
  <si>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</si>
  <si>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</si>
  <si>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</si>
  <si>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</si>
  <si>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</si>
  <si>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</si>
  <si>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</si>
  <si>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</si>
  <si>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</si>
  <si>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</si>
  <si>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</si>
  <si>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</si>
  <si>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</si>
  <si>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</si>
  <si>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</si>
  <si>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</si>
  <si>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</si>
  <si>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</si>
  <si>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</si>
  <si>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</si>
  <si>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</si>
  <si>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</si>
  <si>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</si>
  <si>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</si>
  <si>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</si>
  <si>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</si>
  <si>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</si>
  <si>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</si>
  <si>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</si>
  <si>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</si>
  <si>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1523</t>
  </si>
  <si>
    <t>1524</t>
  </si>
  <si>
    <t>1525</t>
  </si>
  <si>
    <t>1526</t>
  </si>
  <si>
    <t>155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</si>
  <si>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</si>
  <si>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</si>
  <si>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</si>
  <si>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</si>
  <si>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</si>
  <si>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</si>
  <si>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</si>
  <si>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</si>
  <si>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</si>
  <si>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</si>
  <si>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</si>
  <si>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</si>
  <si>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</si>
  <si>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</si>
  <si>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</si>
  <si>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</si>
  <si>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</si>
  <si>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</si>
  <si>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</si>
  <si>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</si>
  <si>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</si>
  <si>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</si>
  <si>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</si>
  <si>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</si>
  <si>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</si>
  <si>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</si>
  <si>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</si>
  <si>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</si>
  <si>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</si>
  <si>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</si>
  <si>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</si>
  <si>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</si>
  <si>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</si>
  <si>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</si>
  <si>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</si>
  <si>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</si>
  <si>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</si>
  <si>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</si>
  <si>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</si>
  <si>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159</t>
  </si>
  <si>
    <t>1566</t>
  </si>
  <si>
    <t>1567</t>
  </si>
  <si>
    <t>1568</t>
  </si>
  <si>
    <t>1570</t>
  </si>
  <si>
    <t>16</t>
  </si>
  <si>
    <t>1580</t>
  </si>
  <si>
    <t>161</t>
  </si>
  <si>
    <t>1590</t>
  </si>
  <si>
    <t>162</t>
  </si>
  <si>
    <t>1600</t>
  </si>
  <si>
    <t>163</t>
  </si>
  <si>
    <t>1610</t>
  </si>
  <si>
    <t>1620</t>
  </si>
  <si>
    <t>165</t>
  </si>
  <si>
    <t>1630</t>
  </si>
  <si>
    <t>166</t>
  </si>
  <si>
    <t>1640</t>
  </si>
  <si>
    <t>1650</t>
  </si>
  <si>
    <t>1660</t>
  </si>
  <si>
    <t>1670</t>
  </si>
  <si>
    <t>170</t>
  </si>
  <si>
    <t>1675</t>
  </si>
  <si>
    <t>1680</t>
  </si>
  <si>
    <t>1690</t>
  </si>
  <si>
    <t>1691</t>
  </si>
  <si>
    <t>172</t>
  </si>
  <si>
    <t>1695</t>
  </si>
  <si>
    <t>1700</t>
  </si>
  <si>
    <t>1710</t>
  </si>
  <si>
    <t>174</t>
  </si>
  <si>
    <t>176</t>
  </si>
  <si>
    <t>177</t>
  </si>
  <si>
    <t>178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</si>
  <si>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</si>
  <si>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</si>
  <si>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</si>
  <si>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</si>
  <si>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</si>
  <si>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</si>
  <si>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</si>
  <si>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</si>
  <si>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</si>
  <si>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</t>
  </si>
  <si>
    <t>191</t>
  </si>
  <si>
    <t>192</t>
  </si>
  <si>
    <t>193</t>
  </si>
  <si>
    <t>194</t>
  </si>
  <si>
    <t>200</t>
  </si>
  <si>
    <t>201</t>
  </si>
  <si>
    <t>2010</t>
  </si>
  <si>
    <t>206</t>
  </si>
  <si>
    <t>2020</t>
  </si>
  <si>
    <t>207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</si>
  <si>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</si>
  <si>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</si>
  <si>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</si>
  <si>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</si>
  <si>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</si>
  <si>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</si>
  <si>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</si>
  <si>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</si>
  <si>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</si>
  <si>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216</t>
  </si>
  <si>
    <t>2120</t>
  </si>
  <si>
    <t>2130</t>
  </si>
  <si>
    <t>218</t>
  </si>
  <si>
    <t>2140</t>
  </si>
  <si>
    <t>219</t>
  </si>
  <si>
    <t>2150</t>
  </si>
  <si>
    <t>237</t>
  </si>
  <si>
    <t>240</t>
  </si>
  <si>
    <t>262</t>
  </si>
  <si>
    <t>275</t>
  </si>
  <si>
    <t>276</t>
  </si>
  <si>
    <t>283</t>
  </si>
  <si>
    <t>284</t>
  </si>
  <si>
    <t>285</t>
  </si>
  <si>
    <t>286</t>
  </si>
  <si>
    <t>287</t>
  </si>
  <si>
    <t>288</t>
  </si>
  <si>
    <t>289</t>
  </si>
  <si>
    <t>29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</si>
  <si>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</si>
  <si>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</si>
  <si>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</si>
  <si>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</si>
  <si>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</si>
  <si>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</si>
  <si>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</si>
  <si>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</si>
  <si>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</si>
  <si>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</si>
  <si>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</si>
  <si>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</si>
  <si>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</si>
  <si>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</si>
  <si>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</si>
  <si>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</si>
  <si>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</si>
  <si>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</si>
  <si>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</si>
  <si>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</si>
  <si>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</si>
  <si>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</si>
  <si>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</si>
  <si>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</si>
  <si>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</si>
  <si>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</si>
  <si>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</si>
  <si>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</si>
  <si>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</si>
  <si>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</si>
  <si>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</si>
  <si>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</si>
  <si>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</si>
  <si>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</si>
  <si>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</si>
  <si>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</si>
  <si>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</si>
  <si>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</si>
  <si>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</si>
  <si>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</si>
  <si>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</si>
  <si>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</si>
  <si>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</si>
  <si>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</si>
  <si>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</si>
  <si>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</si>
  <si>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</si>
  <si>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</si>
  <si>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</si>
  <si>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</si>
  <si>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</si>
  <si>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</si>
  <si>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</si>
  <si>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</si>
  <si>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</si>
  <si>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</si>
  <si>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</si>
  <si>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</si>
  <si>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</si>
  <si>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</si>
  <si>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</si>
  <si>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</si>
  <si>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</si>
  <si>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</si>
  <si>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</si>
  <si>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</si>
  <si>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</si>
  <si>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</si>
  <si>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</si>
  <si>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</si>
  <si>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</si>
  <si>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</si>
  <si>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</si>
  <si>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</si>
  <si>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</si>
  <si>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</si>
  <si>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</si>
  <si>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</si>
  <si>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</si>
  <si>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</si>
  <si>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</si>
  <si>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</si>
  <si>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</si>
  <si>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</si>
  <si>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</si>
  <si>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</si>
  <si>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</si>
  <si>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</si>
  <si>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</si>
  <si>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</si>
  <si>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</si>
  <si>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</si>
  <si>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</si>
  <si>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</si>
  <si>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</si>
  <si>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</si>
  <si>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</si>
  <si>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</si>
  <si>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</si>
  <si>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</si>
  <si>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</si>
  <si>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</si>
  <si>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</si>
  <si>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</si>
  <si>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</si>
  <si>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</si>
  <si>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</si>
  <si>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</si>
  <si>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</si>
  <si>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</si>
  <si>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</si>
  <si>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</si>
  <si>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</si>
  <si>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</si>
  <si>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</si>
  <si>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</si>
  <si>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</si>
  <si>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</si>
  <si>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</si>
  <si>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</si>
  <si>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</si>
  <si>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</si>
  <si>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</si>
  <si>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</si>
  <si>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</si>
  <si>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</si>
  <si>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</si>
  <si>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</si>
  <si>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</si>
  <si>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</si>
  <si>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</si>
  <si>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</si>
  <si>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</si>
  <si>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</si>
  <si>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</si>
  <si>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</si>
  <si>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</si>
  <si>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</si>
  <si>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</si>
  <si>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</si>
  <si>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</si>
  <si>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</si>
  <si>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</si>
  <si>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</si>
  <si>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</si>
  <si>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</si>
  <si>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</si>
  <si>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</si>
  <si>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</si>
  <si>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</si>
  <si>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</si>
  <si>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</si>
  <si>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</si>
  <si>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</si>
  <si>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</si>
  <si>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</si>
  <si>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</si>
  <si>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</si>
  <si>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</si>
  <si>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</si>
  <si>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</si>
  <si>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</si>
  <si>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</si>
  <si>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</si>
  <si>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</si>
  <si>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</si>
  <si>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</si>
  <si>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</si>
  <si>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</si>
  <si>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</si>
  <si>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</si>
  <si>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</si>
  <si>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</si>
  <si>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</si>
  <si>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</si>
  <si>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</si>
  <si>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</si>
  <si>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</si>
  <si>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</si>
  <si>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</si>
  <si>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</si>
  <si>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</si>
  <si>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</si>
  <si>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</si>
  <si>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</si>
  <si>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</si>
  <si>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</si>
  <si>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</si>
  <si>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</si>
  <si>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</si>
  <si>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</si>
  <si>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</si>
  <si>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</si>
  <si>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</si>
  <si>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</si>
  <si>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</si>
  <si>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</si>
  <si>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</si>
  <si>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</si>
  <si>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</si>
  <si>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</si>
  <si>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</si>
  <si>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</si>
  <si>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</si>
  <si>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</si>
  <si>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</si>
  <si>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</si>
  <si>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</si>
  <si>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</si>
  <si>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</si>
  <si>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</si>
  <si>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</si>
  <si>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</si>
  <si>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</si>
  <si>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</si>
  <si>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</si>
  <si>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</si>
  <si>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</si>
  <si>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</si>
  <si>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</si>
  <si>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</si>
  <si>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</si>
  <si>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</si>
  <si>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</si>
  <si>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</si>
  <si>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</si>
  <si>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</si>
  <si>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</si>
  <si>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</si>
  <si>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</si>
  <si>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</si>
  <si>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</si>
  <si>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</si>
  <si>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</si>
  <si>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</si>
  <si>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</si>
  <si>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</si>
  <si>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</si>
  <si>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</si>
  <si>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</si>
  <si>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</si>
  <si>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</si>
  <si>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</si>
  <si>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</si>
  <si>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</si>
  <si>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</si>
  <si>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</si>
  <si>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</si>
  <si>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</si>
  <si>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</si>
  <si>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</si>
  <si>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</si>
  <si>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</si>
  <si>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</si>
  <si>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</si>
  <si>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</si>
  <si>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</si>
  <si>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</si>
  <si>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</si>
  <si>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</si>
  <si>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</si>
  <si>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</si>
  <si>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</si>
  <si>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</si>
  <si>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</si>
  <si>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</si>
  <si>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</si>
  <si>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</si>
  <si>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</si>
  <si>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</si>
  <si>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</si>
  <si>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</si>
  <si>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</si>
  <si>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</si>
  <si>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</si>
  <si>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</si>
  <si>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</si>
  <si>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</si>
  <si>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</si>
  <si>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</si>
  <si>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</si>
  <si>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</si>
  <si>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</si>
  <si>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</si>
  <si>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</si>
  <si>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</si>
  <si>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</si>
  <si>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</si>
  <si>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</si>
  <si>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</si>
  <si>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</si>
  <si>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</si>
  <si>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</si>
  <si>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</si>
  <si>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</si>
  <si>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</si>
  <si>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</si>
  <si>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</si>
  <si>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</si>
  <si>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</si>
  <si>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</si>
  <si>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</si>
  <si>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</si>
  <si>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</si>
  <si>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</si>
  <si>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</si>
  <si>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</si>
  <si>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</si>
  <si>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</si>
  <si>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</si>
  <si>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</si>
  <si>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</si>
  <si>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</si>
  <si>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</si>
  <si>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</si>
  <si>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</si>
  <si>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</si>
  <si>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</si>
  <si>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</si>
  <si>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</si>
  <si>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</si>
  <si>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</si>
  <si>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</si>
  <si>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</si>
  <si>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</si>
  <si>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</si>
  <si>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</si>
  <si>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</si>
  <si>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</si>
  <si>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</si>
  <si>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</si>
  <si>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</si>
  <si>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</si>
  <si>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</si>
  <si>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</si>
  <si>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</si>
  <si>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</si>
  <si>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</si>
  <si>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</si>
  <si>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</si>
  <si>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</si>
  <si>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</si>
  <si>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</si>
  <si>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</si>
  <si>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</si>
  <si>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</si>
  <si>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</si>
  <si>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</si>
  <si>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</si>
  <si>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</si>
  <si>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618</t>
  </si>
  <si>
    <t>619</t>
  </si>
  <si>
    <t>62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</si>
  <si>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</si>
  <si>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</si>
  <si>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</si>
  <si>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</si>
  <si>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</si>
  <si>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</si>
  <si>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</si>
  <si>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</si>
  <si>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</si>
  <si>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</si>
  <si>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</si>
  <si>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</si>
  <si>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</si>
  <si>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634</t>
  </si>
  <si>
    <t>635</t>
  </si>
  <si>
    <t>636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</si>
  <si>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</si>
  <si>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</si>
  <si>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</si>
  <si>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</si>
  <si>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</si>
  <si>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</si>
  <si>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</si>
  <si>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</si>
  <si>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</si>
  <si>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</si>
  <si>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</si>
  <si>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</si>
  <si>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</si>
  <si>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</si>
  <si>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</si>
  <si>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</si>
  <si>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</si>
  <si>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</si>
  <si>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</si>
  <si>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</si>
  <si>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</si>
  <si>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</si>
  <si>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</si>
  <si>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</si>
  <si>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</si>
  <si>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</si>
  <si>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</si>
  <si>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</si>
  <si>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</si>
  <si>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</si>
  <si>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</si>
  <si>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</si>
  <si>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</si>
  <si>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</si>
  <si>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</t>
  </si>
  <si>
    <t>670</t>
  </si>
  <si>
    <t>671</t>
  </si>
  <si>
    <t>673</t>
  </si>
  <si>
    <t>674</t>
  </si>
  <si>
    <t>675</t>
  </si>
  <si>
    <t>676</t>
  </si>
  <si>
    <t>677</t>
  </si>
  <si>
    <t>678</t>
  </si>
  <si>
    <t>679</t>
  </si>
  <si>
    <t>68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</si>
  <si>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</si>
  <si>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</si>
  <si>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</si>
  <si>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</si>
  <si>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</si>
  <si>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</si>
  <si>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</si>
  <si>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</si>
  <si>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</si>
  <si>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</si>
  <si>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</si>
  <si>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</si>
  <si>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</si>
  <si>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</si>
  <si>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</si>
  <si>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</si>
  <si>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</si>
  <si>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</si>
  <si>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</si>
  <si>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</si>
  <si>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</si>
  <si>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</t>
  </si>
  <si>
    <t>700</t>
  </si>
  <si>
    <t>702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</si>
  <si>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</si>
  <si>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</si>
  <si>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</si>
  <si>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</si>
  <si>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</si>
  <si>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</si>
  <si>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</si>
  <si>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</si>
  <si>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</si>
  <si>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</si>
  <si>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</si>
  <si>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</si>
  <si>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</si>
  <si>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</si>
  <si>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</si>
  <si>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</si>
  <si>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</si>
  <si>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</si>
  <si>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</si>
  <si>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</si>
  <si>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</si>
  <si>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</si>
  <si>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</si>
  <si>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</si>
  <si>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</si>
  <si>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</si>
  <si>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</si>
  <si>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</si>
  <si>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</si>
  <si>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</si>
  <si>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</si>
  <si>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</si>
  <si>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</si>
  <si>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</si>
  <si>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</si>
  <si>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</si>
  <si>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</si>
  <si>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</si>
  <si>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</si>
  <si>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</si>
  <si>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</si>
  <si>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</si>
  <si>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</si>
  <si>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</si>
  <si>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</si>
  <si>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</si>
  <si>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</si>
  <si>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</si>
  <si>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</si>
  <si>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</si>
  <si>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</si>
  <si>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</si>
  <si>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</si>
  <si>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</si>
  <si>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</si>
  <si>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</si>
  <si>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</si>
  <si>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</si>
  <si>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</si>
  <si>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</si>
  <si>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</si>
  <si>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</si>
  <si>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</si>
  <si>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</si>
  <si>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</si>
  <si>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</si>
  <si>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</si>
  <si>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</si>
  <si>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</si>
  <si>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</si>
  <si>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</si>
  <si>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</si>
  <si>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</si>
  <si>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</si>
  <si>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</si>
  <si>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</si>
  <si>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</si>
  <si>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</si>
  <si>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</si>
  <si>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</si>
  <si>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</si>
  <si>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</si>
  <si>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</si>
  <si>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</si>
  <si>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</si>
  <si>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</si>
  <si>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</si>
  <si>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</si>
  <si>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</si>
  <si>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</si>
  <si>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</si>
  <si>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79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</si>
  <si>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</si>
  <si>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</si>
  <si>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</si>
  <si>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</si>
  <si>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</si>
  <si>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</si>
  <si>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</si>
  <si>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</si>
  <si>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</si>
  <si>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</si>
  <si>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</si>
  <si>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</si>
  <si>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</si>
  <si>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</si>
  <si>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</si>
  <si>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</si>
  <si>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</si>
  <si>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</si>
  <si>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</si>
  <si>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</si>
  <si>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</si>
  <si>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</si>
  <si>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</si>
  <si>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</si>
  <si>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</si>
  <si>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</si>
  <si>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</si>
  <si>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</si>
  <si>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</si>
  <si>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82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</si>
  <si>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</si>
  <si>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</si>
  <si>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</si>
  <si>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</si>
  <si>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</si>
  <si>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</si>
  <si>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</si>
  <si>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</si>
  <si>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</si>
  <si>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83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</si>
  <si>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</si>
  <si>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</si>
  <si>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</si>
  <si>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</si>
  <si>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</si>
  <si>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</si>
  <si>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</si>
  <si>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</si>
  <si>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</si>
  <si>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</si>
  <si>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84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</si>
  <si>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</si>
  <si>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</si>
  <si>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</si>
  <si>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</si>
  <si>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</si>
  <si>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</si>
  <si>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</si>
  <si>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</si>
  <si>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</si>
  <si>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</si>
  <si>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85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</si>
  <si>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</si>
  <si>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</si>
  <si>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</si>
  <si>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</si>
  <si>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</si>
  <si>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</si>
  <si>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</si>
  <si>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</si>
  <si>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</si>
  <si>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86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</si>
  <si>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</si>
  <si>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</si>
  <si>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</si>
  <si>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</si>
  <si>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</si>
  <si>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</si>
  <si>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</si>
  <si>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</si>
  <si>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</si>
  <si>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</si>
  <si>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87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</si>
  <si>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</si>
  <si>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</si>
  <si>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</si>
  <si>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</si>
  <si>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</si>
  <si>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</si>
  <si>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</si>
  <si>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</si>
  <si>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</si>
  <si>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</si>
  <si>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88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</si>
  <si>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</si>
  <si>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</si>
  <si>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</si>
  <si>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</si>
  <si>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</si>
  <si>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</si>
  <si>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</si>
  <si>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</si>
  <si>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</si>
  <si>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</si>
  <si>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89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</si>
  <si>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</si>
  <si>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</si>
  <si>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</si>
  <si>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</si>
  <si>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</si>
  <si>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</si>
  <si>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</si>
  <si>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</si>
  <si>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</si>
  <si>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</si>
  <si>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90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</si>
  <si>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</si>
  <si>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</si>
  <si>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</si>
  <si>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</si>
  <si>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</si>
  <si>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</si>
  <si>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</si>
  <si>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</si>
  <si>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</si>
  <si>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</si>
  <si>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91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</si>
  <si>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</si>
  <si>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</si>
  <si>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</si>
  <si>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</si>
  <si>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</si>
  <si>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</si>
  <si>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</si>
  <si>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</si>
  <si>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</si>
  <si>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</si>
  <si>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92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</si>
  <si>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</si>
  <si>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</si>
  <si>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</si>
  <si>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</si>
  <si>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</si>
  <si>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</si>
  <si>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</si>
  <si>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</si>
  <si>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</si>
  <si>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</si>
  <si>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93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</si>
  <si>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</si>
  <si>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</si>
  <si>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</si>
  <si>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</si>
  <si>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</si>
  <si>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</si>
  <si>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</si>
  <si>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</si>
  <si>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</si>
  <si>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</si>
  <si>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94</t>
  </si>
  <si>
    <t>936</t>
  </si>
  <si>
    <t>937</t>
  </si>
  <si>
    <t>938</t>
  </si>
  <si>
    <t>939</t>
  </si>
  <si>
    <t>943</t>
  </si>
  <si>
    <t>944</t>
  </si>
  <si>
    <t>945</t>
  </si>
  <si>
    <t>95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</si>
  <si>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</si>
  <si>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</si>
  <si>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</si>
  <si>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</si>
  <si>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</si>
  <si>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</si>
  <si>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</si>
  <si>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</si>
  <si>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</si>
  <si>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</si>
  <si>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96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</si>
  <si>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</si>
  <si>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</si>
  <si>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</si>
  <si>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</si>
  <si>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</si>
  <si>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</si>
  <si>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</si>
  <si>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</si>
  <si>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</si>
  <si>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</si>
  <si>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97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</si>
  <si>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</si>
  <si>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</si>
  <si>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</si>
  <si>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</si>
  <si>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</si>
  <si>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</si>
  <si>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</si>
  <si>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</si>
  <si>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</si>
  <si>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98</t>
  </si>
  <si>
    <t>976</t>
  </si>
  <si>
    <t>977</t>
  </si>
  <si>
    <t>980</t>
  </si>
  <si>
    <t>981</t>
  </si>
  <si>
    <t>982</t>
  </si>
  <si>
    <t>983</t>
  </si>
  <si>
    <t>984</t>
  </si>
  <si>
    <t>985</t>
  </si>
  <si>
    <t>99</t>
  </si>
  <si>
    <t>986</t>
  </si>
  <si>
    <t>987</t>
  </si>
  <si>
    <t>988</t>
  </si>
  <si>
    <t>989</t>
  </si>
  <si>
    <t>991</t>
  </si>
  <si>
    <t>993</t>
  </si>
  <si>
    <t>994</t>
  </si>
  <si>
    <t>995</t>
  </si>
  <si>
    <t>3050</t>
  </si>
  <si>
    <t>100104929</t>
  </si>
  <si>
    <t>9101</t>
  </si>
  <si>
    <t>9102</t>
  </si>
  <si>
    <t>3010</t>
  </si>
  <si>
    <t>3020</t>
  </si>
  <si>
    <t>3030</t>
  </si>
  <si>
    <t>3035</t>
  </si>
  <si>
    <t>3036</t>
  </si>
  <si>
    <t>3037</t>
  </si>
  <si>
    <t>3040</t>
  </si>
  <si>
    <t>3060</t>
  </si>
  <si>
    <t>3070</t>
  </si>
  <si>
    <t>3071</t>
  </si>
  <si>
    <t>3072</t>
  </si>
  <si>
    <t>3075</t>
  </si>
  <si>
    <t>3080</t>
  </si>
  <si>
    <t>3081</t>
  </si>
  <si>
    <t>3082</t>
  </si>
  <si>
    <t>3083</t>
  </si>
  <si>
    <t>3084</t>
  </si>
  <si>
    <t>3085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</si>
  <si>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</si>
  <si>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</si>
  <si>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</si>
  <si>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</si>
  <si>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</si>
  <si>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</si>
  <si>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</si>
  <si>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</si>
  <si>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</si>
  <si>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3175</t>
  </si>
  <si>
    <t>3180</t>
  </si>
  <si>
    <t>3190</t>
  </si>
  <si>
    <t>3200</t>
  </si>
  <si>
    <t>3205</t>
  </si>
  <si>
    <t>3206</t>
  </si>
  <si>
    <t>3207</t>
  </si>
  <si>
    <t>3210</t>
  </si>
  <si>
    <t>3211</t>
  </si>
  <si>
    <t>3212</t>
  </si>
  <si>
    <t>3213</t>
  </si>
  <si>
    <t>3220</t>
  </si>
  <si>
    <t>3230</t>
  </si>
  <si>
    <t>3240</t>
  </si>
  <si>
    <t>3250</t>
  </si>
  <si>
    <t>3260</t>
  </si>
  <si>
    <t>3270</t>
  </si>
  <si>
    <t>3271</t>
  </si>
  <si>
    <t>3272</t>
  </si>
  <si>
    <t>3275</t>
  </si>
  <si>
    <t>3280</t>
  </si>
  <si>
    <t>3281</t>
  </si>
  <si>
    <t>3282</t>
  </si>
  <si>
    <t>3285</t>
  </si>
  <si>
    <t>3286</t>
  </si>
  <si>
    <t>3290</t>
  </si>
  <si>
    <t>3291</t>
  </si>
  <si>
    <t>3292</t>
  </si>
  <si>
    <t>3295</t>
  </si>
  <si>
    <t>3300</t>
  </si>
  <si>
    <t>3302</t>
  </si>
  <si>
    <t>3305</t>
  </si>
  <si>
    <t>3310</t>
  </si>
  <si>
    <t>3315</t>
  </si>
  <si>
    <t>3320</t>
  </si>
  <si>
    <t>3321</t>
  </si>
  <si>
    <t>3325</t>
  </si>
  <si>
    <t>3326</t>
  </si>
  <si>
    <t>3330</t>
  </si>
  <si>
    <t>3335</t>
  </si>
  <si>
    <t>3340</t>
  </si>
  <si>
    <t>3345</t>
  </si>
  <si>
    <t>3350</t>
  </si>
  <si>
    <t>3355</t>
  </si>
  <si>
    <t>3360</t>
  </si>
  <si>
    <t>3361</t>
  </si>
  <si>
    <t>3365</t>
  </si>
  <si>
    <t>3366</t>
  </si>
  <si>
    <t>3370</t>
  </si>
  <si>
    <t>3375</t>
  </si>
  <si>
    <t>3380</t>
  </si>
  <si>
    <t>3385</t>
  </si>
  <si>
    <t>3390</t>
  </si>
  <si>
    <t>3395</t>
  </si>
  <si>
    <t>3400</t>
  </si>
  <si>
    <t>3401</t>
  </si>
  <si>
    <t>3405</t>
  </si>
  <si>
    <t>3406</t>
  </si>
  <si>
    <t>3410</t>
  </si>
  <si>
    <t>3415</t>
  </si>
  <si>
    <t>3420</t>
  </si>
  <si>
    <t>3425</t>
  </si>
  <si>
    <t>3430</t>
  </si>
  <si>
    <t>3435</t>
  </si>
  <si>
    <t>3440</t>
  </si>
  <si>
    <t>3441</t>
  </si>
  <si>
    <t>3445</t>
  </si>
  <si>
    <t>3446</t>
  </si>
  <si>
    <t>3450</t>
  </si>
  <si>
    <t>3455</t>
  </si>
  <si>
    <t>3460</t>
  </si>
  <si>
    <t>3465</t>
  </si>
  <si>
    <t>3470</t>
  </si>
  <si>
    <t>3475</t>
  </si>
  <si>
    <t>3480</t>
  </si>
  <si>
    <t>3481</t>
  </si>
  <si>
    <t>3485</t>
  </si>
  <si>
    <t>3486</t>
  </si>
  <si>
    <t>3490</t>
  </si>
  <si>
    <t>3495</t>
  </si>
  <si>
    <t>3500</t>
  </si>
  <si>
    <t>3505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</si>
  <si>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</si>
  <si>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</si>
  <si>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</si>
  <si>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</si>
  <si>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</si>
  <si>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</si>
  <si>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</si>
  <si>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</si>
  <si>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</si>
  <si>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3593</t>
  </si>
  <si>
    <t>3595</t>
  </si>
  <si>
    <t>3600</t>
  </si>
  <si>
    <t>3601</t>
  </si>
  <si>
    <t>3602</t>
  </si>
  <si>
    <t>3603</t>
  </si>
  <si>
    <t>3604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</si>
  <si>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</si>
  <si>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</si>
  <si>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</si>
  <si>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</si>
  <si>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</si>
  <si>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</si>
  <si>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</si>
  <si>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</si>
  <si>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</si>
  <si>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</si>
  <si>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</si>
  <si>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</si>
  <si>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</si>
  <si>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</si>
  <si>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</si>
  <si>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</si>
  <si>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</si>
  <si>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</si>
  <si>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</si>
  <si>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</si>
  <si>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</si>
  <si>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</si>
  <si>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</si>
  <si>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</si>
  <si>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</si>
  <si>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</si>
  <si>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</si>
  <si>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3873</t>
  </si>
  <si>
    <t>3880</t>
  </si>
  <si>
    <t>3890</t>
  </si>
  <si>
    <t>3900</t>
  </si>
  <si>
    <t>3910</t>
  </si>
  <si>
    <t>3920</t>
  </si>
  <si>
    <t>3930</t>
  </si>
  <si>
    <t>3940</t>
  </si>
  <si>
    <t>3941</t>
  </si>
  <si>
    <t>3942</t>
  </si>
  <si>
    <t>3943</t>
  </si>
  <si>
    <t>3944</t>
  </si>
  <si>
    <t>3945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</si>
  <si>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</si>
  <si>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</si>
  <si>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</si>
  <si>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</si>
  <si>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</si>
  <si>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</si>
  <si>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</si>
  <si>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</si>
  <si>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</si>
  <si>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</si>
  <si>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4500</t>
  </si>
  <si>
    <t>4505</t>
  </si>
  <si>
    <t>4510</t>
  </si>
  <si>
    <t>4515</t>
  </si>
  <si>
    <t>4520</t>
  </si>
  <si>
    <t>4525</t>
  </si>
  <si>
    <t>100000</t>
  </si>
  <si>
    <t>100001</t>
  </si>
  <si>
    <t>100002</t>
  </si>
  <si>
    <t>100004</t>
  </si>
  <si>
    <t>100006</t>
  </si>
  <si>
    <t>100013</t>
  </si>
  <si>
    <t>100014</t>
  </si>
  <si>
    <t>100015</t>
  </si>
  <si>
    <t>100016</t>
  </si>
  <si>
    <t>100018</t>
  </si>
  <si>
    <t>100019</t>
  </si>
  <si>
    <t>100020</t>
  </si>
  <si>
    <t>100021</t>
  </si>
  <si>
    <t>100168</t>
  </si>
  <si>
    <t>100169</t>
  </si>
  <si>
    <t>100170</t>
  </si>
  <si>
    <t>100172</t>
  </si>
  <si>
    <t>100173</t>
  </si>
  <si>
    <t>100174</t>
  </si>
  <si>
    <t>100306</t>
  </si>
  <si>
    <t>205239</t>
  </si>
  <si>
    <t>205510</t>
  </si>
  <si>
    <t>205543</t>
  </si>
  <si>
    <t>205559</t>
  </si>
  <si>
    <t>205580</t>
  </si>
  <si>
    <t>207294</t>
  </si>
  <si>
    <t>100104920</t>
  </si>
  <si>
    <t>100104921</t>
  </si>
  <si>
    <t>100104922</t>
  </si>
  <si>
    <t>100104923</t>
  </si>
  <si>
    <t>100104940</t>
  </si>
  <si>
    <t>100105140</t>
  </si>
  <si>
    <t>100105143</t>
  </si>
  <si>
    <t>100105145</t>
  </si>
  <si>
    <t>100105171</t>
  </si>
  <si>
    <t>100105172</t>
  </si>
  <si>
    <t>100105182</t>
  </si>
  <si>
    <t>100105183</t>
  </si>
  <si>
    <t>100105590</t>
  </si>
  <si>
    <t>100105591</t>
  </si>
  <si>
    <t>100105592</t>
  </si>
  <si>
    <t>100105593</t>
  </si>
  <si>
    <t>100106175</t>
  </si>
  <si>
    <t>100106320</t>
  </si>
  <si>
    <t>111111670</t>
  </si>
  <si>
    <t>111111783</t>
  </si>
  <si>
    <t>111111821</t>
  </si>
  <si>
    <t>111111822</t>
  </si>
  <si>
    <t>111111823</t>
  </si>
  <si>
    <t>111111824</t>
  </si>
  <si>
    <t>111111840</t>
  </si>
  <si>
    <t>111111841</t>
  </si>
  <si>
    <t>111111842</t>
  </si>
  <si>
    <t>111111843</t>
  </si>
  <si>
    <t>111111844</t>
  </si>
  <si>
    <t>111112408</t>
  </si>
  <si>
    <t>111112409</t>
  </si>
  <si>
    <t>111112410</t>
  </si>
  <si>
    <t>111112411</t>
  </si>
  <si>
    <t>111112412</t>
  </si>
  <si>
    <t>111112413</t>
  </si>
  <si>
    <t>111112414</t>
  </si>
  <si>
    <t>111112415</t>
  </si>
  <si>
    <t>111112416</t>
  </si>
  <si>
    <t>111112417</t>
  </si>
  <si>
    <t>3101</t>
  </si>
  <si>
    <t>111111501</t>
  </si>
  <si>
    <t>111111502</t>
  </si>
  <si>
    <t>111111503</t>
  </si>
  <si>
    <t>111111730</t>
  </si>
  <si>
    <t>111111731</t>
  </si>
  <si>
    <t>111111732</t>
  </si>
  <si>
    <t>111111985</t>
  </si>
  <si>
    <t>a partir da planilha</t>
  </si>
  <si>
    <t>@DSITEMCALCFOLHA@</t>
  </si>
  <si>
    <t>descrição cálculo</t>
  </si>
  <si>
    <t>1155_1</t>
  </si>
  <si>
    <t>1155_10</t>
  </si>
  <si>
    <t>1155_11</t>
  </si>
  <si>
    <t>1155_12</t>
  </si>
  <si>
    <t>1155_13</t>
  </si>
  <si>
    <t>1155_14</t>
  </si>
  <si>
    <t>1155_15</t>
  </si>
  <si>
    <t>1155_16</t>
  </si>
  <si>
    <t>1155_17</t>
  </si>
  <si>
    <t>1155_18</t>
  </si>
  <si>
    <t>1155_19</t>
  </si>
  <si>
    <t>1155_2</t>
  </si>
  <si>
    <t>1155_20</t>
  </si>
  <si>
    <t>1155_21</t>
  </si>
  <si>
    <t>1155_22</t>
  </si>
  <si>
    <t>1155_23</t>
  </si>
  <si>
    <t>1155_24</t>
  </si>
  <si>
    <t>1155_25</t>
  </si>
  <si>
    <t>1155_26</t>
  </si>
  <si>
    <t>1155_27</t>
  </si>
  <si>
    <t>1155_28</t>
  </si>
  <si>
    <t>1155_29</t>
  </si>
  <si>
    <t>1155_3</t>
  </si>
  <si>
    <t>1155_30</t>
  </si>
  <si>
    <t>1155_31</t>
  </si>
  <si>
    <t>1155_32</t>
  </si>
  <si>
    <t>1155_33</t>
  </si>
  <si>
    <t>1155_34</t>
  </si>
  <si>
    <t>1155_35</t>
  </si>
  <si>
    <t>1155_4</t>
  </si>
  <si>
    <t>1155_5</t>
  </si>
  <si>
    <t>1155_6</t>
  </si>
  <si>
    <t>1155_7</t>
  </si>
  <si>
    <t>1155_8</t>
  </si>
  <si>
    <t>1155_9</t>
  </si>
  <si>
    <t>122_1</t>
  </si>
  <si>
    <t>122_10</t>
  </si>
  <si>
    <t>122_100</t>
  </si>
  <si>
    <t>122_101</t>
  </si>
  <si>
    <t>122_102</t>
  </si>
  <si>
    <t>122_103</t>
  </si>
  <si>
    <t>122_104</t>
  </si>
  <si>
    <t>122_105</t>
  </si>
  <si>
    <t>122_106</t>
  </si>
  <si>
    <t>122_107</t>
  </si>
  <si>
    <t>122_108</t>
  </si>
  <si>
    <t>122_109</t>
  </si>
  <si>
    <t>122_11</t>
  </si>
  <si>
    <t>122_110</t>
  </si>
  <si>
    <t>122_111</t>
  </si>
  <si>
    <t>122_112</t>
  </si>
  <si>
    <t>122_113</t>
  </si>
  <si>
    <t>122_114</t>
  </si>
  <si>
    <t>122_115</t>
  </si>
  <si>
    <t>122_116</t>
  </si>
  <si>
    <t>122_117</t>
  </si>
  <si>
    <t>122_118</t>
  </si>
  <si>
    <t>122_119</t>
  </si>
  <si>
    <t>122_12</t>
  </si>
  <si>
    <t>122_120</t>
  </si>
  <si>
    <t>122_121</t>
  </si>
  <si>
    <t>122_122</t>
  </si>
  <si>
    <t>122_123</t>
  </si>
  <si>
    <t>122_124</t>
  </si>
  <si>
    <t>122_125</t>
  </si>
  <si>
    <t>122_126</t>
  </si>
  <si>
    <t>122_127</t>
  </si>
  <si>
    <t>122_128</t>
  </si>
  <si>
    <t>122_129</t>
  </si>
  <si>
    <t>122_13</t>
  </si>
  <si>
    <t>122_130</t>
  </si>
  <si>
    <t>122_131</t>
  </si>
  <si>
    <t>122_132</t>
  </si>
  <si>
    <t>122_133</t>
  </si>
  <si>
    <t>122_134</t>
  </si>
  <si>
    <t>122_135</t>
  </si>
  <si>
    <t>122_136</t>
  </si>
  <si>
    <t>122_137</t>
  </si>
  <si>
    <t>122_138</t>
  </si>
  <si>
    <t>122_139</t>
  </si>
  <si>
    <t>122_14</t>
  </si>
  <si>
    <t>122_140</t>
  </si>
  <si>
    <t>122_141</t>
  </si>
  <si>
    <t>122_142</t>
  </si>
  <si>
    <t>122_143</t>
  </si>
  <si>
    <t>122_144</t>
  </si>
  <si>
    <t>122_145</t>
  </si>
  <si>
    <t>122_146</t>
  </si>
  <si>
    <t>122_147</t>
  </si>
  <si>
    <t>122_148</t>
  </si>
  <si>
    <t>122_149</t>
  </si>
  <si>
    <t>122_15</t>
  </si>
  <si>
    <t>122_150</t>
  </si>
  <si>
    <t>122_151</t>
  </si>
  <si>
    <t>122_152</t>
  </si>
  <si>
    <t>122_153</t>
  </si>
  <si>
    <t>122_154</t>
  </si>
  <si>
    <t>122_155</t>
  </si>
  <si>
    <t>122_156</t>
  </si>
  <si>
    <t>122_157</t>
  </si>
  <si>
    <t>122_158</t>
  </si>
  <si>
    <t>122_159</t>
  </si>
  <si>
    <t>122_16</t>
  </si>
  <si>
    <t>122_160</t>
  </si>
  <si>
    <t>122_161</t>
  </si>
  <si>
    <t>122_162</t>
  </si>
  <si>
    <t>122_163</t>
  </si>
  <si>
    <t>122_164</t>
  </si>
  <si>
    <t>122_165</t>
  </si>
  <si>
    <t>122_166</t>
  </si>
  <si>
    <t>122_167</t>
  </si>
  <si>
    <t>122_168</t>
  </si>
  <si>
    <t>122_169</t>
  </si>
  <si>
    <t>122_17</t>
  </si>
  <si>
    <t>122_170</t>
  </si>
  <si>
    <t>122_171</t>
  </si>
  <si>
    <t>122_172</t>
  </si>
  <si>
    <t>122_173</t>
  </si>
  <si>
    <t>122_174</t>
  </si>
  <si>
    <t>122_175</t>
  </si>
  <si>
    <t>122_176</t>
  </si>
  <si>
    <t>122_177</t>
  </si>
  <si>
    <t>122_178</t>
  </si>
  <si>
    <t>122_179</t>
  </si>
  <si>
    <t>122_18</t>
  </si>
  <si>
    <t>122_180</t>
  </si>
  <si>
    <t>122_181</t>
  </si>
  <si>
    <t>122_182</t>
  </si>
  <si>
    <t>122_183</t>
  </si>
  <si>
    <t>122_184</t>
  </si>
  <si>
    <t>122_185</t>
  </si>
  <si>
    <t>122_186</t>
  </si>
  <si>
    <t>122_187</t>
  </si>
  <si>
    <t>122_188</t>
  </si>
  <si>
    <t>122_189</t>
  </si>
  <si>
    <t>122_19</t>
  </si>
  <si>
    <t>122_190</t>
  </si>
  <si>
    <t>122_191</t>
  </si>
  <si>
    <t>122_192</t>
  </si>
  <si>
    <t>122_193</t>
  </si>
  <si>
    <t>122_194</t>
  </si>
  <si>
    <t>122_195</t>
  </si>
  <si>
    <t>122_196</t>
  </si>
  <si>
    <t>122_197</t>
  </si>
  <si>
    <t>122_198</t>
  </si>
  <si>
    <t>122_199</t>
  </si>
  <si>
    <t>122_2</t>
  </si>
  <si>
    <t>122_20</t>
  </si>
  <si>
    <t>122_200</t>
  </si>
  <si>
    <t>122_20001</t>
  </si>
  <si>
    <t>122_20002</t>
  </si>
  <si>
    <t>122_20003</t>
  </si>
  <si>
    <t>122_20004</t>
  </si>
  <si>
    <t>122_20005</t>
  </si>
  <si>
    <t>122_20006</t>
  </si>
  <si>
    <t>122_20007</t>
  </si>
  <si>
    <t>122_20008</t>
  </si>
  <si>
    <t>122_20009</t>
  </si>
  <si>
    <t>122_20011</t>
  </si>
  <si>
    <t>122_201</t>
  </si>
  <si>
    <t>122_202</t>
  </si>
  <si>
    <t>122_204</t>
  </si>
  <si>
    <t>122_205</t>
  </si>
  <si>
    <t>122_206</t>
  </si>
  <si>
    <t>122_207</t>
  </si>
  <si>
    <t>122_208</t>
  </si>
  <si>
    <t>122_209</t>
  </si>
  <si>
    <t>122_21</t>
  </si>
  <si>
    <t>122_210</t>
  </si>
  <si>
    <t>122_211</t>
  </si>
  <si>
    <t>122_212</t>
  </si>
  <si>
    <t>122_213</t>
  </si>
  <si>
    <t>122_214</t>
  </si>
  <si>
    <t>122_215</t>
  </si>
  <si>
    <t>122_216</t>
  </si>
  <si>
    <t>122_218</t>
  </si>
  <si>
    <t>122_219</t>
  </si>
  <si>
    <t>122_220</t>
  </si>
  <si>
    <t>122_221</t>
  </si>
  <si>
    <t>122_222</t>
  </si>
  <si>
    <t>122_223</t>
  </si>
  <si>
    <t>122_224</t>
  </si>
  <si>
    <t>122_225</t>
  </si>
  <si>
    <t>122_226</t>
  </si>
  <si>
    <t>122_227</t>
  </si>
  <si>
    <t>122_228</t>
  </si>
  <si>
    <t>122_229</t>
  </si>
  <si>
    <t>122_23</t>
  </si>
  <si>
    <t>122_230</t>
  </si>
  <si>
    <t>122_231</t>
  </si>
  <si>
    <t>122_232</t>
  </si>
  <si>
    <t>122_233</t>
  </si>
  <si>
    <t>122_234</t>
  </si>
  <si>
    <t>122_235</t>
  </si>
  <si>
    <t>122_236</t>
  </si>
  <si>
    <t>122_237</t>
  </si>
  <si>
    <t>122_238</t>
  </si>
  <si>
    <t>122_239</t>
  </si>
  <si>
    <t>122_24</t>
  </si>
  <si>
    <t>122_240</t>
  </si>
  <si>
    <t>122_241</t>
  </si>
  <si>
    <t>122_242</t>
  </si>
  <si>
    <t>122_243</t>
  </si>
  <si>
    <t>122_244</t>
  </si>
  <si>
    <t>122_245</t>
  </si>
  <si>
    <t>122_246</t>
  </si>
  <si>
    <t>122_247</t>
  </si>
  <si>
    <t>122_248</t>
  </si>
  <si>
    <t>122_249</t>
  </si>
  <si>
    <t>122_25</t>
  </si>
  <si>
    <t>122_250</t>
  </si>
  <si>
    <t>122_251</t>
  </si>
  <si>
    <t>122_252</t>
  </si>
  <si>
    <t>122_253</t>
  </si>
  <si>
    <t>122_254</t>
  </si>
  <si>
    <t>122_255</t>
  </si>
  <si>
    <t>122_256</t>
  </si>
  <si>
    <t>122_257</t>
  </si>
  <si>
    <t>122_258</t>
  </si>
  <si>
    <t>122_259</t>
  </si>
  <si>
    <t>122_26</t>
  </si>
  <si>
    <t>122_260</t>
  </si>
  <si>
    <t>122_261</t>
  </si>
  <si>
    <t>122_262</t>
  </si>
  <si>
    <t>122_264</t>
  </si>
  <si>
    <t>122_265</t>
  </si>
  <si>
    <t>122_266</t>
  </si>
  <si>
    <t>122_267</t>
  </si>
  <si>
    <t>122_268</t>
  </si>
  <si>
    <t>122_269</t>
  </si>
  <si>
    <t>122_27</t>
  </si>
  <si>
    <t>122_271</t>
  </si>
  <si>
    <t>122_28</t>
  </si>
  <si>
    <t>122_29</t>
  </si>
  <si>
    <t>122_3</t>
  </si>
  <si>
    <t>122_30</t>
  </si>
  <si>
    <t>122_31</t>
  </si>
  <si>
    <t>122_32</t>
  </si>
  <si>
    <t>122_33</t>
  </si>
  <si>
    <t>122_34</t>
  </si>
  <si>
    <t>122_35</t>
  </si>
  <si>
    <t>122_36</t>
  </si>
  <si>
    <t>122_37</t>
  </si>
  <si>
    <t>122_38</t>
  </si>
  <si>
    <t>122_39</t>
  </si>
  <si>
    <t>122_4</t>
  </si>
  <si>
    <t>122_40</t>
  </si>
  <si>
    <t>122_41</t>
  </si>
  <si>
    <t>122_42</t>
  </si>
  <si>
    <t>122_43</t>
  </si>
  <si>
    <t>122_44</t>
  </si>
  <si>
    <t>122_45</t>
  </si>
  <si>
    <t>122_46</t>
  </si>
  <si>
    <t>122_47</t>
  </si>
  <si>
    <t>122_48</t>
  </si>
  <si>
    <t>122_49</t>
  </si>
  <si>
    <t>122_5</t>
  </si>
  <si>
    <t>122_50</t>
  </si>
  <si>
    <t>122_51</t>
  </si>
  <si>
    <t>122_52</t>
  </si>
  <si>
    <t>122_53</t>
  </si>
  <si>
    <t>122_54</t>
  </si>
  <si>
    <t>122_55</t>
  </si>
  <si>
    <t>122_56</t>
  </si>
  <si>
    <t>122_57</t>
  </si>
  <si>
    <t>122_58</t>
  </si>
  <si>
    <t>122_59</t>
  </si>
  <si>
    <t>122_6</t>
  </si>
  <si>
    <t>122_60</t>
  </si>
  <si>
    <t>122_61</t>
  </si>
  <si>
    <t>122_62</t>
  </si>
  <si>
    <t>122_63</t>
  </si>
  <si>
    <t>122_64</t>
  </si>
  <si>
    <t>122_65</t>
  </si>
  <si>
    <t>122_66</t>
  </si>
  <si>
    <t>122_67</t>
  </si>
  <si>
    <t>122_68</t>
  </si>
  <si>
    <t>122_69</t>
  </si>
  <si>
    <t>122_7</t>
  </si>
  <si>
    <t>122_70</t>
  </si>
  <si>
    <t>122_71</t>
  </si>
  <si>
    <t>122_72</t>
  </si>
  <si>
    <t>122_73</t>
  </si>
  <si>
    <t>122_74</t>
  </si>
  <si>
    <t>122_75</t>
  </si>
  <si>
    <t>122_76</t>
  </si>
  <si>
    <t>122_77</t>
  </si>
  <si>
    <t>122_78</t>
  </si>
  <si>
    <t>122_79</t>
  </si>
  <si>
    <t>122_8</t>
  </si>
  <si>
    <t>122_80</t>
  </si>
  <si>
    <t>122_81</t>
  </si>
  <si>
    <t>122_82</t>
  </si>
  <si>
    <t>122_83</t>
  </si>
  <si>
    <t>122_84</t>
  </si>
  <si>
    <t>122_85</t>
  </si>
  <si>
    <t>122_86</t>
  </si>
  <si>
    <t>122_87</t>
  </si>
  <si>
    <t>122_88</t>
  </si>
  <si>
    <t>122_89</t>
  </si>
  <si>
    <t>122_9</t>
  </si>
  <si>
    <t>122_90</t>
  </si>
  <si>
    <t>122_91</t>
  </si>
  <si>
    <t>122_92</t>
  </si>
  <si>
    <t>122_93</t>
  </si>
  <si>
    <t>122_94</t>
  </si>
  <si>
    <t>122_95</t>
  </si>
  <si>
    <t>122_96</t>
  </si>
  <si>
    <t>122_97</t>
  </si>
  <si>
    <t>122_98</t>
  </si>
  <si>
    <t>122_99</t>
  </si>
  <si>
    <t>1313_1</t>
  </si>
  <si>
    <t>1313_10</t>
  </si>
  <si>
    <t>1313_11</t>
  </si>
  <si>
    <t>1313_12</t>
  </si>
  <si>
    <t>1313_13</t>
  </si>
  <si>
    <t>1313_15</t>
  </si>
  <si>
    <t>1313_16</t>
  </si>
  <si>
    <t>1313_17</t>
  </si>
  <si>
    <t>1313_19</t>
  </si>
  <si>
    <t>1313_2</t>
  </si>
  <si>
    <t>1313_22</t>
  </si>
  <si>
    <t>1313_23</t>
  </si>
  <si>
    <t>1313_24</t>
  </si>
  <si>
    <t>1313_3</t>
  </si>
  <si>
    <t>1313_4</t>
  </si>
  <si>
    <t>1313_5</t>
  </si>
  <si>
    <t>1313_6</t>
  </si>
  <si>
    <t>1313_7</t>
  </si>
  <si>
    <t>1313_8</t>
  </si>
  <si>
    <t>1313_9</t>
  </si>
  <si>
    <t>207_1</t>
  </si>
  <si>
    <t>207_10</t>
  </si>
  <si>
    <t>207_11</t>
  </si>
  <si>
    <t>207_12</t>
  </si>
  <si>
    <t>207_13</t>
  </si>
  <si>
    <t>207_14</t>
  </si>
  <si>
    <t>207_15</t>
  </si>
  <si>
    <t>207_16</t>
  </si>
  <si>
    <t>207_17</t>
  </si>
  <si>
    <t>207_18</t>
  </si>
  <si>
    <t>207_19</t>
  </si>
  <si>
    <t>207_2</t>
  </si>
  <si>
    <t>207_20</t>
  </si>
  <si>
    <t>207_20001</t>
  </si>
  <si>
    <t>207_20002</t>
  </si>
  <si>
    <t>207_20004</t>
  </si>
  <si>
    <t>207_20005</t>
  </si>
  <si>
    <t>207_20006</t>
  </si>
  <si>
    <t>207_20007</t>
  </si>
  <si>
    <t>207_20008</t>
  </si>
  <si>
    <t>207_20009</t>
  </si>
  <si>
    <t>207_20010</t>
  </si>
  <si>
    <t>207_20011</t>
  </si>
  <si>
    <t>207_20012</t>
  </si>
  <si>
    <t>207_20013</t>
  </si>
  <si>
    <t>207_20014</t>
  </si>
  <si>
    <t>207_20015</t>
  </si>
  <si>
    <t>207_20016</t>
  </si>
  <si>
    <t>207_20017</t>
  </si>
  <si>
    <t>207_20018</t>
  </si>
  <si>
    <t>207_21</t>
  </si>
  <si>
    <t>207_22</t>
  </si>
  <si>
    <t>207_23</t>
  </si>
  <si>
    <t>207_24</t>
  </si>
  <si>
    <t>207_25</t>
  </si>
  <si>
    <t>207_26</t>
  </si>
  <si>
    <t>207_27</t>
  </si>
  <si>
    <t>207_28</t>
  </si>
  <si>
    <t>207_29</t>
  </si>
  <si>
    <t>207_3</t>
  </si>
  <si>
    <t>207_30</t>
  </si>
  <si>
    <t>207_31</t>
  </si>
  <si>
    <t>207_32</t>
  </si>
  <si>
    <t>207_33</t>
  </si>
  <si>
    <t>207_34</t>
  </si>
  <si>
    <t>207_35</t>
  </si>
  <si>
    <t>207_36</t>
  </si>
  <si>
    <t>207_37</t>
  </si>
  <si>
    <t>207_38</t>
  </si>
  <si>
    <t>207_39</t>
  </si>
  <si>
    <t>207_4</t>
  </si>
  <si>
    <t>207_40</t>
  </si>
  <si>
    <t>207_41</t>
  </si>
  <si>
    <t>207_42</t>
  </si>
  <si>
    <t>207_43</t>
  </si>
  <si>
    <t>207_44</t>
  </si>
  <si>
    <t>207_45</t>
  </si>
  <si>
    <t>207_46</t>
  </si>
  <si>
    <t>207_47</t>
  </si>
  <si>
    <t>207_48</t>
  </si>
  <si>
    <t>207_49</t>
  </si>
  <si>
    <t>207_5</t>
  </si>
  <si>
    <t>207_50</t>
  </si>
  <si>
    <t>207_51</t>
  </si>
  <si>
    <t>207_52</t>
  </si>
  <si>
    <t>207_53</t>
  </si>
  <si>
    <t>207_54</t>
  </si>
  <si>
    <t>207_55</t>
  </si>
  <si>
    <t>207_56</t>
  </si>
  <si>
    <t>207_57</t>
  </si>
  <si>
    <t>207_58</t>
  </si>
  <si>
    <t>207_59</t>
  </si>
  <si>
    <t>207_6</t>
  </si>
  <si>
    <t>207_60</t>
  </si>
  <si>
    <t>207_61</t>
  </si>
  <si>
    <t>207_62</t>
  </si>
  <si>
    <t>207_63</t>
  </si>
  <si>
    <t>207_64</t>
  </si>
  <si>
    <t>207_65</t>
  </si>
  <si>
    <t>207_66</t>
  </si>
  <si>
    <t>207_67</t>
  </si>
  <si>
    <t>207_68</t>
  </si>
  <si>
    <t>207_69</t>
  </si>
  <si>
    <t>207_7</t>
  </si>
  <si>
    <t>207_70</t>
  </si>
  <si>
    <t>207_71</t>
  </si>
  <si>
    <t>207_73</t>
  </si>
  <si>
    <t>207_74</t>
  </si>
  <si>
    <t>207_75</t>
  </si>
  <si>
    <t>207_76</t>
  </si>
  <si>
    <t>207_77</t>
  </si>
  <si>
    <t>207_78</t>
  </si>
  <si>
    <t>207_79</t>
  </si>
  <si>
    <t>207_8</t>
  </si>
  <si>
    <t>207_80</t>
  </si>
  <si>
    <t>207_81</t>
  </si>
  <si>
    <t>207_82</t>
  </si>
  <si>
    <t>207_83</t>
  </si>
  <si>
    <t>207_84</t>
  </si>
  <si>
    <t>207_85</t>
  </si>
  <si>
    <t>207_86</t>
  </si>
  <si>
    <t>207_9</t>
  </si>
  <si>
    <t>208_1</t>
  </si>
  <si>
    <t>208_10</t>
  </si>
  <si>
    <t>208_100</t>
  </si>
  <si>
    <t>208_101</t>
  </si>
  <si>
    <t>208_102</t>
  </si>
  <si>
    <t>208_103</t>
  </si>
  <si>
    <t>208_104</t>
  </si>
  <si>
    <t>208_105</t>
  </si>
  <si>
    <t>208_106</t>
  </si>
  <si>
    <t>208_107</t>
  </si>
  <si>
    <t>208_108</t>
  </si>
  <si>
    <t>208_109</t>
  </si>
  <si>
    <t>208_11</t>
  </si>
  <si>
    <t>208_110</t>
  </si>
  <si>
    <t>208_111</t>
  </si>
  <si>
    <t>208_112</t>
  </si>
  <si>
    <t>208_113</t>
  </si>
  <si>
    <t>208_115</t>
  </si>
  <si>
    <t>208_116</t>
  </si>
  <si>
    <t>208_117</t>
  </si>
  <si>
    <t>208_119</t>
  </si>
  <si>
    <t>208_12</t>
  </si>
  <si>
    <t>208_120</t>
  </si>
  <si>
    <t>208_121</t>
  </si>
  <si>
    <t>208_122</t>
  </si>
  <si>
    <t>208_123</t>
  </si>
  <si>
    <t>208_124</t>
  </si>
  <si>
    <t>208_125</t>
  </si>
  <si>
    <t>208_126</t>
  </si>
  <si>
    <t>208_127</t>
  </si>
  <si>
    <t>208_13</t>
  </si>
  <si>
    <t>208_14</t>
  </si>
  <si>
    <t>208_15</t>
  </si>
  <si>
    <t>208_16</t>
  </si>
  <si>
    <t>208_17</t>
  </si>
  <si>
    <t>208_18</t>
  </si>
  <si>
    <t>208_19</t>
  </si>
  <si>
    <t>208_2</t>
  </si>
  <si>
    <t>208_20</t>
  </si>
  <si>
    <t>208_20001</t>
  </si>
  <si>
    <t>208_20002</t>
  </si>
  <si>
    <t>208_21</t>
  </si>
  <si>
    <t>208_22</t>
  </si>
  <si>
    <t>208_23</t>
  </si>
  <si>
    <t>208_24</t>
  </si>
  <si>
    <t>208_25</t>
  </si>
  <si>
    <t>208_26</t>
  </si>
  <si>
    <t>208_27</t>
  </si>
  <si>
    <t>208_28</t>
  </si>
  <si>
    <t>208_29</t>
  </si>
  <si>
    <t>208_3</t>
  </si>
  <si>
    <t>208_30</t>
  </si>
  <si>
    <t>208_31</t>
  </si>
  <si>
    <t>208_32</t>
  </si>
  <si>
    <t>208_33</t>
  </si>
  <si>
    <t>208_34</t>
  </si>
  <si>
    <t>208_35</t>
  </si>
  <si>
    <t>208_36</t>
  </si>
  <si>
    <t>208_37</t>
  </si>
  <si>
    <t>208_38</t>
  </si>
  <si>
    <t>208_39</t>
  </si>
  <si>
    <t>208_4</t>
  </si>
  <si>
    <t>208_40</t>
  </si>
  <si>
    <t>208_41</t>
  </si>
  <si>
    <t>208_42</t>
  </si>
  <si>
    <t>208_43</t>
  </si>
  <si>
    <t>208_44</t>
  </si>
  <si>
    <t>208_45</t>
  </si>
  <si>
    <t>208_46</t>
  </si>
  <si>
    <t>208_47</t>
  </si>
  <si>
    <t>208_48</t>
  </si>
  <si>
    <t>208_49</t>
  </si>
  <si>
    <t>208_5</t>
  </si>
  <si>
    <t>208_50</t>
  </si>
  <si>
    <t>208_51</t>
  </si>
  <si>
    <t>208_52</t>
  </si>
  <si>
    <t>208_53</t>
  </si>
  <si>
    <t>208_54</t>
  </si>
  <si>
    <t>208_55</t>
  </si>
  <si>
    <t>208_56</t>
  </si>
  <si>
    <t>208_57</t>
  </si>
  <si>
    <t>208_58</t>
  </si>
  <si>
    <t>208_59</t>
  </si>
  <si>
    <t>208_6</t>
  </si>
  <si>
    <t>208_60</t>
  </si>
  <si>
    <t>208_61</t>
  </si>
  <si>
    <t>208_62</t>
  </si>
  <si>
    <t>208_63</t>
  </si>
  <si>
    <t>208_64</t>
  </si>
  <si>
    <t>208_65</t>
  </si>
  <si>
    <t>208_66</t>
  </si>
  <si>
    <t>208_67</t>
  </si>
  <si>
    <t>208_68</t>
  </si>
  <si>
    <t>208_69</t>
  </si>
  <si>
    <t>208_7</t>
  </si>
  <si>
    <t>208_70</t>
  </si>
  <si>
    <t>208_71</t>
  </si>
  <si>
    <t>208_72</t>
  </si>
  <si>
    <t>208_73</t>
  </si>
  <si>
    <t>208_74</t>
  </si>
  <si>
    <t>208_75</t>
  </si>
  <si>
    <t>208_76</t>
  </si>
  <si>
    <t>208_77</t>
  </si>
  <si>
    <t>208_78</t>
  </si>
  <si>
    <t>208_79</t>
  </si>
  <si>
    <t>208_8</t>
  </si>
  <si>
    <t>208_80</t>
  </si>
  <si>
    <t>208_81</t>
  </si>
  <si>
    <t>208_82</t>
  </si>
  <si>
    <t>208_83</t>
  </si>
  <si>
    <t>208_84</t>
  </si>
  <si>
    <t>208_86</t>
  </si>
  <si>
    <t>208_87</t>
  </si>
  <si>
    <t>208_88</t>
  </si>
  <si>
    <t>208_89</t>
  </si>
  <si>
    <t>208_9</t>
  </si>
  <si>
    <t>208_90</t>
  </si>
  <si>
    <t>208_91</t>
  </si>
  <si>
    <t>208_92</t>
  </si>
  <si>
    <t>208_93</t>
  </si>
  <si>
    <t>208_94</t>
  </si>
  <si>
    <t>208_95</t>
  </si>
  <si>
    <t>208_96</t>
  </si>
  <si>
    <t>208_97</t>
  </si>
  <si>
    <t>208_98</t>
  </si>
  <si>
    <t>208_99</t>
  </si>
  <si>
    <t>5056_1</t>
  </si>
  <si>
    <t>5056_10</t>
  </si>
  <si>
    <t>5056_100</t>
  </si>
  <si>
    <t>5056_101</t>
  </si>
  <si>
    <t>5056_102</t>
  </si>
  <si>
    <t>5056_103</t>
  </si>
  <si>
    <t>5056_104</t>
  </si>
  <si>
    <t>5056_106</t>
  </si>
  <si>
    <t>5056_107</t>
  </si>
  <si>
    <t>5056_108</t>
  </si>
  <si>
    <t>5056_109</t>
  </si>
  <si>
    <t>5056_11</t>
  </si>
  <si>
    <t>5056_110</t>
  </si>
  <si>
    <t>5056_111</t>
  </si>
  <si>
    <t>5056_112</t>
  </si>
  <si>
    <t>5056_113</t>
  </si>
  <si>
    <t>5056_114</t>
  </si>
  <si>
    <t>5056_115</t>
  </si>
  <si>
    <t>5056_116</t>
  </si>
  <si>
    <t>5056_117</t>
  </si>
  <si>
    <t>5056_118</t>
  </si>
  <si>
    <t>5056_119</t>
  </si>
  <si>
    <t>5056_12</t>
  </si>
  <si>
    <t>5056_120</t>
  </si>
  <si>
    <t>5056_121</t>
  </si>
  <si>
    <t>5056_122</t>
  </si>
  <si>
    <t>5056_124</t>
  </si>
  <si>
    <t>5056_125</t>
  </si>
  <si>
    <t>5056_126</t>
  </si>
  <si>
    <t>5056_127</t>
  </si>
  <si>
    <t>5056_128</t>
  </si>
  <si>
    <t>5056_129</t>
  </si>
  <si>
    <t>5056_13</t>
  </si>
  <si>
    <t>5056_130</t>
  </si>
  <si>
    <t>5056_131</t>
  </si>
  <si>
    <t>5056_132</t>
  </si>
  <si>
    <t>5056_134</t>
  </si>
  <si>
    <t>5056_136</t>
  </si>
  <si>
    <t>5056_137</t>
  </si>
  <si>
    <t>5056_138</t>
  </si>
  <si>
    <t>5056_139</t>
  </si>
  <si>
    <t>5056_14</t>
  </si>
  <si>
    <t>5056_141</t>
  </si>
  <si>
    <t>5056_142</t>
  </si>
  <si>
    <t>5056_145</t>
  </si>
  <si>
    <t>5056_146</t>
  </si>
  <si>
    <t>5056_147</t>
  </si>
  <si>
    <t>5056_148</t>
  </si>
  <si>
    <t>5056_149</t>
  </si>
  <si>
    <t>5056_15</t>
  </si>
  <si>
    <t>5056_150</t>
  </si>
  <si>
    <t>5056_151</t>
  </si>
  <si>
    <t>5056_152</t>
  </si>
  <si>
    <t>5056_153</t>
  </si>
  <si>
    <t>5056_154</t>
  </si>
  <si>
    <t>5056_16</t>
  </si>
  <si>
    <t>5056_17</t>
  </si>
  <si>
    <t>5056_18</t>
  </si>
  <si>
    <t>5056_19</t>
  </si>
  <si>
    <t>5056_2</t>
  </si>
  <si>
    <t>5056_20</t>
  </si>
  <si>
    <t>5056_21</t>
  </si>
  <si>
    <t>5056_22</t>
  </si>
  <si>
    <t>5056_23</t>
  </si>
  <si>
    <t>5056_24</t>
  </si>
  <si>
    <t>5056_25</t>
  </si>
  <si>
    <t>5056_26</t>
  </si>
  <si>
    <t>5056_27</t>
  </si>
  <si>
    <t>5056_28</t>
  </si>
  <si>
    <t>5056_29</t>
  </si>
  <si>
    <t>5056_3</t>
  </si>
  <si>
    <t>5056_30</t>
  </si>
  <si>
    <t>5056_31</t>
  </si>
  <si>
    <t>5056_32</t>
  </si>
  <si>
    <t>5056_33</t>
  </si>
  <si>
    <t>5056_34</t>
  </si>
  <si>
    <t>5056_35</t>
  </si>
  <si>
    <t>5056_36</t>
  </si>
  <si>
    <t>5056_37</t>
  </si>
  <si>
    <t>5056_38</t>
  </si>
  <si>
    <t>5056_39</t>
  </si>
  <si>
    <t>5056_4</t>
  </si>
  <si>
    <t>5056_40</t>
  </si>
  <si>
    <t>5056_41</t>
  </si>
  <si>
    <t>5056_42</t>
  </si>
  <si>
    <t>5056_43</t>
  </si>
  <si>
    <t>5056_44</t>
  </si>
  <si>
    <t>5056_45</t>
  </si>
  <si>
    <t>5056_46</t>
  </si>
  <si>
    <t>5056_47</t>
  </si>
  <si>
    <t>5056_48</t>
  </si>
  <si>
    <t>5056_49</t>
  </si>
  <si>
    <t>5056_5</t>
  </si>
  <si>
    <t>5056_50</t>
  </si>
  <si>
    <t>5056_51</t>
  </si>
  <si>
    <t>5056_52</t>
  </si>
  <si>
    <t>5056_53</t>
  </si>
  <si>
    <t>5056_55</t>
  </si>
  <si>
    <t>5056_57</t>
  </si>
  <si>
    <t>5056_58</t>
  </si>
  <si>
    <t>5056_59</t>
  </si>
  <si>
    <t>5056_6</t>
  </si>
  <si>
    <t>5056_60</t>
  </si>
  <si>
    <t>5056_62</t>
  </si>
  <si>
    <t>5056_63</t>
  </si>
  <si>
    <t>5056_64</t>
  </si>
  <si>
    <t>5056_68</t>
  </si>
  <si>
    <t>5056_69</t>
  </si>
  <si>
    <t>5056_7</t>
  </si>
  <si>
    <t>5056_71</t>
  </si>
  <si>
    <t>5056_72</t>
  </si>
  <si>
    <t>5056_73</t>
  </si>
  <si>
    <t>5056_74</t>
  </si>
  <si>
    <t>5056_75</t>
  </si>
  <si>
    <t>5056_76</t>
  </si>
  <si>
    <t>5056_77</t>
  </si>
  <si>
    <t>5056_78</t>
  </si>
  <si>
    <t>5056_79</t>
  </si>
  <si>
    <t>5056_8</t>
  </si>
  <si>
    <t>5056_80</t>
  </si>
  <si>
    <t>5056_81</t>
  </si>
  <si>
    <t>5056_82</t>
  </si>
  <si>
    <t>5056_83</t>
  </si>
  <si>
    <t>5056_84</t>
  </si>
  <si>
    <t>5056_85</t>
  </si>
  <si>
    <t>5056_87</t>
  </si>
  <si>
    <t>5056_88</t>
  </si>
  <si>
    <t>5056_89</t>
  </si>
  <si>
    <t>5056_9</t>
  </si>
  <si>
    <t>5056_90</t>
  </si>
  <si>
    <t>5056_91</t>
  </si>
  <si>
    <t>5056_92</t>
  </si>
  <si>
    <t>5056_93</t>
  </si>
  <si>
    <t>5056_94</t>
  </si>
  <si>
    <t>5056_95</t>
  </si>
  <si>
    <t>5056_96</t>
  </si>
  <si>
    <t>5056_97</t>
  </si>
  <si>
    <t>5056_98</t>
  </si>
  <si>
    <t>5056_99</t>
  </si>
  <si>
    <t>5057_1</t>
  </si>
  <si>
    <t>5057_10</t>
  </si>
  <si>
    <t>5057_11</t>
  </si>
  <si>
    <t>5057_12</t>
  </si>
  <si>
    <t>5057_13</t>
  </si>
  <si>
    <t>5057_14</t>
  </si>
  <si>
    <t>5057_15</t>
  </si>
  <si>
    <t>5057_16</t>
  </si>
  <si>
    <t>5057_17</t>
  </si>
  <si>
    <t>5057_18</t>
  </si>
  <si>
    <t>5057_19</t>
  </si>
  <si>
    <t>5057_2</t>
  </si>
  <si>
    <t>5057_20</t>
  </si>
  <si>
    <t>5057_21</t>
  </si>
  <si>
    <t>5057_22</t>
  </si>
  <si>
    <t>5057_23</t>
  </si>
  <si>
    <t>5057_24</t>
  </si>
  <si>
    <t>5057_25</t>
  </si>
  <si>
    <t>5057_26</t>
  </si>
  <si>
    <t>5057_27</t>
  </si>
  <si>
    <t>5057_28</t>
  </si>
  <si>
    <t>5057_29</t>
  </si>
  <si>
    <t>5057_3</t>
  </si>
  <si>
    <t>5057_30</t>
  </si>
  <si>
    <t>5057_31</t>
  </si>
  <si>
    <t>5057_32</t>
  </si>
  <si>
    <t>5057_33</t>
  </si>
  <si>
    <t>5057_34</t>
  </si>
  <si>
    <t>5057_35</t>
  </si>
  <si>
    <t>5057_37</t>
  </si>
  <si>
    <t>5057_38</t>
  </si>
  <si>
    <t>5057_39</t>
  </si>
  <si>
    <t>5057_4</t>
  </si>
  <si>
    <t>5057_40</t>
  </si>
  <si>
    <t>5057_41</t>
  </si>
  <si>
    <t>5057_42</t>
  </si>
  <si>
    <t>5057_43</t>
  </si>
  <si>
    <t>5057_44</t>
  </si>
  <si>
    <t>5057_45</t>
  </si>
  <si>
    <t>5057_46</t>
  </si>
  <si>
    <t>5057_47</t>
  </si>
  <si>
    <t>5057_48</t>
  </si>
  <si>
    <t>5057_49</t>
  </si>
  <si>
    <t>5057_50</t>
  </si>
  <si>
    <t>5057_52</t>
  </si>
  <si>
    <t>5057_53</t>
  </si>
  <si>
    <t>5057_54</t>
  </si>
  <si>
    <t>5057_55</t>
  </si>
  <si>
    <t>5057_56</t>
  </si>
  <si>
    <t>5057_57</t>
  </si>
  <si>
    <t>5057_58</t>
  </si>
  <si>
    <t>5057_59</t>
  </si>
  <si>
    <t>5057_6</t>
  </si>
  <si>
    <t>5057_60</t>
  </si>
  <si>
    <t>5057_62</t>
  </si>
  <si>
    <t>5057_63</t>
  </si>
  <si>
    <t>5057_64</t>
  </si>
  <si>
    <t>5057_66</t>
  </si>
  <si>
    <t>5057_68</t>
  </si>
  <si>
    <t>5057_69</t>
  </si>
  <si>
    <t>5057_7</t>
  </si>
  <si>
    <t>5057_70</t>
  </si>
  <si>
    <t>5057_71</t>
  </si>
  <si>
    <t>5057_76</t>
  </si>
  <si>
    <t>5057_78</t>
  </si>
  <si>
    <t>5057_79</t>
  </si>
  <si>
    <t>5057_8</t>
  </si>
  <si>
    <t>5057_80</t>
  </si>
  <si>
    <t>5057_81</t>
  </si>
  <si>
    <t>5057_82</t>
  </si>
  <si>
    <t>5057_83</t>
  </si>
  <si>
    <t>5057_84</t>
  </si>
  <si>
    <t>5057_9</t>
  </si>
  <si>
    <t>5110_1</t>
  </si>
  <si>
    <t>5110_10</t>
  </si>
  <si>
    <t>5110_11</t>
  </si>
  <si>
    <t>5110_12</t>
  </si>
  <si>
    <t>5110_13</t>
  </si>
  <si>
    <t>5110_14</t>
  </si>
  <si>
    <t>5110_15</t>
  </si>
  <si>
    <t>5110_16</t>
  </si>
  <si>
    <t>5110_17</t>
  </si>
  <si>
    <t>5110_18</t>
  </si>
  <si>
    <t>5110_19</t>
  </si>
  <si>
    <t>5110_2</t>
  </si>
  <si>
    <t>5110_20</t>
  </si>
  <si>
    <t>5110_21</t>
  </si>
  <si>
    <t>5110_22</t>
  </si>
  <si>
    <t>5110_23</t>
  </si>
  <si>
    <t>5110_24</t>
  </si>
  <si>
    <t>5110_25</t>
  </si>
  <si>
    <t>5110_26</t>
  </si>
  <si>
    <t>5110_27</t>
  </si>
  <si>
    <t>5110_28</t>
  </si>
  <si>
    <t>5110_29</t>
  </si>
  <si>
    <t>5110_3</t>
  </si>
  <si>
    <t>5110_30</t>
  </si>
  <si>
    <t>5110_31</t>
  </si>
  <si>
    <t>5110_32</t>
  </si>
  <si>
    <t>5110_33</t>
  </si>
  <si>
    <t>5110_34</t>
  </si>
  <si>
    <t>5110_36</t>
  </si>
  <si>
    <t>5110_37</t>
  </si>
  <si>
    <t>5110_38</t>
  </si>
  <si>
    <t>5110_39</t>
  </si>
  <si>
    <t>5110_4</t>
  </si>
  <si>
    <t>5110_40</t>
  </si>
  <si>
    <t>5110_41</t>
  </si>
  <si>
    <t>5110_42</t>
  </si>
  <si>
    <t>5110_43</t>
  </si>
  <si>
    <t>5110_44</t>
  </si>
  <si>
    <t>5110_45</t>
  </si>
  <si>
    <t>5110_46</t>
  </si>
  <si>
    <t>5110_47</t>
  </si>
  <si>
    <t>5110_48</t>
  </si>
  <si>
    <t>5110_49</t>
  </si>
  <si>
    <t>5110_5</t>
  </si>
  <si>
    <t>5110_50</t>
  </si>
  <si>
    <t>5110_51</t>
  </si>
  <si>
    <t>5110_52</t>
  </si>
  <si>
    <t>5110_53</t>
  </si>
  <si>
    <t>5110_54</t>
  </si>
  <si>
    <t>5110_55</t>
  </si>
  <si>
    <t>5110_56</t>
  </si>
  <si>
    <t>5110_57</t>
  </si>
  <si>
    <t>5110_58</t>
  </si>
  <si>
    <t>5110_59</t>
  </si>
  <si>
    <t>5110_6</t>
  </si>
  <si>
    <t>5110_60</t>
  </si>
  <si>
    <t>5110_62</t>
  </si>
  <si>
    <t>5110_63</t>
  </si>
  <si>
    <t>5110_64</t>
  </si>
  <si>
    <t>5110_66</t>
  </si>
  <si>
    <t>5110_67</t>
  </si>
  <si>
    <t>5110_68</t>
  </si>
  <si>
    <t>5110_69</t>
  </si>
  <si>
    <t>5110_7</t>
  </si>
  <si>
    <t>5110_70</t>
  </si>
  <si>
    <t>5110_73</t>
  </si>
  <si>
    <t>5110_74</t>
  </si>
  <si>
    <t>5110_76</t>
  </si>
  <si>
    <t>5110_77</t>
  </si>
  <si>
    <t>5110_78</t>
  </si>
  <si>
    <t>5110_8</t>
  </si>
  <si>
    <t>5110_80</t>
  </si>
  <si>
    <t>5110_82</t>
  </si>
  <si>
    <t>5110_84</t>
  </si>
  <si>
    <t>5110_85</t>
  </si>
  <si>
    <t>5110_86</t>
  </si>
  <si>
    <t>5110_87</t>
  </si>
  <si>
    <t>5110_88</t>
  </si>
  <si>
    <t>5110_9</t>
  </si>
  <si>
    <t>5115_1</t>
  </si>
  <si>
    <t>5115_10</t>
  </si>
  <si>
    <t>5115_11</t>
  </si>
  <si>
    <t>5115_13</t>
  </si>
  <si>
    <t>5115_14</t>
  </si>
  <si>
    <t>5115_15</t>
  </si>
  <si>
    <t>5115_16</t>
  </si>
  <si>
    <t>5115_17</t>
  </si>
  <si>
    <t>5115_18</t>
  </si>
  <si>
    <t>5115_19</t>
  </si>
  <si>
    <t>5115_2</t>
  </si>
  <si>
    <t>5115_21</t>
  </si>
  <si>
    <t>5115_22</t>
  </si>
  <si>
    <t>5115_23</t>
  </si>
  <si>
    <t>5115_24</t>
  </si>
  <si>
    <t>5115_25</t>
  </si>
  <si>
    <t>5115_26</t>
  </si>
  <si>
    <t>5115_27</t>
  </si>
  <si>
    <t>5115_28</t>
  </si>
  <si>
    <t>5115_29</t>
  </si>
  <si>
    <t>5115_3</t>
  </si>
  <si>
    <t>5115_30</t>
  </si>
  <si>
    <t>5115_31</t>
  </si>
  <si>
    <t>5115_32</t>
  </si>
  <si>
    <t>5115_33</t>
  </si>
  <si>
    <t>5115_34</t>
  </si>
  <si>
    <t>5115_35</t>
  </si>
  <si>
    <t>5115_36</t>
  </si>
  <si>
    <t>5115_37</t>
  </si>
  <si>
    <t>5115_38</t>
  </si>
  <si>
    <t>5115_39</t>
  </si>
  <si>
    <t>5115_4</t>
  </si>
  <si>
    <t>5115_40</t>
  </si>
  <si>
    <t>5115_41</t>
  </si>
  <si>
    <t>5115_42</t>
  </si>
  <si>
    <t>5115_43</t>
  </si>
  <si>
    <t>5115_44</t>
  </si>
  <si>
    <t>5115_45</t>
  </si>
  <si>
    <t>5115_46</t>
  </si>
  <si>
    <t>5115_47</t>
  </si>
  <si>
    <t>5115_5</t>
  </si>
  <si>
    <t>5115_50</t>
  </si>
  <si>
    <t>5115_51</t>
  </si>
  <si>
    <t>5115_52</t>
  </si>
  <si>
    <t>5115_53</t>
  </si>
  <si>
    <t>5115_54</t>
  </si>
  <si>
    <t>5115_55</t>
  </si>
  <si>
    <t>5115_56</t>
  </si>
  <si>
    <t>5115_58</t>
  </si>
  <si>
    <t>5115_59</t>
  </si>
  <si>
    <t>5115_6</t>
  </si>
  <si>
    <t>5115_60</t>
  </si>
  <si>
    <t>5115_7</t>
  </si>
  <si>
    <t>5115_8</t>
  </si>
  <si>
    <t>5115_9</t>
  </si>
  <si>
    <t>540_1</t>
  </si>
  <si>
    <t>540_10</t>
  </si>
  <si>
    <t>540_100</t>
  </si>
  <si>
    <t>540_102</t>
  </si>
  <si>
    <t>540_103</t>
  </si>
  <si>
    <t>540_104</t>
  </si>
  <si>
    <t>540_105</t>
  </si>
  <si>
    <t>540_106</t>
  </si>
  <si>
    <t>540_107</t>
  </si>
  <si>
    <t>540_108</t>
  </si>
  <si>
    <t>540_109</t>
  </si>
  <si>
    <t>540_11</t>
  </si>
  <si>
    <t>540_110</t>
  </si>
  <si>
    <t>540_111</t>
  </si>
  <si>
    <t>540_112</t>
  </si>
  <si>
    <t>540_113</t>
  </si>
  <si>
    <t>540_114</t>
  </si>
  <si>
    <t>540_115</t>
  </si>
  <si>
    <t>540_116</t>
  </si>
  <si>
    <t>540_117</t>
  </si>
  <si>
    <t>540_118</t>
  </si>
  <si>
    <t>540_119</t>
  </si>
  <si>
    <t>540_12</t>
  </si>
  <si>
    <t>540_120</t>
  </si>
  <si>
    <t>540_121</t>
  </si>
  <si>
    <t>540_122</t>
  </si>
  <si>
    <t>540_123</t>
  </si>
  <si>
    <t>540_124</t>
  </si>
  <si>
    <t>540_125</t>
  </si>
  <si>
    <t>540_126</t>
  </si>
  <si>
    <t>540_127</t>
  </si>
  <si>
    <t>540_128</t>
  </si>
  <si>
    <t>540_13</t>
  </si>
  <si>
    <t>540_130</t>
  </si>
  <si>
    <t>540_131</t>
  </si>
  <si>
    <t>540_132</t>
  </si>
  <si>
    <t>540_133</t>
  </si>
  <si>
    <t>540_134</t>
  </si>
  <si>
    <t>540_135</t>
  </si>
  <si>
    <t>540_136</t>
  </si>
  <si>
    <t>540_137</t>
  </si>
  <si>
    <t>540_138</t>
  </si>
  <si>
    <t>540_139</t>
  </si>
  <si>
    <t>540_14</t>
  </si>
  <si>
    <t>540_140</t>
  </si>
  <si>
    <t>540_141</t>
  </si>
  <si>
    <t>540_142</t>
  </si>
  <si>
    <t>540_143</t>
  </si>
  <si>
    <t>540_144</t>
  </si>
  <si>
    <t>540_146</t>
  </si>
  <si>
    <t>540_147</t>
  </si>
  <si>
    <t>540_148</t>
  </si>
  <si>
    <t>540_149</t>
  </si>
  <si>
    <t>540_15</t>
  </si>
  <si>
    <t>540_150</t>
  </si>
  <si>
    <t>540_151</t>
  </si>
  <si>
    <t>540_152</t>
  </si>
  <si>
    <t>540_155</t>
  </si>
  <si>
    <t>540_156</t>
  </si>
  <si>
    <t>540_157</t>
  </si>
  <si>
    <t>540_159</t>
  </si>
  <si>
    <t>540_16</t>
  </si>
  <si>
    <t>540_160</t>
  </si>
  <si>
    <t>540_161</t>
  </si>
  <si>
    <t>540_162</t>
  </si>
  <si>
    <t>540_163</t>
  </si>
  <si>
    <t>540_165</t>
  </si>
  <si>
    <t>540_166</t>
  </si>
  <si>
    <t>540_167</t>
  </si>
  <si>
    <t>540_168</t>
  </si>
  <si>
    <t>540_169</t>
  </si>
  <si>
    <t>540_17</t>
  </si>
  <si>
    <t>540_170</t>
  </si>
  <si>
    <t>540_18</t>
  </si>
  <si>
    <t>540_2</t>
  </si>
  <si>
    <t>540_23</t>
  </si>
  <si>
    <t>540_24</t>
  </si>
  <si>
    <t>540_25</t>
  </si>
  <si>
    <t>540_26</t>
  </si>
  <si>
    <t>540_3</t>
  </si>
  <si>
    <t>540_33</t>
  </si>
  <si>
    <t>540_36</t>
  </si>
  <si>
    <t>540_38</t>
  </si>
  <si>
    <t>540_39</t>
  </si>
  <si>
    <t>540_4</t>
  </si>
  <si>
    <t>540_42</t>
  </si>
  <si>
    <t>540_49</t>
  </si>
  <si>
    <t>540_5</t>
  </si>
  <si>
    <t>540_50</t>
  </si>
  <si>
    <t>540_51</t>
  </si>
  <si>
    <t>540_55</t>
  </si>
  <si>
    <t>540_56</t>
  </si>
  <si>
    <t>540_58</t>
  </si>
  <si>
    <t>540_6</t>
  </si>
  <si>
    <t>540_62</t>
  </si>
  <si>
    <t>540_65</t>
  </si>
  <si>
    <t>540_66</t>
  </si>
  <si>
    <t>540_67</t>
  </si>
  <si>
    <t>540_68</t>
  </si>
  <si>
    <t>540_69</t>
  </si>
  <si>
    <t>540_7</t>
  </si>
  <si>
    <t>540_70</t>
  </si>
  <si>
    <t>540_71</t>
  </si>
  <si>
    <t>540_72</t>
  </si>
  <si>
    <t>540_73</t>
  </si>
  <si>
    <t>540_74</t>
  </si>
  <si>
    <t>540_75</t>
  </si>
  <si>
    <t>540_76</t>
  </si>
  <si>
    <t>540_77</t>
  </si>
  <si>
    <t>540_78</t>
  </si>
  <si>
    <t>540_79</t>
  </si>
  <si>
    <t>540_8</t>
  </si>
  <si>
    <t>540_80</t>
  </si>
  <si>
    <t>540_81</t>
  </si>
  <si>
    <t>540_82</t>
  </si>
  <si>
    <t>540_83</t>
  </si>
  <si>
    <t>540_84</t>
  </si>
  <si>
    <t>540_85</t>
  </si>
  <si>
    <t>540_86</t>
  </si>
  <si>
    <t>540_87</t>
  </si>
  <si>
    <t>540_88</t>
  </si>
  <si>
    <t>540_89</t>
  </si>
  <si>
    <t>540_9</t>
  </si>
  <si>
    <t>540_90</t>
  </si>
  <si>
    <t>540_91</t>
  </si>
  <si>
    <t>540_92</t>
  </si>
  <si>
    <t>540_93</t>
  </si>
  <si>
    <t>540_94</t>
  </si>
  <si>
    <t>540_95</t>
  </si>
  <si>
    <t>540_96</t>
  </si>
  <si>
    <t>540_97</t>
  </si>
  <si>
    <t>540_98</t>
  </si>
  <si>
    <t>540_99</t>
  </si>
  <si>
    <t>629_1</t>
  </si>
  <si>
    <t>629_10</t>
  </si>
  <si>
    <t>629_11</t>
  </si>
  <si>
    <t>629_12</t>
  </si>
  <si>
    <t>629_13</t>
  </si>
  <si>
    <t>629_14</t>
  </si>
  <si>
    <t>629_15</t>
  </si>
  <si>
    <t>629_16</t>
  </si>
  <si>
    <t>629_18</t>
  </si>
  <si>
    <t>629_19</t>
  </si>
  <si>
    <t>629_2</t>
  </si>
  <si>
    <t>629_20</t>
  </si>
  <si>
    <t>629_21</t>
  </si>
  <si>
    <t>629_22</t>
  </si>
  <si>
    <t>629_23</t>
  </si>
  <si>
    <t>629_24</t>
  </si>
  <si>
    <t>629_25</t>
  </si>
  <si>
    <t>629_26</t>
  </si>
  <si>
    <t>629_27</t>
  </si>
  <si>
    <t>629_28</t>
  </si>
  <si>
    <t>629_29</t>
  </si>
  <si>
    <t>629_3</t>
  </si>
  <si>
    <t>629_31</t>
  </si>
  <si>
    <t>629_32</t>
  </si>
  <si>
    <t>629_33</t>
  </si>
  <si>
    <t>629_4</t>
  </si>
  <si>
    <t>629_5</t>
  </si>
  <si>
    <t>629_6</t>
  </si>
  <si>
    <t>629_7</t>
  </si>
  <si>
    <t>629_8</t>
  </si>
  <si>
    <t>629_9</t>
  </si>
  <si>
    <t>780_1</t>
  </si>
  <si>
    <t>780_10</t>
  </si>
  <si>
    <t>780_100</t>
  </si>
  <si>
    <t>780_101</t>
  </si>
  <si>
    <t>780_102</t>
  </si>
  <si>
    <t>780_103</t>
  </si>
  <si>
    <t>780_104</t>
  </si>
  <si>
    <t>780_106</t>
  </si>
  <si>
    <t>780_107</t>
  </si>
  <si>
    <t>780_108</t>
  </si>
  <si>
    <t>780_109</t>
  </si>
  <si>
    <t>780_11</t>
  </si>
  <si>
    <t>780_110</t>
  </si>
  <si>
    <t>780_112</t>
  </si>
  <si>
    <t>780_113</t>
  </si>
  <si>
    <t>780_114</t>
  </si>
  <si>
    <t>780_115</t>
  </si>
  <si>
    <t>780_116</t>
  </si>
  <si>
    <t>780_117</t>
  </si>
  <si>
    <t>780_118</t>
  </si>
  <si>
    <t>780_119</t>
  </si>
  <si>
    <t>780_12</t>
  </si>
  <si>
    <t>780_120</t>
  </si>
  <si>
    <t>780_121</t>
  </si>
  <si>
    <t>780_122</t>
  </si>
  <si>
    <t>780_123</t>
  </si>
  <si>
    <t>780_124</t>
  </si>
  <si>
    <t>780_125</t>
  </si>
  <si>
    <t>780_126</t>
  </si>
  <si>
    <t>780_127</t>
  </si>
  <si>
    <t>780_128</t>
  </si>
  <si>
    <t>780_129</t>
  </si>
  <si>
    <t>780_13</t>
  </si>
  <si>
    <t>780_130</t>
  </si>
  <si>
    <t>780_131</t>
  </si>
  <si>
    <t>780_132</t>
  </si>
  <si>
    <t>780_133</t>
  </si>
  <si>
    <t>780_134</t>
  </si>
  <si>
    <t>780_135</t>
  </si>
  <si>
    <t>780_136</t>
  </si>
  <si>
    <t>780_137</t>
  </si>
  <si>
    <t>780_138</t>
  </si>
  <si>
    <t>780_139</t>
  </si>
  <si>
    <t>780_141</t>
  </si>
  <si>
    <t>780_143</t>
  </si>
  <si>
    <t>780_145</t>
  </si>
  <si>
    <t>780_146</t>
  </si>
  <si>
    <t>780_147</t>
  </si>
  <si>
    <t>780_149</t>
  </si>
  <si>
    <t>780_15</t>
  </si>
  <si>
    <t>780_150</t>
  </si>
  <si>
    <t>780_151</t>
  </si>
  <si>
    <t>780_152</t>
  </si>
  <si>
    <t>780_153</t>
  </si>
  <si>
    <t>780_154</t>
  </si>
  <si>
    <t>780_155</t>
  </si>
  <si>
    <t>780_156</t>
  </si>
  <si>
    <t>780_157</t>
  </si>
  <si>
    <t>780_159</t>
  </si>
  <si>
    <t>780_16</t>
  </si>
  <si>
    <t>780_160</t>
  </si>
  <si>
    <t>780_161</t>
  </si>
  <si>
    <t>780_162</t>
  </si>
  <si>
    <t>780_163</t>
  </si>
  <si>
    <t>780_164</t>
  </si>
  <si>
    <t>780_165</t>
  </si>
  <si>
    <t>780_166</t>
  </si>
  <si>
    <t>780_167</t>
  </si>
  <si>
    <t>780_168</t>
  </si>
  <si>
    <t>780_169</t>
  </si>
  <si>
    <t>780_17</t>
  </si>
  <si>
    <t>780_170</t>
  </si>
  <si>
    <t>780_171</t>
  </si>
  <si>
    <t>780_172</t>
  </si>
  <si>
    <t>780_173</t>
  </si>
  <si>
    <t>780_174</t>
  </si>
  <si>
    <t>780_175</t>
  </si>
  <si>
    <t>780_176</t>
  </si>
  <si>
    <t>780_177</t>
  </si>
  <si>
    <t>780_178</t>
  </si>
  <si>
    <t>780_179</t>
  </si>
  <si>
    <t>780_18</t>
  </si>
  <si>
    <t>780_180</t>
  </si>
  <si>
    <t>780_181</t>
  </si>
  <si>
    <t>780_182</t>
  </si>
  <si>
    <t>780_184</t>
  </si>
  <si>
    <t>780_185</t>
  </si>
  <si>
    <t>780_186</t>
  </si>
  <si>
    <t>780_187</t>
  </si>
  <si>
    <t>780_188</t>
  </si>
  <si>
    <t>780_189</t>
  </si>
  <si>
    <t>780_19</t>
  </si>
  <si>
    <t>780_190</t>
  </si>
  <si>
    <t>780_191</t>
  </si>
  <si>
    <t>780_192</t>
  </si>
  <si>
    <t>780_193</t>
  </si>
  <si>
    <t>780_194</t>
  </si>
  <si>
    <t>780_195</t>
  </si>
  <si>
    <t>780_196</t>
  </si>
  <si>
    <t>780_197</t>
  </si>
  <si>
    <t>780_198</t>
  </si>
  <si>
    <t>780_199</t>
  </si>
  <si>
    <t>780_2</t>
  </si>
  <si>
    <t>780_20</t>
  </si>
  <si>
    <t>780_200</t>
  </si>
  <si>
    <t>780_201</t>
  </si>
  <si>
    <t>780_202</t>
  </si>
  <si>
    <t>780_203</t>
  </si>
  <si>
    <t>780_204</t>
  </si>
  <si>
    <t>780_206</t>
  </si>
  <si>
    <t>780_207</t>
  </si>
  <si>
    <t>780_208</t>
  </si>
  <si>
    <t>780_21</t>
  </si>
  <si>
    <t>780_210</t>
  </si>
  <si>
    <t>780_211</t>
  </si>
  <si>
    <t>780_212</t>
  </si>
  <si>
    <t>780_213</t>
  </si>
  <si>
    <t>780_214</t>
  </si>
  <si>
    <t>780_215</t>
  </si>
  <si>
    <t>780_216</t>
  </si>
  <si>
    <t>780_217</t>
  </si>
  <si>
    <t>780_218</t>
  </si>
  <si>
    <t>780_219</t>
  </si>
  <si>
    <t>780_22</t>
  </si>
  <si>
    <t>780_220</t>
  </si>
  <si>
    <t>780_221</t>
  </si>
  <si>
    <t>780_222</t>
  </si>
  <si>
    <t>780_223</t>
  </si>
  <si>
    <t>780_224</t>
  </si>
  <si>
    <t>780_225</t>
  </si>
  <si>
    <t>780_227</t>
  </si>
  <si>
    <t>780_228</t>
  </si>
  <si>
    <t>780_229</t>
  </si>
  <si>
    <t>780_23</t>
  </si>
  <si>
    <t>780_230</t>
  </si>
  <si>
    <t>780_231</t>
  </si>
  <si>
    <t>780_233</t>
  </si>
  <si>
    <t>780_234</t>
  </si>
  <si>
    <t>780_236</t>
  </si>
  <si>
    <t>780_238</t>
  </si>
  <si>
    <t>780_239</t>
  </si>
  <si>
    <t>780_24</t>
  </si>
  <si>
    <t>780_240</t>
  </si>
  <si>
    <t>780_241</t>
  </si>
  <si>
    <t>780_243</t>
  </si>
  <si>
    <t>780_244</t>
  </si>
  <si>
    <t>780_245</t>
  </si>
  <si>
    <t>780_246</t>
  </si>
  <si>
    <t>780_247</t>
  </si>
  <si>
    <t>780_248</t>
  </si>
  <si>
    <t>780_249</t>
  </si>
  <si>
    <t>780_25</t>
  </si>
  <si>
    <t>780_250</t>
  </si>
  <si>
    <t>780_251</t>
  </si>
  <si>
    <t>780_252</t>
  </si>
  <si>
    <t>780_254</t>
  </si>
  <si>
    <t>780_255</t>
  </si>
  <si>
    <t>780_26</t>
  </si>
  <si>
    <t>780_262</t>
  </si>
  <si>
    <t>780_263</t>
  </si>
  <si>
    <t>780_264</t>
  </si>
  <si>
    <t>780_265</t>
  </si>
  <si>
    <t>780_267</t>
  </si>
  <si>
    <t>780_268</t>
  </si>
  <si>
    <t>780_269</t>
  </si>
  <si>
    <t>780_27</t>
  </si>
  <si>
    <t>780_270</t>
  </si>
  <si>
    <t>780_271</t>
  </si>
  <si>
    <t>780_272</t>
  </si>
  <si>
    <t>780_273</t>
  </si>
  <si>
    <t>780_274</t>
  </si>
  <si>
    <t>780_275</t>
  </si>
  <si>
    <t>780_276</t>
  </si>
  <si>
    <t>780_278</t>
  </si>
  <si>
    <t>780_28</t>
  </si>
  <si>
    <t>780_280</t>
  </si>
  <si>
    <t>780_281</t>
  </si>
  <si>
    <t>780_282</t>
  </si>
  <si>
    <t>780_283</t>
  </si>
  <si>
    <t>780_284</t>
  </si>
  <si>
    <t>780_285</t>
  </si>
  <si>
    <t>780_286</t>
  </si>
  <si>
    <t>780_287</t>
  </si>
  <si>
    <t>780_288</t>
  </si>
  <si>
    <t>780_289</t>
  </si>
  <si>
    <t>780_29</t>
  </si>
  <si>
    <t>780_290</t>
  </si>
  <si>
    <t>780_291</t>
  </si>
  <si>
    <t>780_292</t>
  </si>
  <si>
    <t>780_293</t>
  </si>
  <si>
    <t>780_294</t>
  </si>
  <si>
    <t>780_296</t>
  </si>
  <si>
    <t>780_297</t>
  </si>
  <si>
    <t>780_298</t>
  </si>
  <si>
    <t>780_299</t>
  </si>
  <si>
    <t>780_3</t>
  </si>
  <si>
    <t>780_30</t>
  </si>
  <si>
    <t>780_301</t>
  </si>
  <si>
    <t>780_302</t>
  </si>
  <si>
    <t>780_303</t>
  </si>
  <si>
    <t>780_304</t>
  </si>
  <si>
    <t>780_305</t>
  </si>
  <si>
    <t>780_306</t>
  </si>
  <si>
    <t>780_307</t>
  </si>
  <si>
    <t>780_308</t>
  </si>
  <si>
    <t>780_309</t>
  </si>
  <si>
    <t>780_31</t>
  </si>
  <si>
    <t>780_310</t>
  </si>
  <si>
    <t>780_311</t>
  </si>
  <si>
    <t>780_312</t>
  </si>
  <si>
    <t>780_313</t>
  </si>
  <si>
    <t>780_314</t>
  </si>
  <si>
    <t>780_315</t>
  </si>
  <si>
    <t>780_316</t>
  </si>
  <si>
    <t>780_317</t>
  </si>
  <si>
    <t>780_318</t>
  </si>
  <si>
    <t>780_32</t>
  </si>
  <si>
    <t>780_320</t>
  </si>
  <si>
    <t>780_321</t>
  </si>
  <si>
    <t>780_322</t>
  </si>
  <si>
    <t>780_324</t>
  </si>
  <si>
    <t>780_325</t>
  </si>
  <si>
    <t>780_326</t>
  </si>
  <si>
    <t>780_327</t>
  </si>
  <si>
    <t>780_328</t>
  </si>
  <si>
    <t>780_33</t>
  </si>
  <si>
    <t>780_330</t>
  </si>
  <si>
    <t>780_331</t>
  </si>
  <si>
    <t>780_333</t>
  </si>
  <si>
    <t>780_334</t>
  </si>
  <si>
    <t>780_335</t>
  </si>
  <si>
    <t>780_336</t>
  </si>
  <si>
    <t>780_337</t>
  </si>
  <si>
    <t>780_338</t>
  </si>
  <si>
    <t>780_339</t>
  </si>
  <si>
    <t>780_34</t>
  </si>
  <si>
    <t>780_340</t>
  </si>
  <si>
    <t>780_342</t>
  </si>
  <si>
    <t>780_344</t>
  </si>
  <si>
    <t>780_345</t>
  </si>
  <si>
    <t>780_346</t>
  </si>
  <si>
    <t>780_347</t>
  </si>
  <si>
    <t>780_348</t>
  </si>
  <si>
    <t>780_349</t>
  </si>
  <si>
    <t>780_35</t>
  </si>
  <si>
    <t>780_351</t>
  </si>
  <si>
    <t>780_352</t>
  </si>
  <si>
    <t>780_353</t>
  </si>
  <si>
    <t>780_354</t>
  </si>
  <si>
    <t>780_355</t>
  </si>
  <si>
    <t>780_356</t>
  </si>
  <si>
    <t>780_357</t>
  </si>
  <si>
    <t>780_358</t>
  </si>
  <si>
    <t>780_36</t>
  </si>
  <si>
    <t>780_360</t>
  </si>
  <si>
    <t>780_361</t>
  </si>
  <si>
    <t>780_362</t>
  </si>
  <si>
    <t>780_363</t>
  </si>
  <si>
    <t>780_364</t>
  </si>
  <si>
    <t>780_365</t>
  </si>
  <si>
    <t>780_367</t>
  </si>
  <si>
    <t>780_368</t>
  </si>
  <si>
    <t>780_369</t>
  </si>
  <si>
    <t>780_37</t>
  </si>
  <si>
    <t>780_370</t>
  </si>
  <si>
    <t>780_371</t>
  </si>
  <si>
    <t>780_373</t>
  </si>
  <si>
    <t>780_374</t>
  </si>
  <si>
    <t>780_375</t>
  </si>
  <si>
    <t>780_377</t>
  </si>
  <si>
    <t>780_379</t>
  </si>
  <si>
    <t>780_38</t>
  </si>
  <si>
    <t>780_380</t>
  </si>
  <si>
    <t>780_381</t>
  </si>
  <si>
    <t>780_383</t>
  </si>
  <si>
    <t>780_384</t>
  </si>
  <si>
    <t>780_385</t>
  </si>
  <si>
    <t>780_386</t>
  </si>
  <si>
    <t>780_387</t>
  </si>
  <si>
    <t>780_388</t>
  </si>
  <si>
    <t>780_39</t>
  </si>
  <si>
    <t>780_390</t>
  </si>
  <si>
    <t>780_391</t>
  </si>
  <si>
    <t>780_392</t>
  </si>
  <si>
    <t>780_393</t>
  </si>
  <si>
    <t>780_394</t>
  </si>
  <si>
    <t>780_395</t>
  </si>
  <si>
    <t>780_396</t>
  </si>
  <si>
    <t>780_397</t>
  </si>
  <si>
    <t>780_398</t>
  </si>
  <si>
    <t>780_399</t>
  </si>
  <si>
    <t>780_4</t>
  </si>
  <si>
    <t>780_40</t>
  </si>
  <si>
    <t>780_400</t>
  </si>
  <si>
    <t>780_401</t>
  </si>
  <si>
    <t>780_403</t>
  </si>
  <si>
    <t>780_404</t>
  </si>
  <si>
    <t>780_405</t>
  </si>
  <si>
    <t>780_406</t>
  </si>
  <si>
    <t>780_407</t>
  </si>
  <si>
    <t>780_408</t>
  </si>
  <si>
    <t>780_409</t>
  </si>
  <si>
    <t>780_41</t>
  </si>
  <si>
    <t>780_411</t>
  </si>
  <si>
    <t>780_412</t>
  </si>
  <si>
    <t>780_413</t>
  </si>
  <si>
    <t>780_414</t>
  </si>
  <si>
    <t>780_415</t>
  </si>
  <si>
    <t>780_416</t>
  </si>
  <si>
    <t>780_418</t>
  </si>
  <si>
    <t>780_419</t>
  </si>
  <si>
    <t>780_42</t>
  </si>
  <si>
    <t>780_420</t>
  </si>
  <si>
    <t>780_421</t>
  </si>
  <si>
    <t>780_422</t>
  </si>
  <si>
    <t>780_423</t>
  </si>
  <si>
    <t>780_424</t>
  </si>
  <si>
    <t>780_425</t>
  </si>
  <si>
    <t>780_426</t>
  </si>
  <si>
    <t>780_427</t>
  </si>
  <si>
    <t>780_428</t>
  </si>
  <si>
    <t>780_429</t>
  </si>
  <si>
    <t>780_43</t>
  </si>
  <si>
    <t>780_430</t>
  </si>
  <si>
    <t>780_431</t>
  </si>
  <si>
    <t>780_432</t>
  </si>
  <si>
    <t>780_433</t>
  </si>
  <si>
    <t>780_434</t>
  </si>
  <si>
    <t>780_435</t>
  </si>
  <si>
    <t>780_436</t>
  </si>
  <si>
    <t>780_439</t>
  </si>
  <si>
    <t>780_44</t>
  </si>
  <si>
    <t>780_440</t>
  </si>
  <si>
    <t>780_441</t>
  </si>
  <si>
    <t>780_442</t>
  </si>
  <si>
    <t>780_443</t>
  </si>
  <si>
    <t>780_444</t>
  </si>
  <si>
    <t>780_445</t>
  </si>
  <si>
    <t>780_446</t>
  </si>
  <si>
    <t>780_447</t>
  </si>
  <si>
    <t>780_449</t>
  </si>
  <si>
    <t>780_45</t>
  </si>
  <si>
    <t>780_450</t>
  </si>
  <si>
    <t>780_451</t>
  </si>
  <si>
    <t>780_452</t>
  </si>
  <si>
    <t>780_453</t>
  </si>
  <si>
    <t>780_454</t>
  </si>
  <si>
    <t>780_455</t>
  </si>
  <si>
    <t>780_456</t>
  </si>
  <si>
    <t>780_457</t>
  </si>
  <si>
    <t>780_458</t>
  </si>
  <si>
    <t>780_459</t>
  </si>
  <si>
    <t>780_46</t>
  </si>
  <si>
    <t>780_460</t>
  </si>
  <si>
    <t>780_461</t>
  </si>
  <si>
    <t>780_462</t>
  </si>
  <si>
    <t>780_463</t>
  </si>
  <si>
    <t>780_464</t>
  </si>
  <si>
    <t>780_465</t>
  </si>
  <si>
    <t>780_47</t>
  </si>
  <si>
    <t>780_48</t>
  </si>
  <si>
    <t>780_49</t>
  </si>
  <si>
    <t>780_5</t>
  </si>
  <si>
    <t>780_50</t>
  </si>
  <si>
    <t>780_51</t>
  </si>
  <si>
    <t>780_52</t>
  </si>
  <si>
    <t>780_53</t>
  </si>
  <si>
    <t>780_54</t>
  </si>
  <si>
    <t>780_55</t>
  </si>
  <si>
    <t>780_56</t>
  </si>
  <si>
    <t>780_58</t>
  </si>
  <si>
    <t>780_59</t>
  </si>
  <si>
    <t>780_6</t>
  </si>
  <si>
    <t>780_60</t>
  </si>
  <si>
    <t>780_61</t>
  </si>
  <si>
    <t>780_62</t>
  </si>
  <si>
    <t>780_63</t>
  </si>
  <si>
    <t>780_65</t>
  </si>
  <si>
    <t>780_66</t>
  </si>
  <si>
    <t>780_67</t>
  </si>
  <si>
    <t>780_68</t>
  </si>
  <si>
    <t>780_69</t>
  </si>
  <si>
    <t>780_7</t>
  </si>
  <si>
    <t>780_70</t>
  </si>
  <si>
    <t>780_71</t>
  </si>
  <si>
    <t>780_72</t>
  </si>
  <si>
    <t>780_73</t>
  </si>
  <si>
    <t>780_74</t>
  </si>
  <si>
    <t>780_75</t>
  </si>
  <si>
    <t>780_76</t>
  </si>
  <si>
    <t>780_77</t>
  </si>
  <si>
    <t>780_78</t>
  </si>
  <si>
    <t>780_79</t>
  </si>
  <si>
    <t>780_8</t>
  </si>
  <si>
    <t>780_80</t>
  </si>
  <si>
    <t>780_81</t>
  </si>
  <si>
    <t>780_82</t>
  </si>
  <si>
    <t>780_83</t>
  </si>
  <si>
    <t>780_84</t>
  </si>
  <si>
    <t>780_85</t>
  </si>
  <si>
    <t>780_86</t>
  </si>
  <si>
    <t>780_87</t>
  </si>
  <si>
    <t>780_88</t>
  </si>
  <si>
    <t>780_89</t>
  </si>
  <si>
    <t>780_9</t>
  </si>
  <si>
    <t>780_90</t>
  </si>
  <si>
    <t>780_91</t>
  </si>
  <si>
    <t>780_92</t>
  </si>
  <si>
    <t>780_93</t>
  </si>
  <si>
    <t>780_94</t>
  </si>
  <si>
    <t>780_96</t>
  </si>
  <si>
    <t>780_97</t>
  </si>
  <si>
    <t>780_98</t>
  </si>
  <si>
    <t>780_99</t>
  </si>
  <si>
    <t>1003787</t>
  </si>
  <si>
    <t>1003803</t>
  </si>
  <si>
    <t>1003881</t>
  </si>
  <si>
    <t>1003818</t>
  </si>
  <si>
    <t>1003758</t>
  </si>
  <si>
    <t>1003807</t>
  </si>
  <si>
    <t>1003882</t>
  </si>
  <si>
    <t>1003873</t>
  </si>
  <si>
    <t>1003793</t>
  </si>
  <si>
    <t>1003736</t>
  </si>
  <si>
    <t>1003891</t>
  </si>
  <si>
    <t>1003752</t>
  </si>
  <si>
    <t>1003735</t>
  </si>
  <si>
    <t>1003813</t>
  </si>
  <si>
    <t>1003760</t>
  </si>
  <si>
    <t>1003792</t>
  </si>
  <si>
    <t>1003859</t>
  </si>
  <si>
    <t>1003888</t>
  </si>
  <si>
    <t>1003812</t>
  </si>
  <si>
    <t>1003751</t>
  </si>
  <si>
    <t>1003750</t>
  </si>
  <si>
    <t>1003759</t>
  </si>
  <si>
    <t>1003892</t>
  </si>
  <si>
    <t>1003801</t>
  </si>
  <si>
    <t>1003862</t>
  </si>
  <si>
    <t>1003749</t>
  </si>
  <si>
    <t>1003733</t>
  </si>
  <si>
    <t>1003815</t>
  </si>
  <si>
    <t>1003808</t>
  </si>
  <si>
    <t>1003806</t>
  </si>
  <si>
    <t>1003883</t>
  </si>
  <si>
    <t>369_202</t>
  </si>
  <si>
    <t>1003863</t>
  </si>
  <si>
    <t>369_208</t>
  </si>
  <si>
    <t>370_202</t>
  </si>
  <si>
    <t>1003864</t>
  </si>
  <si>
    <t>370_208</t>
  </si>
  <si>
    <t>1003820</t>
  </si>
  <si>
    <t>1003755</t>
  </si>
  <si>
    <t>1003884</t>
  </si>
  <si>
    <t>1003756</t>
  </si>
  <si>
    <t>1003741</t>
  </si>
  <si>
    <t>1003886</t>
  </si>
  <si>
    <t>1003889</t>
  </si>
  <si>
    <t>1003887</t>
  </si>
  <si>
    <t>1003761</t>
  </si>
  <si>
    <t>1003763</t>
  </si>
  <si>
    <t>1003737</t>
  </si>
  <si>
    <t>1003874</t>
  </si>
  <si>
    <t>1003762</t>
  </si>
  <si>
    <t>1003890</t>
  </si>
  <si>
    <t>1003775</t>
  </si>
  <si>
    <t>1003720</t>
  </si>
  <si>
    <t>1003831</t>
  </si>
  <si>
    <t>1003858</t>
  </si>
  <si>
    <t>1003875</t>
  </si>
  <si>
    <t>1003819</t>
  </si>
  <si>
    <t>1003821</t>
  </si>
  <si>
    <t>1003704</t>
  </si>
  <si>
    <t>1003757</t>
  </si>
  <si>
    <t>1003885</t>
  </si>
  <si>
    <t>1003739</t>
  </si>
  <si>
    <t>1003742</t>
  </si>
  <si>
    <t>1003743</t>
  </si>
  <si>
    <t>1003709</t>
  </si>
  <si>
    <t>1003855</t>
  </si>
  <si>
    <t>8054</t>
  </si>
  <si>
    <t>1003867</t>
  </si>
  <si>
    <t>8056</t>
  </si>
  <si>
    <t>1003866</t>
  </si>
  <si>
    <t>8058</t>
  </si>
  <si>
    <t>1003869</t>
  </si>
  <si>
    <t>8059</t>
  </si>
  <si>
    <t>1003872</t>
  </si>
  <si>
    <t>1003840</t>
  </si>
  <si>
    <t>8061</t>
  </si>
  <si>
    <t>1003868</t>
  </si>
  <si>
    <t>1003903</t>
  </si>
  <si>
    <t>1003849</t>
  </si>
  <si>
    <t>1003857</t>
  </si>
  <si>
    <t>1003899</t>
  </si>
  <si>
    <t>1003809</t>
  </si>
  <si>
    <t>8111</t>
  </si>
  <si>
    <t>1003876</t>
  </si>
  <si>
    <t>8112</t>
  </si>
  <si>
    <t>1003783</t>
  </si>
  <si>
    <t>8126</t>
  </si>
  <si>
    <t>8128</t>
  </si>
  <si>
    <t>1003828</t>
  </si>
  <si>
    <t>1003816</t>
  </si>
  <si>
    <t>8130</t>
  </si>
  <si>
    <t>1003798</t>
  </si>
  <si>
    <t>8140</t>
  </si>
  <si>
    <t>1003711</t>
  </si>
  <si>
    <t>8142</t>
  </si>
  <si>
    <t>1003814</t>
  </si>
  <si>
    <t>8144</t>
  </si>
  <si>
    <t>1003850</t>
  </si>
  <si>
    <t>8145</t>
  </si>
  <si>
    <t>1003837</t>
  </si>
  <si>
    <t>8146</t>
  </si>
  <si>
    <t>1003900</t>
  </si>
  <si>
    <t>8148</t>
  </si>
  <si>
    <t>1003852</t>
  </si>
  <si>
    <t>8149</t>
  </si>
  <si>
    <t>1003839</t>
  </si>
  <si>
    <t>1003842</t>
  </si>
  <si>
    <t>8150</t>
  </si>
  <si>
    <t>1003902</t>
  </si>
  <si>
    <t>8152</t>
  </si>
  <si>
    <t>1003845</t>
  </si>
  <si>
    <t>8153</t>
  </si>
  <si>
    <t>1003833</t>
  </si>
  <si>
    <t>8154</t>
  </si>
  <si>
    <t>1003895</t>
  </si>
  <si>
    <t>8156</t>
  </si>
  <si>
    <t>1003853</t>
  </si>
  <si>
    <t>8157</t>
  </si>
  <si>
    <t>1003841</t>
  </si>
  <si>
    <t>8158</t>
  </si>
  <si>
    <t>1003904</t>
  </si>
  <si>
    <t>1003854</t>
  </si>
  <si>
    <t>8169</t>
  </si>
  <si>
    <t>1003707</t>
  </si>
  <si>
    <t>1003893</t>
  </si>
  <si>
    <t>1003843</t>
  </si>
  <si>
    <t>8189</t>
  </si>
  <si>
    <t>1003788</t>
  </si>
  <si>
    <t>1003856</t>
  </si>
  <si>
    <t>8190</t>
  </si>
  <si>
    <t>1003790</t>
  </si>
  <si>
    <t>8192</t>
  </si>
  <si>
    <t>1003781</t>
  </si>
  <si>
    <t>1003894</t>
  </si>
  <si>
    <t>8200</t>
  </si>
  <si>
    <t>1003780</t>
  </si>
  <si>
    <t>1003826</t>
  </si>
  <si>
    <t>8211</t>
  </si>
  <si>
    <t>8221</t>
  </si>
  <si>
    <t>1003717</t>
  </si>
  <si>
    <t>8228</t>
  </si>
  <si>
    <t>1003719</t>
  </si>
  <si>
    <t>8229</t>
  </si>
  <si>
    <t>1003703</t>
  </si>
  <si>
    <t>8232</t>
  </si>
  <si>
    <t>1003708</t>
  </si>
  <si>
    <t>8238</t>
  </si>
  <si>
    <t>1003811</t>
  </si>
  <si>
    <t>8239</t>
  </si>
  <si>
    <t>1003706</t>
  </si>
  <si>
    <t>8245</t>
  </si>
  <si>
    <t>1003718</t>
  </si>
  <si>
    <t>8247</t>
  </si>
  <si>
    <t>1003748</t>
  </si>
  <si>
    <t>8251</t>
  </si>
  <si>
    <t>1003747</t>
  </si>
  <si>
    <t>8276</t>
  </si>
  <si>
    <t>1003786</t>
  </si>
  <si>
    <t>8277</t>
  </si>
  <si>
    <t>1003784</t>
  </si>
  <si>
    <t>1003830</t>
  </si>
  <si>
    <t>8284</t>
  </si>
  <si>
    <t>1003782</t>
  </si>
  <si>
    <t>8287</t>
  </si>
  <si>
    <t>1003789</t>
  </si>
  <si>
    <t>8293</t>
  </si>
  <si>
    <t>1003791</t>
  </si>
  <si>
    <t>1003860</t>
  </si>
  <si>
    <t>1003825</t>
  </si>
  <si>
    <t>1003725</t>
  </si>
  <si>
    <t>8401</t>
  </si>
  <si>
    <t>1003778</t>
  </si>
  <si>
    <t>8417</t>
  </si>
  <si>
    <t>1003777</t>
  </si>
  <si>
    <t>1003861</t>
  </si>
  <si>
    <t>8421</t>
  </si>
  <si>
    <t>1003746</t>
  </si>
  <si>
    <t>1003827</t>
  </si>
  <si>
    <t>1003779</t>
  </si>
  <si>
    <t>8489</t>
  </si>
  <si>
    <t>1003723</t>
  </si>
  <si>
    <t>8490</t>
  </si>
  <si>
    <t>1003722</t>
  </si>
  <si>
    <t>8517</t>
  </si>
  <si>
    <t>1003832</t>
  </si>
  <si>
    <t>8539</t>
  </si>
  <si>
    <t>1003724</t>
  </si>
  <si>
    <t>8550</t>
  </si>
  <si>
    <t>8551</t>
  </si>
  <si>
    <t>1003836</t>
  </si>
  <si>
    <t>8552</t>
  </si>
  <si>
    <t>1003848</t>
  </si>
  <si>
    <t>8553</t>
  </si>
  <si>
    <t>1003898</t>
  </si>
  <si>
    <t>8556</t>
  </si>
  <si>
    <t>8557</t>
  </si>
  <si>
    <t>1003847</t>
  </si>
  <si>
    <t>8558</t>
  </si>
  <si>
    <t>1003835</t>
  </si>
  <si>
    <t>1003829</t>
  </si>
  <si>
    <t>8560</t>
  </si>
  <si>
    <t>1003897</t>
  </si>
  <si>
    <t>8566</t>
  </si>
  <si>
    <t>1003799</t>
  </si>
  <si>
    <t>8781</t>
  </si>
  <si>
    <t>8783</t>
  </si>
  <si>
    <t>1003774</t>
  </si>
  <si>
    <t>8784</t>
  </si>
  <si>
    <t>8785</t>
  </si>
  <si>
    <t>1003770</t>
  </si>
  <si>
    <t>8786</t>
  </si>
  <si>
    <t>1003771</t>
  </si>
  <si>
    <t>8788</t>
  </si>
  <si>
    <t>1003766</t>
  </si>
  <si>
    <t>1003728</t>
  </si>
  <si>
    <t>8791</t>
  </si>
  <si>
    <t>1003769</t>
  </si>
  <si>
    <t>8796</t>
  </si>
  <si>
    <t>1003772</t>
  </si>
  <si>
    <t>8797</t>
  </si>
  <si>
    <t>1003773</t>
  </si>
  <si>
    <t>1003727</t>
  </si>
  <si>
    <t>8800</t>
  </si>
  <si>
    <t>1003764</t>
  </si>
  <si>
    <t>8801</t>
  </si>
  <si>
    <t>1003753</t>
  </si>
  <si>
    <t>8808</t>
  </si>
  <si>
    <t>1003754</t>
  </si>
  <si>
    <t>1003726</t>
  </si>
  <si>
    <t>8813</t>
  </si>
  <si>
    <t>1003721</t>
  </si>
  <si>
    <t>1003729</t>
  </si>
  <si>
    <t>8869</t>
  </si>
  <si>
    <t>1003765</t>
  </si>
  <si>
    <t>1003817</t>
  </si>
  <si>
    <t>8870</t>
  </si>
  <si>
    <t>1003767</t>
  </si>
  <si>
    <t>8917</t>
  </si>
  <si>
    <t>1003879</t>
  </si>
  <si>
    <t>8918</t>
  </si>
  <si>
    <t>1003713</t>
  </si>
  <si>
    <t>8919</t>
  </si>
  <si>
    <t>1003712</t>
  </si>
  <si>
    <t>8921</t>
  </si>
  <si>
    <t>1003714</t>
  </si>
  <si>
    <t>8923</t>
  </si>
  <si>
    <t>1003776</t>
  </si>
  <si>
    <t>1003844</t>
  </si>
  <si>
    <t>1003865</t>
  </si>
  <si>
    <t>1003738</t>
  </si>
  <si>
    <t>1003744</t>
  </si>
  <si>
    <t>9176</t>
  </si>
  <si>
    <t>1003732</t>
  </si>
  <si>
    <t>9177</t>
  </si>
  <si>
    <t>1003730</t>
  </si>
  <si>
    <t>9178</t>
  </si>
  <si>
    <t>1003731</t>
  </si>
  <si>
    <t>9180</t>
  </si>
  <si>
    <t>1003880</t>
  </si>
  <si>
    <t>9235</t>
  </si>
  <si>
    <t>1003871</t>
  </si>
  <si>
    <t>9365</t>
  </si>
  <si>
    <t>1003794</t>
  </si>
  <si>
    <t>1003715</t>
  </si>
  <si>
    <t>9380</t>
  </si>
  <si>
    <t>1003877</t>
  </si>
  <si>
    <t>9383</t>
  </si>
  <si>
    <t>1003785</t>
  </si>
  <si>
    <t>9435</t>
  </si>
  <si>
    <t>1003822</t>
  </si>
  <si>
    <t>9438</t>
  </si>
  <si>
    <t>9441</t>
  </si>
  <si>
    <t>9442</t>
  </si>
  <si>
    <t>9443</t>
  </si>
  <si>
    <t>9460</t>
  </si>
  <si>
    <t>1003710</t>
  </si>
  <si>
    <t>9461</t>
  </si>
  <si>
    <t>1003810</t>
  </si>
  <si>
    <t>9462</t>
  </si>
  <si>
    <t>1003705</t>
  </si>
  <si>
    <t>9463</t>
  </si>
  <si>
    <t>1003800</t>
  </si>
  <si>
    <t>9488</t>
  </si>
  <si>
    <t>1003716</t>
  </si>
  <si>
    <t>9489</t>
  </si>
  <si>
    <t>1003824</t>
  </si>
  <si>
    <t>9522</t>
  </si>
  <si>
    <t>1003768</t>
  </si>
  <si>
    <t>9532</t>
  </si>
  <si>
    <t>1003870</t>
  </si>
  <si>
    <t>9591</t>
  </si>
  <si>
    <t>9592</t>
  </si>
  <si>
    <t>9596</t>
  </si>
  <si>
    <t>1003851</t>
  </si>
  <si>
    <t>9597</t>
  </si>
  <si>
    <t>1003838</t>
  </si>
  <si>
    <t>9598</t>
  </si>
  <si>
    <t>1003901</t>
  </si>
  <si>
    <t>9600</t>
  </si>
  <si>
    <t>1003846</t>
  </si>
  <si>
    <t>9601</t>
  </si>
  <si>
    <t>1003834</t>
  </si>
  <si>
    <t>9602</t>
  </si>
  <si>
    <t>1003896</t>
  </si>
  <si>
    <t>9637</t>
  </si>
  <si>
    <t>1003802</t>
  </si>
  <si>
    <t>9750</t>
  </si>
  <si>
    <t>1003740</t>
  </si>
  <si>
    <t>9751</t>
  </si>
  <si>
    <t>1003734</t>
  </si>
  <si>
    <t>9752</t>
  </si>
  <si>
    <t>1003878</t>
  </si>
  <si>
    <t>9754</t>
  </si>
  <si>
    <t>1003795</t>
  </si>
  <si>
    <t>1003745</t>
  </si>
  <si>
    <t>1003796</t>
  </si>
  <si>
    <t>1003797</t>
  </si>
  <si>
    <t>1003804</t>
  </si>
  <si>
    <t>1003805</t>
  </si>
  <si>
    <t>1003823</t>
  </si>
  <si>
    <t>111112866</t>
  </si>
  <si>
    <t>8785 - DIAS AFAST.INSS (P/DOENCA)</t>
  </si>
  <si>
    <t>8801 - DESCONTO DIAS AFASTADOS</t>
  </si>
  <si>
    <t>8058 - PERICULOSIDADE DOENCA</t>
  </si>
  <si>
    <t xml:space="preserve">149 - PERICULOSIDADE </t>
  </si>
  <si>
    <t>8781 - SALARIO</t>
  </si>
  <si>
    <t>996 - F.G.T.S  DO MES.</t>
  </si>
  <si>
    <t>205 - DESCONTO VALE TRANSP  6%</t>
  </si>
  <si>
    <t>998 - I.N.S.S.</t>
  </si>
  <si>
    <t>28 - FERIAS VENCIDAS - RCT</t>
  </si>
  <si>
    <t>29 - FERIAS PROPORCIONAIS-RCT.</t>
  </si>
  <si>
    <t>64 - 1/3 FERIAS - RCT</t>
  </si>
  <si>
    <t xml:space="preserve">150 - HORAS EXTRAS 50% </t>
  </si>
  <si>
    <t>250 - REFLEXO EXTRAS DSR</t>
  </si>
  <si>
    <t>816 - MEDIA VL FER PROPORCIONAL - RCT</t>
  </si>
  <si>
    <t>819 - MEDIA VL FERIAS VENCIDAS - RCT</t>
  </si>
  <si>
    <t>8169 - 1/3 FERIAS PROPORCIONAIS RCT</t>
  </si>
  <si>
    <t>INSERT INTO FPA_ITECALCFOLHA ( NRITEMCALCFOLHA, NRCALCULOFOLHA, NRVINCULOM, NREVENTOM, NRORG, IDEVENDEMONCALC, VRREFFOLHA, VREVENTOFOLHA, IDREFEVALORCALC, DTINCLUSAO, DTOCORRENCIA, DSITEMCALCFOLHA, QTOCORPROXPERI ) VALUES ( @NRO@, ( SELECT MAX(NRCALCULOFOLHA) FROM FPA_CALCULOFOLHA WHERE NRORG = @NRORG@ AND NRTIPOMOVIMENT = @NRTIPOMOVIMENT@ AND DTOCORRENCIA = '@DTMESCOMPETENC@' AND NRTPMODALIDCAL = 1 AND NROCORRECAL = 1 ), '@CDMATRICULA@', ( SELECT MAX(NRPARA) FROM MIG_MIGRAMDEPARA WHERE NRORG = @NRORG@ AND NRDE = '@NREVENTO@' ), @NRORG@, 'N', @VRREFFOLHA@, @VREVENTOFOLHA@, 'REFERENCIA_VALOR', SYSDATE, '@DTOCORRENCIA@', '@DSITEMCALCFOLHA@', 1 ); COMMIT;</t>
  </si>
  <si>
    <t>INSERT INTO FPA_ITECALCFOLHA ( NRITEMCALCFOLHA, NRCALCULOFOLHA, NRVINCULOM, NREVENTOM, NRORG, IDEVENDEMONCALC, VRREFFOLHA, VREVENTOFOLHA, IDREFEVALORCALC, DTINCLUSAO, DTOCORRENCIA, DSITEMCALCFOLHA, QTOCORPROXPERI ) VALUES ( @NRO@, ( SELECT MAX(NRCALCULOFOLHA) FROM FPA_CALCULOFOLHA WHERE NRORG = @NRORG@ AND NRTIPOMOVIMENT = @NRTIPOMOVIMENT@ AND DTOCORRENCIA = '@DTMESCOMPETENC@' AND NRTPMODALIDCAL = 1 AND NROCORRECAL = 1 ), '@CDMATRICULA@', @NREVENTO@, @NRORG@, 'N', @VRREFFOLHA@, @VREVENTOFOLHA@, 'REFERENCIA_VALOR', SYSDATE, '@DTOCORRENCIA@', '@DSITEMCALCFOLHA@', 1 ); COMMIT;</t>
  </si>
  <si>
    <t>8785 - DIAS AFAST.INSS (P/DOENCA)ºªÇ</t>
  </si>
  <si>
    <t>INSERT INTO FPA_ITECALCFOLHA ( NRITEMCALCFOLHA, NRCALCULOFOLHA, NRVINCULOM, NREVENTOM, NRORG, IDEVENDEMONCALC, VRREFFOLHA, VREVENTOFOLHA, IDREFEVALORCALC, DTINCLUSAO, DTOCORRENCIA, DSITEMCALCFOLHA, QTOCORPROXPERI ) VALUES ( @NRO@, ( SELECT MAX(NRCALCULOFOLHA) FROM FPA_CALCULOFOLHA WHERE NRORG = @NRORG@ AND NRTIPOMOVIMENT = @NRTIPOMOVIMENT@ AND DTOCORRENCIA = '@DTMESCOMPETENC@' AND NRTPMODALIDCAL = 1 AND NROCORRECAL = 1 ), ( SELECT /*MAX(*/ NRVINCULOM /*)*/ FROM GPE_VINCULOM WHERE NRORG = @NRORG@ AND CDMATRICULA = '@CDMATRICULA@' ), ( SELECT MAX(NRPARA) FROM MIG_MIGRAMDEPARA WHERE NRORG = @NRORG@ AND NRDE = '@NREVENTO@' ), @NRORG@, 'N', @VRREFFOLHA@, @VREVENTOFOLHA@, 'REFERENCIA_VALOR', SYSDATE, '@DTOCORRENCIA@', '@DSITEMCALCFOLHA@', 1 ); COMMIT;</t>
  </si>
  <si>
    <t>INSERT INTO FPA_ITECALCFOLHA ( NRITEMCALCFOLHA, NRCALCULOFOLHA, NRVINCULOM, NREVENTOM, NRORG, IDEVENDEMONCALC, VRREFFOLHA, VREVENTOFOLHA, IDREFEVALORCALC, DTINCLUSAO, DTOCORRENCIA, DSITEMCALCFOLHA, QTOCORPROXPERI ) VALUES ( @NRO@, ( SELECT MAX(NRCALCULOFOLHA) FROM FPA_CALCULOFOLHA WHERE NRORG = @NRORG@ AND NRTIPOMOVIMENT = @NRTIPOMOVIMENT@ AND DTOCORRENCIA = '@DTMESCOMPETENC@' AND NRTPMODALIDCAL = 1 AND NROCORRECAL = 1 ), ( SELECT /*MAX(*/ NRVINCULOM /*)*/ FROM GPE_VINCULOM WHERE NRORG = @NRORG@ AND CDMATRICULA = '@CDMATRICULA@' ), @NREVENTO@, @NRORG@, 'N', @VRREFFOLHA@, @VREVENTOFOLHA@, 'REFERENCIA_VALOR', SYSDATE, '@DTOCORRENCIA@', '@DSITEMCALCFOLHA@', 1 ); COMMIT;</t>
  </si>
  <si>
    <t>Matriculas Duplicadas!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</si>
</sst>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;@"/>
  </numFmts>
  <fonts count="2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9"/>
      <color rgb="FF000000"/>
      <name val="Segoe UI"/>
      <family val="2"/>
      <charset val="1"/>
    </font>
    <font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charset val="1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8C8"/>
        <bgColor rgb="FFFFFFCC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4" fillId="10" borderId="0" applyNumberFormat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7" fillId="0" borderId="0" xfId="0" applyNumberFormat="1" applyFont="1"/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/>
    <xf numFmtId="0" fontId="10" fillId="2" borderId="0" xfId="0" applyFont="1" applyFill="1"/>
    <xf numFmtId="49" fontId="9" fillId="4" borderId="0" xfId="0" applyNumberFormat="1" applyFont="1" applyFill="1" applyAlignment="1">
      <alignment wrapText="1"/>
    </xf>
    <xf numFmtId="0" fontId="4" fillId="5" borderId="0" xfId="0" applyFont="1" applyFill="1" applyAlignment="1">
      <alignment horizontal="right"/>
    </xf>
    <xf numFmtId="0" fontId="9" fillId="6" borderId="0" xfId="0" applyFont="1" applyFill="1" applyAlignment="1">
      <alignment horizontal="left" vertical="top" wrapText="1"/>
    </xf>
    <xf numFmtId="0" fontId="9" fillId="7" borderId="0" xfId="0" applyFont="1" applyFill="1" applyAlignment="1">
      <alignment horizontal="center" vertical="center" wrapText="1"/>
    </xf>
    <xf numFmtId="0" fontId="9" fillId="7" borderId="0" xfId="0" applyFont="1" applyFill="1"/>
    <xf numFmtId="0" fontId="9" fillId="8" borderId="0" xfId="0" applyFont="1" applyFill="1"/>
    <xf numFmtId="49" fontId="12" fillId="9" borderId="0" xfId="0" applyNumberFormat="1" applyFont="1" applyFill="1"/>
    <xf numFmtId="49" fontId="7" fillId="9" borderId="0" xfId="0" applyNumberFormat="1" applyFont="1" applyFill="1"/>
    <xf numFmtId="49" fontId="11" fillId="0" borderId="0" xfId="0" applyNumberFormat="1" applyFont="1"/>
    <xf numFmtId="49" fontId="8" fillId="0" borderId="0" xfId="0" applyNumberFormat="1" applyFont="1"/>
    <xf numFmtId="0" fontId="6" fillId="5" borderId="0" xfId="0" applyFont="1" applyFill="1" applyAlignment="1">
      <alignment horizontal="center" vertical="center"/>
    </xf>
    <xf numFmtId="0" fontId="14" fillId="0" borderId="0" xfId="0" applyFont="1" applyAlignment="1">
      <alignment wrapText="1"/>
    </xf>
    <xf numFmtId="0" fontId="13" fillId="0" borderId="0" xfId="0" applyFont="1"/>
    <xf numFmtId="0" fontId="15" fillId="2" borderId="0" xfId="0" applyFont="1" applyFill="1"/>
    <xf numFmtId="0" fontId="16" fillId="2" borderId="0" xfId="0" applyFont="1" applyFill="1"/>
    <xf numFmtId="0" fontId="16" fillId="2" borderId="0" xfId="0" applyFont="1" applyFill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9" fillId="3" borderId="0" xfId="0" applyFont="1" applyFill="1"/>
    <xf numFmtId="0" fontId="3" fillId="2" borderId="0" xfId="0" applyFont="1" applyFill="1" applyAlignment="1">
      <alignment horizontal="center"/>
    </xf>
    <xf numFmtId="0" fontId="4" fillId="5" borderId="0" xfId="0" applyFont="1" applyFill="1"/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8" borderId="0" xfId="0" applyFont="1" applyFill="1"/>
    <xf numFmtId="0" fontId="18" fillId="3" borderId="0" xfId="0" applyFont="1" applyFill="1"/>
    <xf numFmtId="0" fontId="19" fillId="3" borderId="0" xfId="0" applyFont="1" applyFill="1"/>
    <xf numFmtId="0" fontId="17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1" fillId="0" borderId="0" xfId="5"/>
    <xf numFmtId="0" fontId="22" fillId="0" borderId="1" xfId="2"/>
    <xf numFmtId="0" fontId="23" fillId="0" borderId="2" xfId="3" applyFill="1"/>
    <xf numFmtId="14" fontId="1" fillId="0" borderId="0" xfId="5" applyNumberFormat="1"/>
    <xf numFmtId="0" fontId="20" fillId="0" borderId="0" xfId="5" applyFont="1" applyAlignment="1">
      <alignment wrapText="1"/>
    </xf>
    <xf numFmtId="0" fontId="24" fillId="10" borderId="0" xfId="4"/>
    <xf numFmtId="16" fontId="1" fillId="0" borderId="0" xfId="5" applyNumberFormat="1"/>
    <xf numFmtId="0" fontId="9" fillId="8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/>
    </xf>
    <xf numFmtId="0" fontId="9" fillId="2" borderId="0" xfId="0" applyFont="1" applyFill="1"/>
    <xf numFmtId="0" fontId="4" fillId="9" borderId="0" xfId="0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4" fontId="8" fillId="0" borderId="0" xfId="0" applyNumberFormat="1" applyFont="1"/>
    <xf numFmtId="14" fontId="7" fillId="0" borderId="0" xfId="0" applyNumberFormat="1" applyFont="1"/>
    <xf numFmtId="0" fontId="1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center" vertical="center"/>
    </xf>
    <xf numFmtId="0" fontId="25" fillId="0" borderId="0" xfId="0" applyFont="1"/>
    <xf numFmtId="165" fontId="25" fillId="0" borderId="0" xfId="0" applyNumberFormat="1" applyFont="1"/>
    <xf numFmtId="0" fontId="21" fillId="0" borderId="0" xfId="1" applyAlignment="1">
      <alignment horizontal="center"/>
    </xf>
    <xf numFmtId="0" fontId="7" fillId="11" borderId="0" xfId="0" applyNumberFormat="1" applyFont="1" applyFill="1"/>
    <xf numFmtId="0" fontId="8" fillId="0" borderId="0" xfId="0" applyNumberFormat="1" applyFont="1" applyFill="1"/>
  </cellXfs>
  <cellStyles count="6">
    <cellStyle name="Neutro" xfId="4" builtinId="28"/>
    <cellStyle name="Normal" xfId="0" builtinId="0"/>
    <cellStyle name="Normal 2" xfId="5" xr:uid="{B8E99BA8-B9A8-43B0-9A89-7FE8DC4D52F9}"/>
    <cellStyle name="Título" xfId="1" builtinId="15"/>
    <cellStyle name="Título 1" xfId="2" builtinId="16"/>
    <cellStyle name="Título 2" xfId="3" builtinId="17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7</v>
  </rv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"/>
  <sheetViews>
    <sheetView zoomScaleNormal="100" workbookViewId="0">
      <pane xSplit="2" ySplit="2" topLeftCell="T3" activePane="bottomRight" state="frozen"/>
      <selection pane="topRight" activeCell="C1" sqref="C1"/>
      <selection pane="bottomLeft" activeCell="A2" sqref="A2"/>
      <selection pane="bottomRight" activeCell="U2" sqref="U2"/>
    </sheetView>
  </sheetViews>
  <sheetFormatPr defaultColWidth="8.5703125" defaultRowHeight="15" x14ac:dyDescent="0.25"/>
  <cols>
    <col min="1" max="1" width="14.140625" style="3" bestFit="1" customWidth="1"/>
    <col min="2" max="2" width="10.85546875" style="3" bestFit="1" customWidth="1"/>
    <col min="3" max="3" width="12.7109375" style="57" bestFit="1" customWidth="1"/>
    <col min="4" max="4" width="10.28515625" style="3" bestFit="1" customWidth="1"/>
    <col min="5" max="5" width="7.85546875" style="27" bestFit="1" customWidth="1"/>
    <col min="6" max="6" width="38.5703125" style="26" customWidth="1"/>
    <col min="7" max="7" width="18" style="28" bestFit="1" customWidth="1"/>
    <col min="8" max="8" width="18.7109375" style="27" bestFit="1" customWidth="1"/>
    <col min="9" max="9" width="11" style="1" customWidth="1"/>
    <col min="10" max="10" width="16.28515625" style="1" bestFit="1" customWidth="1"/>
    <col min="11" max="11" width="8.5703125" style="5" bestFit="1" customWidth="1"/>
    <col min="12" max="12" width="12.28515625" style="5" customWidth="1"/>
    <col min="13" max="13" width="16.5703125" style="5" bestFit="1" customWidth="1"/>
    <col min="14" max="14" width="13.85546875" style="5" bestFit="1" customWidth="1"/>
    <col min="15" max="15" width="16.7109375" style="5" bestFit="1" customWidth="1"/>
    <col min="16" max="16" width="10.85546875" style="5" bestFit="1" customWidth="1"/>
    <col min="17" max="17" width="14.28515625" style="5" bestFit="1" customWidth="1"/>
    <col min="18" max="18" width="15.42578125" style="5" bestFit="1" customWidth="1"/>
    <col min="19" max="19" width="12.42578125" style="5" bestFit="1" customWidth="1"/>
    <col min="20" max="20" width="32" style="5" customWidth="1"/>
    <col min="21" max="21" width="40.7109375" style="5" customWidth="1"/>
    <col min="22" max="22" width="40.7109375" style="15" customWidth="1"/>
    <col min="23" max="23" width="20.140625" style="24" bestFit="1" customWidth="1"/>
    <col min="24" max="24" width="12.42578125" style="24" bestFit="1" customWidth="1"/>
    <col min="25" max="25" width="15.7109375" style="24" customWidth="1"/>
    <col min="26" max="26" width="14.28515625" customWidth="1"/>
    <col min="27" max="27" width="15.7109375" style="9" customWidth="1"/>
    <col min="28" max="28" width="8.7109375" style="5" customWidth="1"/>
    <col min="29" max="29" width="15.7109375" style="37" customWidth="1"/>
    <col min="30" max="30" width="8.7109375" style="5" customWidth="1"/>
    <col min="31" max="31" width="15.7109375" style="37" customWidth="1"/>
    <col min="32" max="32" width="19.140625" customWidth="1"/>
    <col min="33" max="33" width="60" style="22" bestFit="1" customWidth="1"/>
    <col min="34" max="34" width="60" style="22" customWidth="1"/>
    <col min="35" max="35" width="20.7109375" style="1" customWidth="1"/>
    <col min="36" max="36" width="50.7109375" style="1" customWidth="1"/>
    <col min="44" max="16384" width="8.5703125" style="1"/>
  </cols>
  <sheetData>
    <row r="1" spans="1:36" x14ac:dyDescent="0.25">
      <c r="A1" s="51" t="s">
        <v>0</v>
      </c>
      <c r="B1" s="51" t="s">
        <v>0</v>
      </c>
      <c r="C1" s="55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/>
      <c r="J1" s="51"/>
      <c r="K1" s="51" t="s">
        <v>1</v>
      </c>
      <c r="L1" s="51" t="s">
        <v>2</v>
      </c>
      <c r="M1" s="51" t="s">
        <v>3</v>
      </c>
      <c r="N1" s="51" t="s">
        <v>4</v>
      </c>
      <c r="O1" s="51" t="s">
        <v>5</v>
      </c>
      <c r="P1" s="51" t="s">
        <v>6</v>
      </c>
      <c r="Q1" s="51" t="s">
        <v>7</v>
      </c>
      <c r="R1" s="51" t="s">
        <v>8</v>
      </c>
      <c r="S1" s="51" t="s">
        <v>9</v>
      </c>
      <c r="T1" s="59" t="s">
        <v>1923</v>
      </c>
      <c r="V1" s="50"/>
      <c r="AA1" s="37"/>
    </row>
    <row r="2" spans="1:36" ht="51" customHeight="1" x14ac:dyDescent="0.25">
      <c r="A2" s="19" t="s">
        <v>10</v>
      </c>
      <c r="B2" s="19" t="s">
        <v>11</v>
      </c>
      <c r="C2" s="56" t="s">
        <v>12</v>
      </c>
      <c r="D2" s="19" t="s">
        <v>13</v>
      </c>
      <c r="E2" s="29" t="s">
        <v>14</v>
      </c>
      <c r="F2" s="19" t="s">
        <v>15</v>
      </c>
      <c r="G2" s="30" t="s">
        <v>16</v>
      </c>
      <c r="H2" s="29" t="s">
        <v>17</v>
      </c>
      <c r="I2" s="2"/>
      <c r="J2" s="31" t="s">
        <v>18</v>
      </c>
      <c r="K2" s="20">
        <v>5663</v>
      </c>
      <c r="L2" s="11">
        <v>10800</v>
      </c>
      <c r="M2" s="52" t="str">
        <f>A2</f>
        <v>Tp Movimento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1924</v>
      </c>
      <c r="U2" s="7" t="str">
        <f xml:space="preserve"> _xlfn.XLOOKUP( J3 &amp; "/" &amp; J4, Scripts!A2:A5,Scripts!B2:B5 )</f>
        <v>INSERT INTO FPA_ITECALCFOLHA ( NRITEMCALCFOLHA, NRCALCULOFOLHA, NRVINCULOM, NREVENTOM, NRORG, IDEVENDEMONCALC, VRREFFOLHA, VREVENTOFOLHA, IDREFEVALORCALC, DTINCLUSAO, DTOCORRENCIA, DSITEMCALCFOLHA, QTOCORPROXPERI ) VALUES ( @NRO@, ( SELECT MAX(NRCALCULOFOLHA) FROM FPA_CALCULOFOLHA WHERE NRORG = @NRORG@ AND NRTIPOMOVIMENT = @NRTIPOMOVIMENT@ AND DTOCORRENCIA = '@DTMESCOMPETENC@' AND NRTPMODALIDCAL = 1 AND NROCORRECAL = 1 ), ( SELECT /*MAX(*/ NRVINCULOM /*)*/ FROM GPE_VINCULOM WHERE NRORG = @NRORG@ AND CDMATRICULA = '@CDMATRICULA@' ), ( SELECT MAX(NRPARA) FROM MIG_MIGRAMDEPARA WHERE NRORG = @NRORG@ AND NRDE = '@NREVENTO@' ), @NRORG@, 'N', @VRREFFOLHA@, @VREVENTOFOLHA@, 'REFERENCIA_VALOR', SYSDATE, '@DTOCORRENCIA@', '@DSITEMCALCFOLHA@', 1 ); COMMIT;</v>
      </c>
      <c r="V2" s="13" t="s">
        <v>25</v>
      </c>
      <c r="W2" s="23" t="s">
        <v>26</v>
      </c>
      <c r="Z2" s="21" t="s">
        <v>27</v>
      </c>
      <c r="AA2" s="35" t="str">
        <f ca="1" xml:space="preserve"> " - " &amp; COUNTIF(_xlfn.ANCHORARRAY( AA3), "não" ) &amp; " itens de cálculo inconsistentes."</f>
        <v xml:space="preserve"> - 0 itens de cálculo inconsistentes.</v>
      </c>
      <c r="AB2" s="4" t="s">
        <v>28</v>
      </c>
      <c r="AC2" s="36" t="str">
        <f ca="1">" - Vínculo(s) não encontrado(s) no sistema. " &amp; (COUNTA(_xlfn.ANCHORARRAY( AC3) ) - 1 ) &amp; " ocorrência(s): "</f>
        <v xml:space="preserve"> - Vínculo(s) não encontrado(s) no sistema. 0 ocorrência(s): </v>
      </c>
      <c r="AD2" s="4" t="s">
        <v>29</v>
      </c>
      <c r="AE2" s="36" t="str">
        <f ca="1">" - Evento(s) do cliente não encontrado(s) no sistema. " &amp; (COUNTA(_xlfn.ANCHORARRAY( AE3) ) - 1 ) &amp; " ocorrência(s): "</f>
        <v xml:space="preserve"> - Evento(s) do cliente não encontrado(s) no sistema. 0 ocorrência(s): </v>
      </c>
      <c r="AG2" s="12" t="str">
        <f ca="1">"/*Verifica existência de cálculo de folha e itens de cálculo*/" &amp; "
SELECT
  '--'                                                           C,
  TO_CHAR( C.DTOCORRENCIA, 'MM/YYYY' )                           COMPETENCIA,
  M.NRTIPOMOVIMENT                                               MOVIMENTO,
  " &amp; "DECODE( CF.NRCALCULOFOLHA, NULL, 'CRIAR!', CF.NRCALCULOFOLHA ) NRCALCULO,
  ( SELECT COUNT(1) FROM FPA_ITECALCFOLHA
    WHERE NRORG = CF.NRORG
      AND NRCALCULOFOLHA = CF.NRCALCULOFOLHA )                   QDE_ITENS
" &amp; "FROM ( SELECT DT.DTDATA DTOCORRENCIA
       FROM DATA DT
       WHERE DT.DTDATA = DT.DTMES
         AND DT.DTDATA IN ( " &amp; Y5 &amp; " )
) C
JOIN ( SELECT SEQUENCIA.NUMERO NRTIPOMOVIMENT
       FROM ( SELECT ROWNUM NUMERO FROM DATA WHERE ROWNUM &lt;= 30 ) SEQUENCIA
       WHERE INSTR( ','|| " &amp; Y4 &amp; " || ',', ',' || SEQUENCIA.NUMERO || ',' ) &gt; 0
) M ON 1 = 1
LEFT JOIN FPA_CALCULOFOLHA CF ON CF.NRORG          = " &amp; K2 &amp; "
                             AND CF.NRTIPOMOVIMENT = M.NRTIPOMOVIMENT
                             AND CF.DTOCORRENCIA   = C.DTOCORRENCIA
                             AND CF.NRTPMODALIDCAL = 1
                             AND CF.NROCORRECAL    = 1
" &amp; "ORDER BY C.DTOCORRENCIA DESC;"</f>
        <v>/*Verifica existência de cálculo de folha e itens de cálculo*/
SELECT
  '--'                                                           C,
  TO_CHAR( C.DTOCORRENCIA, 'MM/YYYY' )                           COMPETENCIA,
  M.NRTIPOMOVIMENT                                               MOVIMENTO,
  DECODE( CF.NRCALCULOFOLHA, NULL, 'CRIAR!', CF.NRCALCULOFOLHA ) NRCALCULO,
  ( SELECT COUNT(1) FROM FPA_ITECALCFOLHA
    WHERE NRORG = CF.NRORG
      AND NRCALCULOFOLHA = CF.NRCALCULOFOLHA )                   QDE_ITENS
FROM ( SELECT DT.DTDATA DTOCORRENCIA
       FROM DATA DT
       WHERE DT.DTDATA = DT.DTMES
         AND DT.DTDATA IN ( '01/01/2019', '01/02/2019', '01/03/2019', '01/04/2019' )
) C
JOIN ( SELECT SEQUENCIA.NUMERO NRTIPOMOVIMENT
       FROM ( SELECT ROWNUM NUMERO FROM DATA WHERE ROWNUM &lt;= 30 ) SEQUENCIA
       WHERE INSTR( ','|| '1' || ',', ',' || SEQUENCIA.NUMERO || ',' ) &gt; 0
) M ON 1 = 1
LEFT JOIN FPA_CALCULOFOLHA CF ON CF.NRORG          = 5663
                             AND CF.NRTIPOMOVIMENT = M.NRTIPOMOVIMENT
                             AND CF.DTOCORRENCIA   = C.DTOCORRENCIA
                             AND CF.NRTPMODALIDCAL = 1
                             AND CF.NROCORRECAL    = 1
ORDER BY C.DTOCORRENCIA DESC;</v>
      </c>
      <c r="AH2" s="12" t="str">
        <f ca="1">"/*Busca chaves livres no FPA_ITECALCFOLHA*/"&amp;CHAR(10)&amp;"SELECT A + 1 A, B - 1 B, B - A - 1 LENGHT,"&amp;CHAR(10)&amp;"  (SELECT TO_NUMBER(NRSEQUENCIAL) FROM NOVOCODIGO WHERE NRORG = "&amp;K2&amp;" AND CDCONTADOR = 'FPA_ITECALCFOLHA') NOVOCODIGO"&amp;CHAR(10)&amp;"FROM (SELECT 0 A, MIN(NRITEMCALCFOLHA) B"&amp;CHAR(10)&amp;"       FROM FPA_ITECALCFOLHA"&amp;CHAR(10)&amp;"       WHERE NRORG = "&amp;K2&amp;CHAR(10)&amp;"     UNION ALL"&amp;CHAR(10)&amp;"       SELECT NRITEMCALCFOLHA, LEAD(NRITEMCALCFOLHA) OVER (ORDER BY NRITEMCALCFOLHA)"&amp;CHAR(10)&amp;"       FROM FPA_ITECALCFOLHA"&amp;CHAR(10)&amp;"       WHERE NRORG = "&amp;K2&amp;CHAR(10)&amp;") WHERE B - A &gt; "&amp;Y10&amp;" OR B IS NULL ORDER BY A;"</f>
        <v>/*Busca chaves livres no FPA_ITECALCFOLHA*/
SELECT A + 1 A, B - 1 B, B - A - 1 LENGHT,
  (SELECT TO_NUMBER(NRSEQUENCIAL) FROM NOVOCODIGO WHERE NRORG = 5663 AND CDCONTADOR = 'FPA_ITECALCFOLHA') NOVOCODIGO
FROM (SELECT 0 A, MIN(NRITEMCALCFOLHA) B
       FROM FPA_ITECALCFOLHA
       WHERE NRORG = 5663
     UNION ALL
       SELECT NRITEMCALCFOLHA, LEAD(NRITEMCALCFOLHA) OVER (ORDER BY NRITEMCALCFOLHA)
       FROM FPA_ITECALCFOLHA
       WHERE NRORG = 5663
) WHERE B - A &gt; 19 OR B IS NULL ORDER BY A;</v>
      </c>
      <c r="AI2" s="12" t="str">
        <f ca="1">"/*Contador / Verificador*/
--Comp " &amp; Y7 &amp; "; mov " &amp; Y6 &amp; "; PK " &amp; Y8 &amp; " - " &amp; Y9 &amp; "
SELECT '--Qde ' || COUNT(1) || ', tot ' || " &amp; Y10 &amp; " || ', dif ' || ( " &amp; Y10 &amp; " - COUNT(1) ) SAIDA FROM FPA_ITECALCFOLHA WHERE NRORG=" &amp; K2 &amp; " AND NRITEMCALCFOLHA BETWEEN " &amp; Y8 &amp; " AND " &amp; Y9 &amp; ";"</f>
        <v>/*Contador / Verificador*/
--Comp 01/2019, 02/2019, 03/2019, 04/2019; mov 1; PK 10801 - 10819
SELECT '--Qde ' || COUNT(1) || ', tot ' || 19 || ', dif ' || ( 19 - COUNT(1) ) SAIDA FROM FPA_ITECALCFOLHA WHERE NRORG=5663 AND NRITEMCALCFOLHA BETWEEN 10801 AND 10819;</v>
      </c>
      <c r="AJ2" s="12" t="str">
        <f>"/*Autaliza ou cria o novo codigo*/
MERGE INTO NOVOCODIGO NC
  USING ( SELECT LPAD( MAX( NRITEMCALCFOLHA ) + 1, 20, '0' ) NRSEQUENCIAL
          FROM FPA_ITECALCFOLHA
          WHERE NRORG = "&amp;K2&amp;"
        ) TABELA
  ON (     NC.NRORG      = "&amp;K2&amp;"
       AND NC.CDCONTADOR = 'FPA_ITECALCFOLHA' )
  WHEN     MATCHED THEN
    UPDATE SET NC.NRSEQUENCIAL = TABELA.NRSEQUENCIAL
  WHEN NOT MATCHED THEN"&amp;"
    INSERT ( CDCONTADOR, NRSEQUENCIAL, NRORG, DTINCLUSAO )
    VALUES ( 'FPA_ITECALCFOLHA', TABELA.NRSEQUENCIAL, "&amp;K2&amp;", SYSDATE );
COMMIT;"</f>
        <v>/*Autaliza ou cria o novo codigo*/
MERGE INTO NOVOCODIGO NC
  USING ( SELECT LPAD( MAX( NRITEMCALCFOLHA ) + 1, 20, '0' ) NRSEQUENCIAL
          FROM FPA_ITECALCFOLHA
          WHERE NRORG = 5663
        ) TABELA
  ON (     NC.NRORG      = 5663
       AND NC.CDCONTADOR = 'FPA_ITECALCFOLHA' )
  WHEN     MATCHED THEN
    UPDATE SET NC.NRSEQUENCIAL = TABELA.NRSEQUENCIAL
  WHEN NOT MATCHED THEN
    INSERT ( CDCONTADOR, NRSEQUENCIAL, NRORG, DTINCLUSAO )
    VALUES ( 'FPA_ITECALCFOLHA', TABELA.NRSEQUENCIAL, 5663, SYSDATE );
COMMIT;</v>
      </c>
    </row>
    <row r="3" spans="1:36" x14ac:dyDescent="0.25">
      <c r="A3" s="60">
        <v>1</v>
      </c>
      <c r="B3" s="60" t="s">
        <v>2106</v>
      </c>
      <c r="C3" s="61">
        <v>43466</v>
      </c>
      <c r="D3" s="60">
        <v>8785</v>
      </c>
      <c r="E3" s="60">
        <v>1081.5</v>
      </c>
      <c r="F3" s="60" t="s">
        <v>3747</v>
      </c>
      <c r="G3" s="61">
        <v>43466</v>
      </c>
      <c r="H3" s="60">
        <v>30</v>
      </c>
      <c r="I3"/>
      <c r="J3" s="33" t="s">
        <v>31</v>
      </c>
      <c r="K3" s="8">
        <f>$K$2</f>
        <v>5663</v>
      </c>
      <c r="L3" s="8">
        <f t="shared" ref="L3:L21" ca="1" si="0">IF( AA3 = "insere", L2+1, L2 )</f>
        <v>10801</v>
      </c>
      <c r="M3" s="8">
        <f>--A3</f>
        <v>1</v>
      </c>
      <c r="N3" s="8" t="str">
        <f t="shared" ref="N3:N21" si="1">IF( $J$6 = 0, TRIM( B3 ), TEXT( TRIM( B3 ), REPT(  "0", $J$6 ) ) )</f>
        <v>122_224</v>
      </c>
      <c r="O3" s="8" t="str">
        <f>IF( $J$8 = "a partir da ocorrência",
"01" &amp; MID( Q3, 3, 8 ),
"01/" &amp; TEXT( TRIM( C3 ),"MM/AAAA" ) )</f>
        <v>01/01/2019</v>
      </c>
      <c r="P3" s="8" t="str">
        <f xml:space="preserve"> SUBSTITUTE( TRIM( D3 ), ".", "" )</f>
        <v>8785</v>
      </c>
      <c r="Q3" s="8" t="str">
        <f t="shared" ref="Q3:Q21" si="2">IF( TRIM( G3 ) = "", O3, TEXT( TRIM( G3 ),"DD/MM/AAAA") )</f>
        <v>01/01/2019</v>
      </c>
      <c r="R3" s="8" t="str">
        <f t="shared" ref="R3:R21" si="3">IF(E3="","",SUBSTITUTE(TEXT(E3,"0,00"),",","."))</f>
        <v>1081.50</v>
      </c>
      <c r="S3" s="8" t="str">
        <f t="shared" ref="S3:S21" si="4">IF(H3="","NULL",SUBSTITUTE(TEXT(H3,"0,00"),",","."))</f>
        <v>30.00</v>
      </c>
      <c r="T3" s="8" t="str" cm="1">
        <f t="array" ref="T3">IF(TRIM(F3)="","",MIG_REMOVE.ESPECIAL( TRIM(F3)))</f>
        <v>8785 - DIAS AFAST.INSS (P/DOENCA)oaC</v>
      </c>
      <c r="U3" s="8" t="str" cm="1">
        <f t="array" aca="1" ref="U3" ca="1">MIG_GERA.SCRIPT( $U$2, $K$1:$T$1, K3:T3)</f>
        <v>INSERT INTO FPA_ITECALCFOLHA ( NRITEMCALCFOLHA, NRCALCULOFOLHA, NRVINCULOM, NREVENTOM, NRORG, IDEVENDEMONCALC, VRREFFOLHA, VREVENTOFOLHA, IDREFEVALORCALC, DTINCLUSAO, DTOCORRENCIA, DSITEMCALCFOLHA, QTOCORPROXPERI ) VALUES ( 10801, ( SELECT MAX(NRCALCULOFOLHA) FROM FPA_CALCULOFOLHA WHERE NRORG = 5663 AND NRTIPOMOVIMENT = 1 AND DTOCORRENCIA = '01/01/2019' AND NRTPMODALIDCAL = 1 AND NROCORRECAL = 1 ), ( SELECT /*MAX(*/ NRVINCULOM /*)*/ FROM GPE_VINCULOM WHERE NRORG = 5663 AND CDMATRICULA = '122_224' ), ( SELECT MAX(NRPARA) FROM MIG_MIGRAMDEPARA WHERE NRORG = 5663 AND NRDE = '8785' ), 5663, 'N', 30.00, 1081.50, 'REFERENCIA_VALOR', SYSDATE, '01/01/2019', '8785 - DIAS AFAST.INSS (P/DOENCA)oaC', 1 ); COMMIT;</v>
      </c>
      <c r="V3" s="14" t="str">
        <f t="shared" ref="V3:V21" ca="1" si="5">IF( AA3 = "insere", U3, "" )</f>
        <v>INSERT INTO FPA_ITECALCFOLHA ( NRITEMCALCFOLHA, NRCALCULOFOLHA, NRVINCULOM, NREVENTOM, NRORG, IDEVENDEMONCALC, VRREFFOLHA, VREVENTOFOLHA, IDREFEVALORCALC, DTINCLUSAO, DTOCORRENCIA, DSITEMCALCFOLHA, QTOCORPROXPERI ) VALUES ( 10801, ( SELECT MAX(NRCALCULOFOLHA) FROM FPA_CALCULOFOLHA WHERE NRORG = 5663 AND NRTIPOMOVIMENT = 1 AND DTOCORRENCIA = '01/01/2019' AND NRTPMODALIDCAL = 1 AND NROCORRECAL = 1 ), ( SELECT /*MAX(*/ NRVINCULOM /*)*/ FROM GPE_VINCULOM WHERE NRORG = 5663 AND CDMATRICULA = '122_224' ), ( SELECT MAX(NRPARA) FROM MIG_MIGRAMDEPARA WHERE NRORG = 5663 AND NRDE = '8785' ), 5663, 'N', 30.00, 1081.50, 'REFERENCIA_VALOR', SYSDATE, '01/01/2019', '8785 - DIAS AFAST.INSS (P/DOENCA)oaC', 1 ); COMMIT;</v>
      </c>
      <c r="W3" s="23" t="s">
        <v>32</v>
      </c>
      <c r="Y3" s="25">
        <f>COUNTA( $A:$A )</f>
        <v>21</v>
      </c>
      <c r="AA3" s="9" t="str" cm="1">
        <f t="array" aca="1" ref="AA3:AA21" ca="1" xml:space="preserve"> IF( (_xlfn.ANCHORARRAY( AB3) = "existe" ) * (_xlfn.ANCHORARRAY( AD3) = "existe" ) = 1, "insere", "não" )</f>
        <v>insere</v>
      </c>
      <c r="AB3" s="5" t="str" cm="1">
        <f t="array" aca="1" ref="AB3:AB21" ca="1">IF( COUNTIF( INDIRECT( X18 ), INDIRECT( X17 ) ) &gt;= 1, "existe", "não" )</f>
        <v>existe</v>
      </c>
      <c r="AC3" s="37" t="str" cm="1">
        <f t="array" aca="1" ref="AC3" ca="1">"  - " &amp; _xlfn._xlws.SORT( _xlfn.UNIQUE( IF(_xlfn.ANCHORARRAY( AB3) &lt;&gt; "existe", INDIRECT( X17 ), "" ) ) )</f>
        <v xml:space="preserve">  - </v>
      </c>
      <c r="AD3" s="5" t="str" cm="1">
        <f t="array" aca="1" ref="AD3:AD21" ca="1">IF( COUNTIF( INDIRECT( X20 ), INDIRECT( X19 ) ) &gt;= 1, "existe", INDIRECT( X19 ) )</f>
        <v>existe</v>
      </c>
      <c r="AE3" s="37" t="str" cm="1">
        <f t="array" aca="1" ref="AE3" ca="1">"  - " &amp; _xlfn._xlws.SORT( _xlfn.UNIQUE( IF(_xlfn.ANCHORARRAY( AD3) &lt;&gt; "existe",_xlfn.ANCHORARRAY( AD3), "" ) ) )</f>
        <v xml:space="preserve">  - </v>
      </c>
    </row>
    <row r="4" spans="1:36" x14ac:dyDescent="0.25">
      <c r="A4" s="60">
        <v>1</v>
      </c>
      <c r="B4" s="60" t="s">
        <v>2106</v>
      </c>
      <c r="C4" s="61">
        <v>43466</v>
      </c>
      <c r="D4" s="60">
        <v>8801</v>
      </c>
      <c r="E4" s="60">
        <v>1081.5</v>
      </c>
      <c r="F4" s="60" t="s">
        <v>3730</v>
      </c>
      <c r="G4" s="61">
        <v>43466</v>
      </c>
      <c r="H4" s="60">
        <v>30</v>
      </c>
      <c r="I4"/>
      <c r="J4" s="33" t="s">
        <v>33</v>
      </c>
      <c r="K4" s="8">
        <f t="shared" ref="K4:K21" si="6">$K$2</f>
        <v>5663</v>
      </c>
      <c r="L4" s="8">
        <f t="shared" ca="1" si="0"/>
        <v>10802</v>
      </c>
      <c r="M4" s="8">
        <f t="shared" ref="M4:M21" si="7">--A4</f>
        <v>1</v>
      </c>
      <c r="N4" s="8" t="str">
        <f t="shared" si="1"/>
        <v>122_224</v>
      </c>
      <c r="O4" s="8" t="str">
        <f t="shared" ref="O4:O21" si="8">IF( $J$8 = "a partir da ocorrência",
"01" &amp; MID( Q4, 3, 8 ),
"01/" &amp; TEXT( TRIM( C4 ),"MM/AAAA" ) )</f>
        <v>01/01/2019</v>
      </c>
      <c r="P4" s="8" t="str">
        <f t="shared" ref="P4:P21" si="9" xml:space="preserve"> SUBSTITUTE( TRIM( D4 ), ".", "" )</f>
        <v>8801</v>
      </c>
      <c r="Q4" s="8" t="str">
        <f t="shared" si="2"/>
        <v>01/01/2019</v>
      </c>
      <c r="R4" s="8" t="str">
        <f t="shared" si="3"/>
        <v>1081.50</v>
      </c>
      <c r="S4" s="8" t="str">
        <f t="shared" si="4"/>
        <v>30.00</v>
      </c>
      <c r="T4" s="8" t="str" cm="1">
        <f t="array" ref="T4">IF(TRIM(F4)="","",MIG_REMOVE.ESPECIAL( TRIM(F4)))</f>
        <v>8801 - DESCONTO DIAS AFASTADOS</v>
      </c>
      <c r="U4" s="8" t="str" cm="1">
        <f t="array" aca="1" ref="U4" ca="1">MIG_GERA.SCRIPT( $U$2, $K$1:$T$1, K4:T4)</f>
        <v>INSERT INTO FPA_ITECALCFOLHA ( NRITEMCALCFOLHA, NRCALCULOFOLHA, NRVINCULOM, NREVENTOM, NRORG, IDEVENDEMONCALC, VRREFFOLHA, VREVENTOFOLHA, IDREFEVALORCALC, DTINCLUSAO, DTOCORRENCIA, DSITEMCALCFOLHA, QTOCORPROXPERI ) VALUES ( 10802, ( SELECT MAX(NRCALCULOFOLHA) FROM FPA_CALCULOFOLHA WHERE NRORG = 5663 AND NRTIPOMOVIMENT = 1 AND DTOCORRENCIA = '01/01/2019' AND NRTPMODALIDCAL = 1 AND NROCORRECAL = 1 ), ( SELECT /*MAX(*/ NRVINCULOM /*)*/ FROM GPE_VINCULOM WHERE NRORG = 5663 AND CDMATRICULA = '122_224' ), ( SELECT MAX(NRPARA) FROM MIG_MIGRAMDEPARA WHERE NRORG = 5663 AND NRDE = '8801' ), 5663, 'N', 30.00, 1081.50, 'REFERENCIA_VALOR', SYSDATE, '01/01/2019', '8801 - DESCONTO DIAS AFASTADOS', 1 ); COMMIT;</v>
      </c>
      <c r="V4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( 10802, ( SELECT MAX(NRCALCULOFOLHA) FROM FPA_CALCULOFOLHA WHERE NRORG = 5663 AND NRTIPOMOVIMENT = 1 AND DTOCORRENCIA = '01/01/2019' AND NRTPMODALIDCAL = 1 AND NROCORRECAL = 1 ), ( SELECT /*MAX(*/ NRVINCULOM /*)*/ FROM GPE_VINCULOM WHERE NRORG = 5663 AND CDMATRICULA = '122_224' ), ( SELECT MAX(NRPARA) FROM MIG_MIGRAMDEPARA WHERE NRORG = 5663 AND NRDE = '8801' ), 5663, 'N', 30.00, 1081.50, 'REFERENCIA_VALOR', SYSDATE, '01/01/2019', '8801 - DESCONTO DIAS AFASTADOS', 1 ); COMMIT;</v>
      </c>
      <c r="W4" s="23" t="s">
        <v>34</v>
      </c>
      <c r="X4" s="24" t="str">
        <f>"M3:M" &amp; $Y$3</f>
        <v>M3:M21</v>
      </c>
      <c r="Y4" s="24" t="str">
        <f ca="1">"'" &amp; _xlfn.TEXTJOIN( ",", 1, _xlfn._xlws.SORT( _xlfn.UNIQUE( INDIRECT( X4 ) ) ) ) &amp; "'"</f>
        <v>'1'</v>
      </c>
      <c r="AA4" s="9" t="str">
        <f ca="1"/>
        <v>insere</v>
      </c>
      <c r="AB4" s="5" t="str">
        <f ca="1"/>
        <v>existe</v>
      </c>
      <c r="AD4" s="5" t="str">
        <f ca="1"/>
        <v>existe</v>
      </c>
    </row>
    <row r="5" spans="1:36" x14ac:dyDescent="0.25">
      <c r="A5" s="60">
        <v>1</v>
      </c>
      <c r="B5" s="60" t="s">
        <v>2106</v>
      </c>
      <c r="C5" s="61">
        <v>43497</v>
      </c>
      <c r="D5" s="60">
        <v>8058</v>
      </c>
      <c r="E5" s="60">
        <v>324.45</v>
      </c>
      <c r="F5" s="60" t="s">
        <v>3731</v>
      </c>
      <c r="G5" s="61">
        <v>43497</v>
      </c>
      <c r="H5" s="60">
        <v>30</v>
      </c>
      <c r="I5"/>
      <c r="J5" s="53" t="s">
        <v>35</v>
      </c>
      <c r="K5" s="8">
        <f t="shared" si="6"/>
        <v>5663</v>
      </c>
      <c r="L5" s="8">
        <f t="shared" ca="1" si="0"/>
        <v>10803</v>
      </c>
      <c r="M5" s="8">
        <f t="shared" si="7"/>
        <v>1</v>
      </c>
      <c r="N5" s="8" t="str">
        <f t="shared" si="1"/>
        <v>122_224</v>
      </c>
      <c r="O5" s="8" t="str">
        <f t="shared" si="8"/>
        <v>01/02/2019</v>
      </c>
      <c r="P5" s="8" t="str">
        <f t="shared" si="9"/>
        <v>8058</v>
      </c>
      <c r="Q5" s="8" t="str">
        <f t="shared" si="2"/>
        <v>01/02/2019</v>
      </c>
      <c r="R5" s="8" t="str">
        <f t="shared" si="3"/>
        <v>324.45</v>
      </c>
      <c r="S5" s="8" t="str">
        <f t="shared" si="4"/>
        <v>30.00</v>
      </c>
      <c r="T5" s="8" t="str" cm="1">
        <f t="array" ref="T5">IF(TRIM(F5)="","",MIG_REMOVE.ESPECIAL( TRIM(F5)))</f>
        <v>8058 - PERICULOSIDADE DOENCA</v>
      </c>
      <c r="U5" s="8" t="str" cm="1">
        <f t="array" aca="1" ref="U5" ca="1">MIG_GERA.SCRIPT( $U$2, $K$1:$T$1, K5:T5)</f>
        <v>INSERT INTO FPA_ITECALCFOLHA ( NRITEMCALCFOLHA, NRCALCULOFOLHA, NRVINCULOM, NREVENTOM, NRORG, IDEVENDEMONCALC, VRREFFOLHA, VREVENTOFOLHA, IDREFEVALORCALC, DTINCLUSAO, DTOCORRENCIA, DSITEMCALCFOLHA, QTOCORPROXPERI ) VALUES ( 10803, ( SELECT MAX(NRCALCULOFOLHA) FROM FPA_CALCULOFOLHA WHERE NRORG = 5663 AND NRTIPOMOVIMENT = 1 AND DTOCORRENCIA = '01/02/2019' AND NRTPMODALIDCAL = 1 AND NROCORRECAL = 1 ), ( SELECT /*MAX(*/ NRVINCULOM /*)*/ FROM GPE_VINCULOM WHERE NRORG = 5663 AND CDMATRICULA = '122_224' ), ( SELECT MAX(NRPARA) FROM MIG_MIGRAMDEPARA WHERE NRORG = 5663 AND NRDE = '8058' ), 5663, 'N', 30.00, 324.45, 'REFERENCIA_VALOR', SYSDATE, '01/02/2019', '8058 - PERICULOSIDADE DOENCA', 1 ); COMMIT;</v>
      </c>
      <c r="V5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( 10803, ( SELECT MAX(NRCALCULOFOLHA) FROM FPA_CALCULOFOLHA WHERE NRORG = 5663 AND NRTIPOMOVIMENT = 1 AND DTOCORRENCIA = '01/02/2019' AND NRTPMODALIDCAL = 1 AND NROCORRECAL = 1 ), ( SELECT /*MAX(*/ NRVINCULOM /*)*/ FROM GPE_VINCULOM WHERE NRORG = 5663 AND CDMATRICULA = '122_224' ), ( SELECT MAX(NRPARA) FROM MIG_MIGRAMDEPARA WHERE NRORG = 5663 AND NRDE = '8058' ), 5663, 'N', 30.00, 324.45, 'REFERENCIA_VALOR', SYSDATE, '01/02/2019', '8058 - PERICULOSIDADE DOENCA', 1 ); COMMIT;</v>
      </c>
      <c r="W5" s="23" t="s">
        <v>36</v>
      </c>
      <c r="X5" s="24" t="str">
        <f>"O3:O" &amp; $Y$3</f>
        <v>O3:O21</v>
      </c>
      <c r="Y5" s="24" t="str" cm="1">
        <f t="array" aca="1" ref="Y5" ca="1">_xlfn.TEXTJOIN( ", ", 1, _xlfn._xlws.SORT( _xlfn.UNIQUE( "'" &amp; INDIRECT( X5 ) &amp; "'" ) ) )</f>
        <v>'01/01/2019', '01/02/2019', '01/03/2019', '01/04/2019'</v>
      </c>
      <c r="AA5" s="9" t="str">
        <f ca="1"/>
        <v>insere</v>
      </c>
      <c r="AB5" s="5" t="str">
        <f ca="1"/>
        <v>existe</v>
      </c>
      <c r="AD5" s="5" t="str">
        <f ca="1"/>
        <v>existe</v>
      </c>
    </row>
    <row r="6" spans="1:36" x14ac:dyDescent="0.25">
      <c r="A6" s="60">
        <v>1</v>
      </c>
      <c r="B6" s="60" t="s">
        <v>2106</v>
      </c>
      <c r="C6" s="61">
        <v>43497</v>
      </c>
      <c r="D6" s="60">
        <v>8785</v>
      </c>
      <c r="E6" s="60">
        <v>1081.5</v>
      </c>
      <c r="F6" s="60" t="s">
        <v>3729</v>
      </c>
      <c r="G6" s="61">
        <v>43497</v>
      </c>
      <c r="H6" s="60">
        <v>30</v>
      </c>
      <c r="I6"/>
      <c r="J6" s="54">
        <v>0</v>
      </c>
      <c r="K6" s="8">
        <f t="shared" si="6"/>
        <v>5663</v>
      </c>
      <c r="L6" s="8">
        <f t="shared" ca="1" si="0"/>
        <v>10804</v>
      </c>
      <c r="M6" s="8">
        <f t="shared" si="7"/>
        <v>1</v>
      </c>
      <c r="N6" s="8" t="str">
        <f t="shared" si="1"/>
        <v>122_224</v>
      </c>
      <c r="O6" s="8" t="str">
        <f t="shared" si="8"/>
        <v>01/02/2019</v>
      </c>
      <c r="P6" s="8" t="str">
        <f t="shared" si="9"/>
        <v>8785</v>
      </c>
      <c r="Q6" s="8" t="str">
        <f t="shared" si="2"/>
        <v>01/02/2019</v>
      </c>
      <c r="R6" s="8" t="str">
        <f t="shared" si="3"/>
        <v>1081.50</v>
      </c>
      <c r="S6" s="8" t="str">
        <f t="shared" si="4"/>
        <v>30.00</v>
      </c>
      <c r="T6" s="8" t="str" cm="1">
        <f t="array" ref="T6">IF(TRIM(F6)="","",MIG_REMOVE.ESPECIAL( TRIM(F6)))</f>
        <v>8785 - DIAS AFAST.INSS (P/DOENCA)</v>
      </c>
      <c r="U6" s="8" t="str" cm="1">
        <f t="array" aca="1" ref="U6" ca="1">MIG_GERA.SCRIPT( $U$2, $K$1:$T$1, K6:T6)</f>
        <v>INSERT INTO FPA_ITECALCFOLHA ( NRITEMCALCFOLHA, NRCALCULOFOLHA, NRVINCULOM, NREVENTOM, NRORG, IDEVENDEMONCALC, VRREFFOLHA, VREVENTOFOLHA, IDREFEVALORCALC, DTINCLUSAO, DTOCORRENCIA, DSITEMCALCFOLHA, QTOCORPROXPERI ) VALUES ( 10804, ( SELECT MAX(NRCALCULOFOLHA) FROM FPA_CALCULOFOLHA WHERE NRORG = 5663 AND NRTIPOMOVIMENT = 1 AND DTOCORRENCIA = '01/02/2019' AND NRTPMODALIDCAL = 1 AND NROCORRECAL = 1 ), ( SELECT /*MAX(*/ NRVINCULOM /*)*/ FROM GPE_VINCULOM WHERE NRORG = 5663 AND CDMATRICULA = '122_224' ), ( SELECT MAX(NRPARA) FROM MIG_MIGRAMDEPARA WHERE NRORG = 5663 AND NRDE = '8785' ), 5663, 'N', 30.00, 1081.50, 'REFERENCIA_VALOR', SYSDATE, '01/02/2019', '8785 - DIAS AFAST.INSS (P/DOENCA)', 1 ); COMMIT;</v>
      </c>
      <c r="V6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( 10804, ( SELECT MAX(NRCALCULOFOLHA) FROM FPA_CALCULOFOLHA WHERE NRORG = 5663 AND NRTIPOMOVIMENT = 1 AND DTOCORRENCIA = '01/02/2019' AND NRTPMODALIDCAL = 1 AND NROCORRECAL = 1 ), ( SELECT /*MAX(*/ NRVINCULOM /*)*/ FROM GPE_VINCULOM WHERE NRORG = 5663 AND CDMATRICULA = '122_224' ), ( SELECT MAX(NRPARA) FROM MIG_MIGRAMDEPARA WHERE NRORG = 5663 AND NRDE = '8785' ), 5663, 'N', 30.00, 1081.50, 'REFERENCIA_VALOR', SYSDATE, '01/02/2019', '8785 - DIAS AFAST.INSS (P/DOENCA)', 1 ); COMMIT;</v>
      </c>
      <c r="W6" s="23" t="s">
        <v>37</v>
      </c>
      <c r="X6" s="24" t="str">
        <f>X4</f>
        <v>M3:M21</v>
      </c>
      <c r="Y6" s="24" t="str">
        <f ca="1">_xlfn.TEXTJOIN( ",", 1, _xlfn._xlws.SORT( _xlfn.UNIQUE( INDIRECT( X6 ) ) ) )</f>
        <v>1</v>
      </c>
      <c r="AA6" s="9" t="str">
        <f ca="1"/>
        <v>insere</v>
      </c>
      <c r="AB6" s="5" t="str">
        <f ca="1"/>
        <v>existe</v>
      </c>
      <c r="AD6" s="5" t="str">
        <f ca="1"/>
        <v>existe</v>
      </c>
    </row>
    <row r="7" spans="1:36" x14ac:dyDescent="0.25">
      <c r="A7" s="60">
        <v>1</v>
      </c>
      <c r="B7" s="60" t="s">
        <v>2106</v>
      </c>
      <c r="C7" s="61">
        <v>43497</v>
      </c>
      <c r="D7" s="60">
        <v>8801</v>
      </c>
      <c r="E7" s="60">
        <v>1405.95</v>
      </c>
      <c r="F7" s="60" t="s">
        <v>3730</v>
      </c>
      <c r="G7" s="61">
        <v>43497</v>
      </c>
      <c r="H7" s="60">
        <v>30</v>
      </c>
      <c r="I7"/>
      <c r="J7" s="53" t="s">
        <v>12</v>
      </c>
      <c r="K7" s="8">
        <f t="shared" si="6"/>
        <v>5663</v>
      </c>
      <c r="L7" s="8">
        <f t="shared" ca="1" si="0"/>
        <v>10805</v>
      </c>
      <c r="M7" s="8">
        <f t="shared" si="7"/>
        <v>1</v>
      </c>
      <c r="N7" s="8" t="str">
        <f t="shared" si="1"/>
        <v>122_224</v>
      </c>
      <c r="O7" s="8" t="str">
        <f t="shared" si="8"/>
        <v>01/02/2019</v>
      </c>
      <c r="P7" s="8" t="str">
        <f t="shared" si="9"/>
        <v>8801</v>
      </c>
      <c r="Q7" s="8" t="str">
        <f t="shared" si="2"/>
        <v>01/02/2019</v>
      </c>
      <c r="R7" s="8" t="str">
        <f t="shared" si="3"/>
        <v>1405.95</v>
      </c>
      <c r="S7" s="8" t="str">
        <f t="shared" si="4"/>
        <v>30.00</v>
      </c>
      <c r="T7" s="8" t="str" cm="1">
        <f t="array" ref="T7">IF(TRIM(F7)="","",MIG_REMOVE.ESPECIAL( TRIM(F7)))</f>
        <v>8801 - DESCONTO DIAS AFASTADOS</v>
      </c>
      <c r="U7" s="8" t="str" cm="1">
        <f t="array" aca="1" ref="U7" ca="1">MIG_GERA.SCRIPT( $U$2, $K$1:$T$1, K7:T7)</f>
        <v>INSERT INTO FPA_ITECALCFOLHA ( NRITEMCALCFOLHA, NRCALCULOFOLHA, NRVINCULOM, NREVENTOM, NRORG, IDEVENDEMONCALC, VRREFFOLHA, VREVENTOFOLHA, IDREFEVALORCALC, DTINCLUSAO, DTOCORRENCIA, DSITEMCALCFOLHA, QTOCORPROXPERI ) VALUES ( 10805, ( SELECT MAX(NRCALCULOFOLHA) FROM FPA_CALCULOFOLHA WHERE NRORG = 5663 AND NRTIPOMOVIMENT = 1 AND DTOCORRENCIA = '01/02/2019' AND NRTPMODALIDCAL = 1 AND NROCORRECAL = 1 ), ( SELECT /*MAX(*/ NRVINCULOM /*)*/ FROM GPE_VINCULOM WHERE NRORG = 5663 AND CDMATRICULA = '122_224' ), ( SELECT MAX(NRPARA) FROM MIG_MIGRAMDEPARA WHERE NRORG = 5663 AND NRDE = '8801' ), 5663, 'N', 30.00, 1405.95, 'REFERENCIA_VALOR', SYSDATE, '01/02/2019', '8801 - DESCONTO DIAS AFASTADOS', 1 ); COMMIT;</v>
      </c>
      <c r="V7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( 10805, ( SELECT MAX(NRCALCULOFOLHA) FROM FPA_CALCULOFOLHA WHERE NRORG = 5663 AND NRTIPOMOVIMENT = 1 AND DTOCORRENCIA = '01/02/2019' AND NRTPMODALIDCAL = 1 AND NROCORRECAL = 1 ), ( SELECT /*MAX(*/ NRVINCULOM /*)*/ FROM GPE_VINCULOM WHERE NRORG = 5663 AND CDMATRICULA = '122_224' ), ( SELECT MAX(NRPARA) FROM MIG_MIGRAMDEPARA WHERE NRORG = 5663 AND NRDE = '8801' ), 5663, 'N', 30.00, 1405.95, 'REFERENCIA_VALOR', SYSDATE, '01/02/2019', '8801 - DESCONTO DIAS AFASTADOS', 1 ); COMMIT;</v>
      </c>
      <c r="W7" s="23" t="s">
        <v>38</v>
      </c>
      <c r="X7" s="24" t="str">
        <f>X5</f>
        <v>O3:O21</v>
      </c>
      <c r="Y7" s="24" t="str" cm="1">
        <f t="array" aca="1" ref="Y7" ca="1">_xlfn.TEXTJOIN( ", ", 1, TEXT( _xlfn.UNIQUE( DATEVALUE( INDIRECT( X7 ) ) ), "MM/AAAA" ) )</f>
        <v>01/2019, 02/2019, 03/2019, 04/2019</v>
      </c>
      <c r="AA7" s="9" t="str">
        <f ca="1"/>
        <v>insere</v>
      </c>
      <c r="AB7" s="5" t="str">
        <f ca="1"/>
        <v>existe</v>
      </c>
      <c r="AD7" s="5" t="str">
        <f ca="1"/>
        <v>existe</v>
      </c>
    </row>
    <row r="8" spans="1:36" x14ac:dyDescent="0.25">
      <c r="A8" s="60">
        <v>1</v>
      </c>
      <c r="B8" s="60" t="s">
        <v>2106</v>
      </c>
      <c r="C8" s="61">
        <v>43525</v>
      </c>
      <c r="D8" s="60">
        <v>149</v>
      </c>
      <c r="E8" s="60">
        <v>324.45</v>
      </c>
      <c r="F8" s="60" t="s">
        <v>3732</v>
      </c>
      <c r="G8" s="61">
        <v>43525</v>
      </c>
      <c r="H8" s="60">
        <v>30</v>
      </c>
      <c r="I8"/>
      <c r="J8" s="54" t="s">
        <v>1922</v>
      </c>
      <c r="K8" s="8">
        <f t="shared" si="6"/>
        <v>5663</v>
      </c>
      <c r="L8" s="8">
        <f t="shared" ca="1" si="0"/>
        <v>10806</v>
      </c>
      <c r="M8" s="8">
        <f t="shared" si="7"/>
        <v>1</v>
      </c>
      <c r="N8" s="8" t="str">
        <f t="shared" si="1"/>
        <v>122_224</v>
      </c>
      <c r="O8" s="8" t="str">
        <f t="shared" si="8"/>
        <v>01/03/2019</v>
      </c>
      <c r="P8" s="8" t="str">
        <f t="shared" si="9"/>
        <v>149</v>
      </c>
      <c r="Q8" s="8" t="str">
        <f t="shared" si="2"/>
        <v>01/03/2019</v>
      </c>
      <c r="R8" s="8" t="str">
        <f t="shared" si="3"/>
        <v>324.45</v>
      </c>
      <c r="S8" s="8" t="str">
        <f t="shared" si="4"/>
        <v>30.00</v>
      </c>
      <c r="T8" s="8" t="str" cm="1">
        <f t="array" ref="T8">IF(TRIM(F8)="","",MIG_REMOVE.ESPECIAL( TRIM(F8)))</f>
        <v>149 - PERICULOSIDADE</v>
      </c>
      <c r="U8" s="8" t="str" cm="1">
        <f t="array" aca="1" ref="U8" ca="1">MIG_GERA.SCRIPT( $U$2, $K$1:$T$1, K8:T8)</f>
        <v>INSERT INTO FPA_ITECALCFOLHA ( NRITEMCALCFOLHA, NRCALCULOFOLHA, NRVINCULOM, NREVENTOM, NRORG, IDEVENDEMONCALC, VRREFFOLHA, VREVENTOFOLHA, IDREFEVALORCALC, DTINCLUSAO, DTOCORRENCIA, DSITEMCALCFOLHA, QTOCORPROXPERI ) VALUES ( 10806,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'149' ), 5663, 'N', 30.00, 324.45, 'REFERENCIA_VALOR', SYSDATE, '01/03/2019', '149 - PERICULOSIDADE', 1 ); COMMIT;</v>
      </c>
      <c r="V8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( 10806,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'149' ), 5663, 'N', 30.00, 324.45, 'REFERENCIA_VALOR', SYSDATE, '01/03/2019', '149 - PERICULOSIDADE', 1 ); COMMIT;</v>
      </c>
      <c r="W8" s="23" t="s">
        <v>39</v>
      </c>
      <c r="X8" s="24" t="s">
        <v>40</v>
      </c>
      <c r="Y8" s="24" cm="1">
        <f t="array" aca="1" ref="Y8" ca="1">INDIRECT( X8 )</f>
        <v>10801</v>
      </c>
      <c r="AA8" s="9" t="str">
        <f ca="1"/>
        <v>insere</v>
      </c>
      <c r="AB8" s="5" t="str">
        <f ca="1"/>
        <v>existe</v>
      </c>
      <c r="AD8" s="5" t="str">
        <f ca="1"/>
        <v>existe</v>
      </c>
    </row>
    <row r="9" spans="1:36" x14ac:dyDescent="0.25">
      <c r="A9" s="60">
        <v>1</v>
      </c>
      <c r="B9" s="60" t="s">
        <v>2106</v>
      </c>
      <c r="C9" s="61">
        <v>43525</v>
      </c>
      <c r="D9" s="60">
        <v>8781</v>
      </c>
      <c r="E9" s="60">
        <v>1081.5</v>
      </c>
      <c r="F9" s="60" t="s">
        <v>3733</v>
      </c>
      <c r="G9" s="61">
        <v>43525</v>
      </c>
      <c r="H9" s="60">
        <v>30</v>
      </c>
      <c r="I9"/>
      <c r="J9" s="38" t="s">
        <v>41</v>
      </c>
      <c r="K9" s="8">
        <f t="shared" si="6"/>
        <v>5663</v>
      </c>
      <c r="L9" s="8">
        <f t="shared" ca="1" si="0"/>
        <v>10807</v>
      </c>
      <c r="M9" s="8">
        <f t="shared" si="7"/>
        <v>1</v>
      </c>
      <c r="N9" s="8" t="str">
        <f t="shared" si="1"/>
        <v>122_224</v>
      </c>
      <c r="O9" s="8" t="str">
        <f t="shared" si="8"/>
        <v>01/03/2019</v>
      </c>
      <c r="P9" s="8" t="str">
        <f t="shared" si="9"/>
        <v>8781</v>
      </c>
      <c r="Q9" s="8" t="str">
        <f t="shared" si="2"/>
        <v>01/03/2019</v>
      </c>
      <c r="R9" s="8" t="str">
        <f t="shared" si="3"/>
        <v>1081.50</v>
      </c>
      <c r="S9" s="8" t="str">
        <f t="shared" si="4"/>
        <v>30.00</v>
      </c>
      <c r="T9" s="8" t="str" cm="1">
        <f t="array" ref="T9">IF(TRIM(F9)="","",MIG_REMOVE.ESPECIAL( TRIM(F9)))</f>
        <v>8781 - SALARIO</v>
      </c>
      <c r="U9" s="8" t="str" cm="1">
        <f t="array" aca="1" ref="U9" ca="1">MIG_GERA.SCRIPT( $U$2, $K$1:$T$1, K9:T9)</f>
        <v>INSERT INTO FPA_ITECALCFOLHA ( NRITEMCALCFOLHA, NRCALCULOFOLHA, NRVINCULOM, NREVENTOM, NRORG, IDEVENDEMONCALC, VRREFFOLHA, VREVENTOFOLHA, IDREFEVALORCALC, DTINCLUSAO, DTOCORRENCIA, DSITEMCALCFOLHA, QTOCORPROXPERI ) VALUES ( 10807,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'8781' ), 5663, 'N', 30.00, 1081.50, 'REFERENCIA_VALOR', SYSDATE, '01/03/2019', '8781 - SALARIO', 1 ); COMMIT;</v>
      </c>
      <c r="V9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( 10807,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'8781' ), 5663, 'N', 30.00, 1081.50, 'REFERENCIA_VALOR', SYSDATE, '01/03/2019', '8781 - SALARIO', 1 ); COMMIT;</v>
      </c>
      <c r="W9" s="23" t="s">
        <v>42</v>
      </c>
      <c r="X9" s="24" t="str">
        <f>"L"&amp;Y3</f>
        <v>L21</v>
      </c>
      <c r="Y9" s="24" cm="1">
        <f t="array" aca="1" ref="Y9" ca="1">INDIRECT( X9 )</f>
        <v>10819</v>
      </c>
      <c r="AA9" s="9" t="str">
        <f ca="1"/>
        <v>insere</v>
      </c>
      <c r="AB9" s="5" t="str">
        <f ca="1"/>
        <v>existe</v>
      </c>
      <c r="AD9" s="5" t="str">
        <f ca="1"/>
        <v>existe</v>
      </c>
    </row>
    <row r="10" spans="1:36" x14ac:dyDescent="0.25">
      <c r="A10" s="60">
        <v>1</v>
      </c>
      <c r="B10" s="60" t="s">
        <v>2106</v>
      </c>
      <c r="C10" s="61">
        <v>43525</v>
      </c>
      <c r="D10" s="60">
        <v>996</v>
      </c>
      <c r="E10" s="60">
        <v>112.47</v>
      </c>
      <c r="F10" s="60" t="s">
        <v>3734</v>
      </c>
      <c r="G10" s="61">
        <v>43525</v>
      </c>
      <c r="H10" s="60">
        <v>0</v>
      </c>
      <c r="I10"/>
      <c r="J10" s="38" t="s">
        <v>43</v>
      </c>
      <c r="K10" s="8">
        <f t="shared" si="6"/>
        <v>5663</v>
      </c>
      <c r="L10" s="8">
        <f t="shared" ca="1" si="0"/>
        <v>10808</v>
      </c>
      <c r="M10" s="8">
        <f t="shared" si="7"/>
        <v>1</v>
      </c>
      <c r="N10" s="8" t="str">
        <f t="shared" si="1"/>
        <v>122_224</v>
      </c>
      <c r="O10" s="8" t="str">
        <f t="shared" si="8"/>
        <v>01/03/2019</v>
      </c>
      <c r="P10" s="8" t="str">
        <f t="shared" si="9"/>
        <v>996</v>
      </c>
      <c r="Q10" s="8" t="str">
        <f t="shared" si="2"/>
        <v>01/03/2019</v>
      </c>
      <c r="R10" s="8" t="str">
        <f t="shared" si="3"/>
        <v>112.47</v>
      </c>
      <c r="S10" s="8" t="str">
        <f t="shared" si="4"/>
        <v>0.00</v>
      </c>
      <c r="T10" s="8" t="str" cm="1">
        <f t="array" ref="T10">IF(TRIM(F10)="","",MIG_REMOVE.ESPECIAL( TRIM(F10)))</f>
        <v>996 - F.G.T.S DO MES.</v>
      </c>
      <c r="U10" s="8" t="str" cm="1">
        <f t="array" aca="1" ref="U10" ca="1">MIG_GERA.SCRIPT( $U$2, $K$1:$T$1, K10:T10)</f>
        <v>INSERT INTO FPA_ITECALCFOLHA ( NRITEMCALCFOLHA, NRCALCULOFOLHA, NRVINCULOM, NREVENTOM, NRORG, IDEVENDEMONCALC, VRREFFOLHA, VREVENTOFOLHA, IDREFEVALORCALC, DTINCLUSAO, DTOCORRENCIA, DSITEMCALCFOLHA, QTOCORPROXPERI ) VALUES ( 10808,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'996' ), 5663, 'N', 0.00, 112.47, 'REFERENCIA_VALOR', SYSDATE, '01/03/2019', '996 - F.G.T.S DO MES.', 1 ); COMMIT;</v>
      </c>
      <c r="V10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( 10808,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'996' ), 5663, 'N', 0.00, 112.47, 'REFERENCIA_VALOR', SYSDATE, '01/03/2019', '996 - F.G.T.S DO MES.', 1 ); COMMIT;</v>
      </c>
      <c r="W10" s="23" t="s">
        <v>44</v>
      </c>
      <c r="Y10" s="24">
        <f ca="1">Y9-Y8+1</f>
        <v>19</v>
      </c>
      <c r="AA10" s="9" t="str">
        <f ca="1"/>
        <v>insere</v>
      </c>
      <c r="AB10" s="5" t="str">
        <f ca="1"/>
        <v>existe</v>
      </c>
      <c r="AD10" s="5" t="str">
        <f ca="1"/>
        <v>existe</v>
      </c>
    </row>
    <row r="11" spans="1:36" x14ac:dyDescent="0.25">
      <c r="A11" s="60">
        <v>1</v>
      </c>
      <c r="B11" s="60" t="s">
        <v>2106</v>
      </c>
      <c r="C11" s="61">
        <v>43525</v>
      </c>
      <c r="D11" s="60">
        <v>205</v>
      </c>
      <c r="E11" s="60">
        <v>64.89</v>
      </c>
      <c r="F11" s="60" t="s">
        <v>3735</v>
      </c>
      <c r="G11" s="61">
        <v>43525</v>
      </c>
      <c r="H11" s="60">
        <v>6</v>
      </c>
      <c r="I11"/>
      <c r="J11" s="38" t="s">
        <v>45</v>
      </c>
      <c r="K11" s="8">
        <f t="shared" si="6"/>
        <v>5663</v>
      </c>
      <c r="L11" s="8">
        <f t="shared" ca="1" si="0"/>
        <v>10809</v>
      </c>
      <c r="M11" s="8">
        <f t="shared" si="7"/>
        <v>1</v>
      </c>
      <c r="N11" s="8" t="str">
        <f t="shared" si="1"/>
        <v>122_224</v>
      </c>
      <c r="O11" s="8" t="str">
        <f t="shared" si="8"/>
        <v>01/03/2019</v>
      </c>
      <c r="P11" s="8" t="str">
        <f t="shared" si="9"/>
        <v>205</v>
      </c>
      <c r="Q11" s="8" t="str">
        <f t="shared" si="2"/>
        <v>01/03/2019</v>
      </c>
      <c r="R11" s="8" t="str">
        <f t="shared" si="3"/>
        <v>64.89</v>
      </c>
      <c r="S11" s="8" t="str">
        <f t="shared" si="4"/>
        <v>6.00</v>
      </c>
      <c r="T11" s="8" t="str" cm="1">
        <f t="array" ref="T11">IF(TRIM(F11)="","",MIG_REMOVE.ESPECIAL( TRIM(F11)))</f>
        <v>205 - DESCONTO VALE TRANSP 6%</v>
      </c>
      <c r="U11" s="8" t="str" cm="1">
        <f t="array" aca="1" ref="U11" ca="1">MIG_GERA.SCRIPT( $U$2, $K$1:$T$1, K11:T11)</f>
        <v>INSERT INTO FPA_ITECALCFOLHA ( NRITEMCALCFOLHA, NRCALCULOFOLHA, NRVINCULOM, NREVENTOM, NRORG, IDEVENDEMONCALC, VRREFFOLHA, VREVENTOFOLHA, IDREFEVALORCALC, DTINCLUSAO, DTOCORRENCIA, DSITEMCALCFOLHA, QTOCORPROXPERI ) VALUES ( 10809,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'205' ), 5663, 'N', 6.00, 64.89, 'REFERENCIA_VALOR', SYSDATE, '01/03/2019', '205 - DESCONTO VALE TRANSP 6%', 1 ); COMMIT;</v>
      </c>
      <c r="V11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( 10809,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'205' ), 5663, 'N', 6.00, 64.89, 'REFERENCIA_VALOR', SYSDATE, '01/03/2019', '205 - DESCONTO VALE TRANSP 6%', 1 ); COMMIT;</v>
      </c>
      <c r="W11" s="24" t="s">
        <v>30</v>
      </c>
      <c r="AA11" s="9" t="str">
        <f ca="1"/>
        <v>insere</v>
      </c>
      <c r="AB11" s="5" t="str">
        <f ca="1"/>
        <v>existe</v>
      </c>
      <c r="AD11" s="5" t="str">
        <f ca="1"/>
        <v>existe</v>
      </c>
    </row>
    <row r="12" spans="1:36" x14ac:dyDescent="0.25">
      <c r="A12" s="60">
        <v>1</v>
      </c>
      <c r="B12" s="60" t="s">
        <v>2106</v>
      </c>
      <c r="C12" s="61">
        <v>43525</v>
      </c>
      <c r="D12" s="60">
        <v>998</v>
      </c>
      <c r="E12" s="60">
        <v>112.47</v>
      </c>
      <c r="F12" s="60" t="s">
        <v>3736</v>
      </c>
      <c r="G12" s="61">
        <v>43525</v>
      </c>
      <c r="H12" s="60">
        <v>8</v>
      </c>
      <c r="I12"/>
      <c r="J12" s="39" t="s">
        <v>46</v>
      </c>
      <c r="K12" s="8">
        <f t="shared" si="6"/>
        <v>5663</v>
      </c>
      <c r="L12" s="8">
        <f t="shared" ca="1" si="0"/>
        <v>10810</v>
      </c>
      <c r="M12" s="8">
        <f t="shared" si="7"/>
        <v>1</v>
      </c>
      <c r="N12" s="8" t="str">
        <f t="shared" si="1"/>
        <v>122_224</v>
      </c>
      <c r="O12" s="8" t="str">
        <f t="shared" si="8"/>
        <v>01/03/2019</v>
      </c>
      <c r="P12" s="8" t="str">
        <f t="shared" si="9"/>
        <v>998</v>
      </c>
      <c r="Q12" s="8" t="str">
        <f t="shared" si="2"/>
        <v>01/03/2019</v>
      </c>
      <c r="R12" s="8" t="str">
        <f t="shared" si="3"/>
        <v>112.47</v>
      </c>
      <c r="S12" s="8" t="str">
        <f t="shared" si="4"/>
        <v>8.00</v>
      </c>
      <c r="T12" s="8" t="str" cm="1">
        <f t="array" ref="T12">IF(TRIM(F12)="","",MIG_REMOVE.ESPECIAL( TRIM(F12)))</f>
        <v>998 - I.N.S.S.</v>
      </c>
      <c r="U12" s="8" t="str" cm="1">
        <f t="array" aca="1" ref="U12" ca="1">MIG_GERA.SCRIPT( $U$2, $K$1:$T$1, K12:T12)</f>
        <v>INSERT INTO FPA_ITECALCFOLHA ( NRITEMCALCFOLHA, NRCALCULOFOLHA, NRVINCULOM, NREVENTOM, NRORG, IDEVENDEMONCALC, VRREFFOLHA, VREVENTOFOLHA, IDREFEVALORCALC, DTINCLUSAO, DTOCORRENCIA, DSITEMCALCFOLHA, QTOCORPROXPERI ) VALUES ( 10810,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'998' ), 5663, 'N', 8.00, 112.47, 'REFERENCIA_VALOR', SYSDATE, '01/03/2019', '998 - I.N.S.S.', 1 ); COMMIT;</v>
      </c>
      <c r="V12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( 10810, ( SELECT MAX(NRCALCULOFOLHA) FROM FPA_CALCULOFOLHA WHERE NRORG = 5663 AND NRTIPOMOVIMENT = 1 AND DTOCORRENCIA = '01/03/2019' AND NRTPMODALIDCAL = 1 AND NROCORRECAL = 1 ), ( SELECT /*MAX(*/ NRVINCULOM /*)*/ FROM GPE_VINCULOM WHERE NRORG = 5663 AND CDMATRICULA = '122_224' ), ( SELECT MAX(NRPARA) FROM MIG_MIGRAMDEPARA WHERE NRORG = 5663 AND NRDE = '998' ), 5663, 'N', 8.00, 112.47, 'REFERENCIA_VALOR', SYSDATE, '01/03/2019', '998 - I.N.S.S.', 1 ); COMMIT;</v>
      </c>
      <c r="W12" s="24" t="s">
        <v>30</v>
      </c>
      <c r="AA12" s="9" t="str">
        <f ca="1"/>
        <v>insere</v>
      </c>
      <c r="AB12" s="5" t="str">
        <f ca="1"/>
        <v>existe</v>
      </c>
      <c r="AD12" s="5" t="str">
        <f ca="1"/>
        <v>existe</v>
      </c>
    </row>
    <row r="13" spans="1:36" x14ac:dyDescent="0.25">
      <c r="A13" s="60">
        <v>1</v>
      </c>
      <c r="B13" s="60" t="s">
        <v>2106</v>
      </c>
      <c r="C13" s="61">
        <v>43556</v>
      </c>
      <c r="D13" s="60">
        <v>28</v>
      </c>
      <c r="E13" s="60">
        <v>1081.5</v>
      </c>
      <c r="F13" s="60" t="s">
        <v>3737</v>
      </c>
      <c r="G13" s="61">
        <v>43556</v>
      </c>
      <c r="H13" s="60">
        <v>1</v>
      </c>
      <c r="I13"/>
      <c r="J13" s="39" t="s">
        <v>46</v>
      </c>
      <c r="K13" s="8">
        <f t="shared" si="6"/>
        <v>5663</v>
      </c>
      <c r="L13" s="8">
        <f t="shared" ca="1" si="0"/>
        <v>10811</v>
      </c>
      <c r="M13" s="8">
        <f t="shared" si="7"/>
        <v>1</v>
      </c>
      <c r="N13" s="8" t="str">
        <f t="shared" si="1"/>
        <v>122_224</v>
      </c>
      <c r="O13" s="8" t="str">
        <f t="shared" si="8"/>
        <v>01/04/2019</v>
      </c>
      <c r="P13" s="8" t="str">
        <f t="shared" si="9"/>
        <v>28</v>
      </c>
      <c r="Q13" s="8" t="str">
        <f t="shared" si="2"/>
        <v>01/04/2019</v>
      </c>
      <c r="R13" s="8" t="str">
        <f t="shared" si="3"/>
        <v>1081.50</v>
      </c>
      <c r="S13" s="8" t="str">
        <f t="shared" si="4"/>
        <v>1.00</v>
      </c>
      <c r="T13" s="8" t="str" cm="1">
        <f t="array" ref="T13">IF(TRIM(F13)="","",MIG_REMOVE.ESPECIAL( TRIM(F13)))</f>
        <v>28 - FERIAS VENCIDAS - RCT</v>
      </c>
      <c r="U13" s="8" t="str" cm="1">
        <f t="array" aca="1" ref="U13" ca="1">MIG_GERA.SCRIPT( $U$2, $K$1:$T$1, K13:T13)</f>
        <v>INSERT INTO FPA_ITECALCFOLHA ( NRITEMCALCFOLHA, NRCALCULOFOLHA, NRVINCULOM, NREVENTOM, NRORG, IDEVENDEMONCALC, VRREFFOLHA, VREVENTOFOLHA, IDREFEVALORCALC, DTINCLUSAO, DTOCORRENCIA, DSITEMCALCFOLHA, QTOCORPROXPERI ) VALUES ( 10811,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'28' ), 5663, 'N', 1.00, 1081.50, 'REFERENCIA_VALOR', SYSDATE, '01/04/2019', '28 - FERIAS VENCIDAS - RCT', 1 ); COMMIT;</v>
      </c>
      <c r="V13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( 10811,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'28' ), 5663, 'N', 1.00, 1081.50, 'REFERENCIA_VALOR', SYSDATE, '01/04/2019', '28 - FERIAS VENCIDAS - RCT', 1 ); COMMIT;</v>
      </c>
      <c r="W13" s="32" t="s">
        <v>47</v>
      </c>
      <c r="X13" s="58">
        <f>COUNTA( B:B )</f>
        <v>21</v>
      </c>
      <c r="AA13" s="9" t="str">
        <f ca="1"/>
        <v>insere</v>
      </c>
      <c r="AB13" s="5" t="str">
        <f ca="1"/>
        <v>existe</v>
      </c>
      <c r="AD13" s="5" t="str">
        <f ca="1"/>
        <v>existe</v>
      </c>
    </row>
    <row r="14" spans="1:36" x14ac:dyDescent="0.25">
      <c r="A14" s="60">
        <v>1</v>
      </c>
      <c r="B14" s="60" t="s">
        <v>2106</v>
      </c>
      <c r="C14" s="61">
        <v>43556</v>
      </c>
      <c r="D14" s="60">
        <v>29</v>
      </c>
      <c r="E14" s="60">
        <v>180.25</v>
      </c>
      <c r="F14" s="60" t="s">
        <v>3738</v>
      </c>
      <c r="G14" s="61">
        <v>43556</v>
      </c>
      <c r="H14" s="60">
        <v>2</v>
      </c>
      <c r="I14"/>
      <c r="J14" s="39" t="s">
        <v>46</v>
      </c>
      <c r="K14" s="8">
        <f t="shared" si="6"/>
        <v>5663</v>
      </c>
      <c r="L14" s="8">
        <f t="shared" ca="1" si="0"/>
        <v>10812</v>
      </c>
      <c r="M14" s="8">
        <f t="shared" si="7"/>
        <v>1</v>
      </c>
      <c r="N14" s="8" t="str">
        <f t="shared" si="1"/>
        <v>122_224</v>
      </c>
      <c r="O14" s="8" t="str">
        <f t="shared" si="8"/>
        <v>01/04/2019</v>
      </c>
      <c r="P14" s="8" t="str">
        <f t="shared" si="9"/>
        <v>29</v>
      </c>
      <c r="Q14" s="8" t="str">
        <f t="shared" si="2"/>
        <v>01/04/2019</v>
      </c>
      <c r="R14" s="8" t="str">
        <f t="shared" si="3"/>
        <v>180.25</v>
      </c>
      <c r="S14" s="8" t="str">
        <f t="shared" si="4"/>
        <v>2.00</v>
      </c>
      <c r="T14" s="8" t="str" cm="1">
        <f t="array" ref="T14">IF(TRIM(F14)="","",MIG_REMOVE.ESPECIAL( TRIM(F14)))</f>
        <v>29 - FERIAS PROPORCIONAIS-RCT.</v>
      </c>
      <c r="U14" s="8" t="str" cm="1">
        <f t="array" aca="1" ref="U14" ca="1">MIG_GERA.SCRIPT( $U$2, $K$1:$T$1, K14:T14)</f>
        <v>INSERT INTO FPA_ITECALCFOLHA ( NRITEMCALCFOLHA, NRCALCULOFOLHA, NRVINCULOM, NREVENTOM, NRORG, IDEVENDEMONCALC, VRREFFOLHA, VREVENTOFOLHA, IDREFEVALORCALC, DTINCLUSAO, DTOCORRENCIA, DSITEMCALCFOLHA, QTOCORPROXPERI ) VALUES ( 10812,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'29' ), 5663, 'N', 2.00, 180.25, 'REFERENCIA_VALOR', SYSDATE, '01/04/2019', '29 - FERIAS PROPORCIONAIS-RCT.', 1 ); COMMIT;</v>
      </c>
      <c r="V14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( 10812,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'29' ), 5663, 'N', 2.00, 180.25, 'REFERENCIA_VALOR', SYSDATE, '01/04/2019', '29 - FERIAS PROPORCIONAIS-RCT.', 1 ); COMMIT;</v>
      </c>
      <c r="W14" s="32" t="s">
        <v>48</v>
      </c>
      <c r="X14" s="58">
        <f>COUNTA( Base!A:A )</f>
        <v>1527</v>
      </c>
      <c r="AA14" s="9" t="str">
        <f ca="1"/>
        <v>insere</v>
      </c>
      <c r="AB14" s="5" t="str">
        <f ca="1"/>
        <v>existe</v>
      </c>
      <c r="AD14" s="5" t="str">
        <f ca="1"/>
        <v>existe</v>
      </c>
    </row>
    <row r="15" spans="1:36" x14ac:dyDescent="0.25">
      <c r="A15" s="60">
        <v>1</v>
      </c>
      <c r="B15" s="60" t="s">
        <v>2106</v>
      </c>
      <c r="C15" s="61">
        <v>43556</v>
      </c>
      <c r="D15" s="60">
        <v>64</v>
      </c>
      <c r="E15" s="60">
        <v>468.65</v>
      </c>
      <c r="F15" s="60" t="s">
        <v>3739</v>
      </c>
      <c r="G15" s="61">
        <v>43556</v>
      </c>
      <c r="H15" s="60">
        <v>33.33</v>
      </c>
      <c r="I15"/>
      <c r="J15" s="39" t="s">
        <v>46</v>
      </c>
      <c r="K15" s="8">
        <f t="shared" si="6"/>
        <v>5663</v>
      </c>
      <c r="L15" s="8">
        <f t="shared" ca="1" si="0"/>
        <v>10813</v>
      </c>
      <c r="M15" s="8">
        <f t="shared" si="7"/>
        <v>1</v>
      </c>
      <c r="N15" s="8" t="str">
        <f t="shared" si="1"/>
        <v>122_224</v>
      </c>
      <c r="O15" s="8" t="str">
        <f t="shared" si="8"/>
        <v>01/04/2019</v>
      </c>
      <c r="P15" s="8" t="str">
        <f t="shared" si="9"/>
        <v>64</v>
      </c>
      <c r="Q15" s="8" t="str">
        <f t="shared" si="2"/>
        <v>01/04/2019</v>
      </c>
      <c r="R15" s="8" t="str">
        <f t="shared" si="3"/>
        <v>468.65</v>
      </c>
      <c r="S15" s="8" t="str">
        <f t="shared" si="4"/>
        <v>33.33</v>
      </c>
      <c r="T15" s="8" t="str" cm="1">
        <f t="array" ref="T15">IF(TRIM(F15)="","",MIG_REMOVE.ESPECIAL( TRIM(F15)))</f>
        <v>64 - 1/3 FERIAS - RCT</v>
      </c>
      <c r="U15" s="8" t="str" cm="1">
        <f t="array" aca="1" ref="U15" ca="1">MIG_GERA.SCRIPT( $U$2, $K$1:$T$1, K15:T15)</f>
        <v>INSERT INTO FPA_ITECALCFOLHA ( NRITEMCALCFOLHA, NRCALCULOFOLHA, NRVINCULOM, NREVENTOM, NRORG, IDEVENDEMONCALC, VRREFFOLHA, VREVENTOFOLHA, IDREFEVALORCALC, DTINCLUSAO, DTOCORRENCIA, DSITEMCALCFOLHA, QTOCORPROXPERI ) VALUES ( 10813,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'64' ), 5663, 'N', 33.33, 468.65, 'REFERENCIA_VALOR', SYSDATE, '01/04/2019', '64 - 1/3 FERIAS - RCT', 1 ); COMMIT;</v>
      </c>
      <c r="V15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( 10813,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'64' ), 5663, 'N', 33.33, 468.65, 'REFERENCIA_VALOR', SYSDATE, '01/04/2019', '64 - 1/3 FERIAS - RCT', 1 ); COMMIT;</v>
      </c>
      <c r="W15" s="32" t="s">
        <v>49</v>
      </c>
      <c r="X15" s="58">
        <f>COUNTA( Base!D:D )</f>
        <v>247</v>
      </c>
      <c r="AA15" s="9" t="str">
        <f ca="1"/>
        <v>insere</v>
      </c>
      <c r="AB15" s="5" t="str">
        <f ca="1"/>
        <v>existe</v>
      </c>
      <c r="AD15" s="5" t="str">
        <f ca="1"/>
        <v>existe</v>
      </c>
    </row>
    <row r="16" spans="1:36" x14ac:dyDescent="0.25">
      <c r="A16" s="60">
        <v>1</v>
      </c>
      <c r="B16" s="60" t="s">
        <v>2106</v>
      </c>
      <c r="C16" s="61">
        <v>43556</v>
      </c>
      <c r="D16" s="60">
        <v>149</v>
      </c>
      <c r="E16" s="60">
        <v>237.93</v>
      </c>
      <c r="F16" s="60" t="s">
        <v>3732</v>
      </c>
      <c r="G16" s="61">
        <v>43556</v>
      </c>
      <c r="H16" s="60">
        <v>30</v>
      </c>
      <c r="I16"/>
      <c r="J16" s="39" t="s">
        <v>46</v>
      </c>
      <c r="K16" s="8">
        <f t="shared" si="6"/>
        <v>5663</v>
      </c>
      <c r="L16" s="8">
        <f t="shared" ca="1" si="0"/>
        <v>10814</v>
      </c>
      <c r="M16" s="8">
        <f t="shared" si="7"/>
        <v>1</v>
      </c>
      <c r="N16" s="8" t="str">
        <f t="shared" si="1"/>
        <v>122_224</v>
      </c>
      <c r="O16" s="8" t="str">
        <f t="shared" si="8"/>
        <v>01/04/2019</v>
      </c>
      <c r="P16" s="8" t="str">
        <f t="shared" si="9"/>
        <v>149</v>
      </c>
      <c r="Q16" s="8" t="str">
        <f t="shared" si="2"/>
        <v>01/04/2019</v>
      </c>
      <c r="R16" s="8" t="str">
        <f t="shared" si="3"/>
        <v>237.93</v>
      </c>
      <c r="S16" s="8" t="str">
        <f t="shared" si="4"/>
        <v>30.00</v>
      </c>
      <c r="T16" s="8" t="str" cm="1">
        <f t="array" ref="T16">IF(TRIM(F16)="","",MIG_REMOVE.ESPECIAL( TRIM(F16)))</f>
        <v>149 - PERICULOSIDADE</v>
      </c>
      <c r="U16" s="8" t="str" cm="1">
        <f t="array" aca="1" ref="U16" ca="1">MIG_GERA.SCRIPT( $U$2, $K$1:$T$1, K16:T16)</f>
        <v>INSERT INTO FPA_ITECALCFOLHA ( NRITEMCALCFOLHA, NRCALCULOFOLHA, NRVINCULOM, NREVENTOM, NRORG, IDEVENDEMONCALC, VRREFFOLHA, VREVENTOFOLHA, IDREFEVALORCALC, DTINCLUSAO, DTOCORRENCIA, DSITEMCALCFOLHA, QTOCORPROXPERI ) VALUES ( 10814,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'149' ), 5663, 'N', 30.00, 237.93, 'REFERENCIA_VALOR', SYSDATE, '01/04/2019', '149 - PERICULOSIDADE', 1 ); COMMIT;</v>
      </c>
      <c r="V16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( 10814,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'149' ), 5663, 'N', 30.00, 237.93, 'REFERENCIA_VALOR', SYSDATE, '01/04/2019', '149 - PERICULOSIDADE', 1 ); COMMIT;</v>
      </c>
      <c r="W16" s="32" t="s">
        <v>50</v>
      </c>
      <c r="X16" s="58">
        <f>COUNTA( Base!G:G )</f>
        <v>818</v>
      </c>
      <c r="AA16" s="9" t="str">
        <f ca="1"/>
        <v>insere</v>
      </c>
      <c r="AB16" s="5" t="str">
        <f ca="1"/>
        <v>existe</v>
      </c>
      <c r="AD16" s="5" t="str">
        <f ca="1"/>
        <v>existe</v>
      </c>
    </row>
    <row r="17" spans="1:30" x14ac:dyDescent="0.25">
      <c r="A17" s="60">
        <v>1</v>
      </c>
      <c r="B17" s="60" t="s">
        <v>2106</v>
      </c>
      <c r="C17" s="61">
        <v>43556</v>
      </c>
      <c r="D17" s="60">
        <v>150</v>
      </c>
      <c r="E17" s="60">
        <v>2.2000000000000002</v>
      </c>
      <c r="F17" s="60" t="s">
        <v>3740</v>
      </c>
      <c r="G17" s="61">
        <v>43556</v>
      </c>
      <c r="H17" s="60">
        <v>0.23</v>
      </c>
      <c r="I17"/>
      <c r="J17" s="39" t="s">
        <v>46</v>
      </c>
      <c r="K17" s="8">
        <f t="shared" si="6"/>
        <v>5663</v>
      </c>
      <c r="L17" s="8">
        <f t="shared" ca="1" si="0"/>
        <v>10815</v>
      </c>
      <c r="M17" s="8">
        <f t="shared" si="7"/>
        <v>1</v>
      </c>
      <c r="N17" s="8" t="str">
        <f t="shared" si="1"/>
        <v>122_224</v>
      </c>
      <c r="O17" s="8" t="str">
        <f t="shared" si="8"/>
        <v>01/04/2019</v>
      </c>
      <c r="P17" s="8" t="str">
        <f t="shared" si="9"/>
        <v>150</v>
      </c>
      <c r="Q17" s="8" t="str">
        <f t="shared" si="2"/>
        <v>01/04/2019</v>
      </c>
      <c r="R17" s="8" t="str">
        <f t="shared" si="3"/>
        <v>2.20</v>
      </c>
      <c r="S17" s="8" t="str">
        <f t="shared" si="4"/>
        <v>0.23</v>
      </c>
      <c r="T17" s="8" t="str" cm="1">
        <f t="array" ref="T17">IF(TRIM(F17)="","",MIG_REMOVE.ESPECIAL( TRIM(F17)))</f>
        <v>150 - HORAS EXTRAS 50%</v>
      </c>
      <c r="U17" s="8" t="str" cm="1">
        <f t="array" aca="1" ref="U17" ca="1">MIG_GERA.SCRIPT( $U$2, $K$1:$T$1, K17:T17)</f>
        <v>INSERT INTO FPA_ITECALCFOLHA ( NRITEMCALCFOLHA, NRCALCULOFOLHA, NRVINCULOM, NREVENTOM, NRORG, IDEVENDEMONCALC, VRREFFOLHA, VREVENTOFOLHA, IDREFEVALORCALC, DTINCLUSAO, DTOCORRENCIA, DSITEMCALCFOLHA, QTOCORPROXPERI ) VALUES ( 10815,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'150' ), 5663, 'N', 0.23, 2.20, 'REFERENCIA_VALOR', SYSDATE, '01/04/2019', '150 - HORAS EXTRAS 50%', 1 ); COMMIT;</v>
      </c>
      <c r="V17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( 10815,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'150' ), 5663, 'N', 0.23, 2.20, 'REFERENCIA_VALOR', SYSDATE, '01/04/2019', '150 - HORAS EXTRAS 50%', 1 ); COMMIT;</v>
      </c>
      <c r="W17" s="34" t="s">
        <v>51</v>
      </c>
      <c r="X17" s="58" t="str">
        <f>"N3:N" &amp; $X$13</f>
        <v>N3:N21</v>
      </c>
      <c r="AA17" s="9" t="str">
        <f ca="1"/>
        <v>insere</v>
      </c>
      <c r="AB17" s="5" t="str">
        <f ca="1"/>
        <v>existe</v>
      </c>
      <c r="AD17" s="5" t="str">
        <f ca="1"/>
        <v>existe</v>
      </c>
    </row>
    <row r="18" spans="1:30" x14ac:dyDescent="0.25">
      <c r="A18" s="60">
        <v>1</v>
      </c>
      <c r="B18" s="60" t="s">
        <v>2106</v>
      </c>
      <c r="C18" s="61">
        <v>43556</v>
      </c>
      <c r="D18" s="60">
        <v>250</v>
      </c>
      <c r="E18" s="60">
        <v>0.44</v>
      </c>
      <c r="F18" s="60" t="s">
        <v>3741</v>
      </c>
      <c r="G18" s="61">
        <v>43556</v>
      </c>
      <c r="H18" s="60">
        <v>5</v>
      </c>
      <c r="I18"/>
      <c r="J18" s="39" t="s">
        <v>46</v>
      </c>
      <c r="K18" s="8">
        <f t="shared" si="6"/>
        <v>5663</v>
      </c>
      <c r="L18" s="8">
        <f t="shared" ca="1" si="0"/>
        <v>10816</v>
      </c>
      <c r="M18" s="8">
        <f t="shared" si="7"/>
        <v>1</v>
      </c>
      <c r="N18" s="8" t="str">
        <f t="shared" si="1"/>
        <v>122_224</v>
      </c>
      <c r="O18" s="8" t="str">
        <f t="shared" si="8"/>
        <v>01/04/2019</v>
      </c>
      <c r="P18" s="8" t="str">
        <f t="shared" si="9"/>
        <v>250</v>
      </c>
      <c r="Q18" s="8" t="str">
        <f t="shared" si="2"/>
        <v>01/04/2019</v>
      </c>
      <c r="R18" s="8" t="str">
        <f t="shared" si="3"/>
        <v>0.44</v>
      </c>
      <c r="S18" s="8" t="str">
        <f t="shared" si="4"/>
        <v>5.00</v>
      </c>
      <c r="T18" s="8" t="str" cm="1">
        <f t="array" ref="T18">IF(TRIM(F18)="","",MIG_REMOVE.ESPECIAL( TRIM(F18)))</f>
        <v>250 - REFLEXO EXTRAS DSR</v>
      </c>
      <c r="U18" s="8" t="str" cm="1">
        <f t="array" aca="1" ref="U18" ca="1">MIG_GERA.SCRIPT( $U$2, $K$1:$T$1, K18:T18)</f>
        <v>INSERT INTO FPA_ITECALCFOLHA ( NRITEMCALCFOLHA, NRCALCULOFOLHA, NRVINCULOM, NREVENTOM, NRORG, IDEVENDEMONCALC, VRREFFOLHA, VREVENTOFOLHA, IDREFEVALORCALC, DTINCLUSAO, DTOCORRENCIA, DSITEMCALCFOLHA, QTOCORPROXPERI ) VALUES ( 10816,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'250' ), 5663, 'N', 5.00, 0.44, 'REFERENCIA_VALOR', SYSDATE, '01/04/2019', '250 - REFLEXO EXTRAS DSR', 1 ); COMMIT;</v>
      </c>
      <c r="V18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( 10816,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'250' ), 5663, 'N', 5.00, 0.44, 'REFERENCIA_VALOR', SYSDATE, '01/04/2019', '250 - REFLEXO EXTRAS DSR', 1 ); COMMIT;</v>
      </c>
      <c r="W18" s="34" t="s">
        <v>52</v>
      </c>
      <c r="X18" s="58" t="str" cm="1">
        <f t="array" ref="X18">"Base!" &amp; _xlfn.IFS( J3 = "CDMATRICULA", "A2:A", J3 = "NRVINCULOM", "B2:B", TRUE, "PREENCHER AA3" ) &amp; X14</f>
        <v>Base!A2:A1527</v>
      </c>
      <c r="AA18" s="9" t="str">
        <f ca="1"/>
        <v>insere</v>
      </c>
      <c r="AB18" s="5" t="str">
        <f ca="1"/>
        <v>existe</v>
      </c>
      <c r="AD18" s="5" t="str">
        <f ca="1"/>
        <v>existe</v>
      </c>
    </row>
    <row r="19" spans="1:30" x14ac:dyDescent="0.25">
      <c r="A19" s="60">
        <v>1</v>
      </c>
      <c r="B19" s="60" t="s">
        <v>2106</v>
      </c>
      <c r="C19" s="61">
        <v>43556</v>
      </c>
      <c r="D19" s="60">
        <v>816</v>
      </c>
      <c r="E19" s="60">
        <v>54.08</v>
      </c>
      <c r="F19" s="60" t="s">
        <v>3742</v>
      </c>
      <c r="G19" s="61">
        <v>43556</v>
      </c>
      <c r="H19" s="60">
        <v>2</v>
      </c>
      <c r="I19"/>
      <c r="J19" s="39" t="s">
        <v>46</v>
      </c>
      <c r="K19" s="8">
        <f t="shared" si="6"/>
        <v>5663</v>
      </c>
      <c r="L19" s="8">
        <f t="shared" ca="1" si="0"/>
        <v>10817</v>
      </c>
      <c r="M19" s="8">
        <f t="shared" si="7"/>
        <v>1</v>
      </c>
      <c r="N19" s="8" t="str">
        <f t="shared" si="1"/>
        <v>122_224</v>
      </c>
      <c r="O19" s="8" t="str">
        <f t="shared" si="8"/>
        <v>01/04/2019</v>
      </c>
      <c r="P19" s="8" t="str">
        <f t="shared" si="9"/>
        <v>816</v>
      </c>
      <c r="Q19" s="8" t="str">
        <f t="shared" si="2"/>
        <v>01/04/2019</v>
      </c>
      <c r="R19" s="8" t="str">
        <f t="shared" si="3"/>
        <v>54.08</v>
      </c>
      <c r="S19" s="8" t="str">
        <f t="shared" si="4"/>
        <v>2.00</v>
      </c>
      <c r="T19" s="8" t="str" cm="1">
        <f t="array" ref="T19">IF(TRIM(F19)="","",MIG_REMOVE.ESPECIAL( TRIM(F19)))</f>
        <v>816 - MEDIA VL FER PROPORCIONAL - RCT</v>
      </c>
      <c r="U19" s="8" t="str" cm="1">
        <f t="array" aca="1" ref="U19" ca="1">MIG_GERA.SCRIPT( $U$2, $K$1:$T$1, K19:T19)</f>
        <v>INSERT INTO FPA_ITECALCFOLHA ( NRITEMCALCFOLHA, NRCALCULOFOLHA, NRVINCULOM, NREVENTOM, NRORG, IDEVENDEMONCALC, VRREFFOLHA, VREVENTOFOLHA, IDREFEVALORCALC, DTINCLUSAO, DTOCORRENCIA, DSITEMCALCFOLHA, QTOCORPROXPERI ) VALUES ( 10817,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'816' ), 5663, 'N', 2.00, 54.08, 'REFERENCIA_VALOR', SYSDATE, '01/04/2019', '816 - MEDIA VL FER PROPORCIONAL - RCT', 1 ); COMMIT;</v>
      </c>
      <c r="V19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( 10817,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'816' ), 5663, 'N', 2.00, 54.08, 'REFERENCIA_VALOR', SYSDATE, '01/04/2019', '816 - MEDIA VL FER PROPORCIONAL - RCT', 1 ); COMMIT;</v>
      </c>
      <c r="W19" s="34" t="s">
        <v>53</v>
      </c>
      <c r="X19" s="58" t="str">
        <f>"P3:P" &amp; X13</f>
        <v>P3:P21</v>
      </c>
      <c r="AA19" s="9" t="str">
        <f ca="1"/>
        <v>insere</v>
      </c>
      <c r="AB19" s="5" t="str">
        <f ca="1"/>
        <v>existe</v>
      </c>
      <c r="AD19" s="5" t="str">
        <f ca="1"/>
        <v>existe</v>
      </c>
    </row>
    <row r="20" spans="1:30" x14ac:dyDescent="0.25">
      <c r="A20" s="60">
        <v>1</v>
      </c>
      <c r="B20" s="60" t="s">
        <v>2106</v>
      </c>
      <c r="C20" s="61">
        <v>43556</v>
      </c>
      <c r="D20" s="60">
        <v>819</v>
      </c>
      <c r="E20" s="60">
        <v>324.45</v>
      </c>
      <c r="F20" s="60" t="s">
        <v>3743</v>
      </c>
      <c r="G20" s="61">
        <v>43556</v>
      </c>
      <c r="H20" s="60">
        <v>1</v>
      </c>
      <c r="I20"/>
      <c r="J20" s="39" t="s">
        <v>46</v>
      </c>
      <c r="K20" s="8">
        <f t="shared" si="6"/>
        <v>5663</v>
      </c>
      <c r="L20" s="8">
        <f t="shared" ca="1" si="0"/>
        <v>10818</v>
      </c>
      <c r="M20" s="8">
        <f t="shared" si="7"/>
        <v>1</v>
      </c>
      <c r="N20" s="8" t="str">
        <f t="shared" si="1"/>
        <v>122_224</v>
      </c>
      <c r="O20" s="8" t="str">
        <f t="shared" si="8"/>
        <v>01/04/2019</v>
      </c>
      <c r="P20" s="8" t="str">
        <f t="shared" si="9"/>
        <v>819</v>
      </c>
      <c r="Q20" s="8" t="str">
        <f t="shared" si="2"/>
        <v>01/04/2019</v>
      </c>
      <c r="R20" s="8" t="str">
        <f t="shared" si="3"/>
        <v>324.45</v>
      </c>
      <c r="S20" s="8" t="str">
        <f t="shared" si="4"/>
        <v>1.00</v>
      </c>
      <c r="T20" s="8" t="str" cm="1">
        <f t="array" ref="T20">IF(TRIM(F20)="","",MIG_REMOVE.ESPECIAL( TRIM(F20)))</f>
        <v>819 - MEDIA VL FERIAS VENCIDAS - RCT</v>
      </c>
      <c r="U20" s="8" t="str" cm="1">
        <f t="array" aca="1" ref="U20" ca="1">MIG_GERA.SCRIPT( $U$2, $K$1:$T$1, K20:T20)</f>
        <v>INSERT INTO FPA_ITECALCFOLHA ( NRITEMCALCFOLHA, NRCALCULOFOLHA, NRVINCULOM, NREVENTOM, NRORG, IDEVENDEMONCALC, VRREFFOLHA, VREVENTOFOLHA, IDREFEVALORCALC, DTINCLUSAO, DTOCORRENCIA, DSITEMCALCFOLHA, QTOCORPROXPERI ) VALUES ( 10818,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'819' ), 5663, 'N', 1.00, 324.45, 'REFERENCIA_VALOR', SYSDATE, '01/04/2019', '819 - MEDIA VL FERIAS VENCIDAS - RCT', 1 ); COMMIT;</v>
      </c>
      <c r="V20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( 10818,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'819' ), 5663, 'N', 1.00, 324.45, 'REFERENCIA_VALOR', SYSDATE, '01/04/2019', '819 - MEDIA VL FERIAS VENCIDAS - RCT', 1 ); COMMIT;</v>
      </c>
      <c r="W20" s="34" t="s">
        <v>54</v>
      </c>
      <c r="X20" s="58" t="str" cm="1">
        <f t="array" ref="X20">_xlfn.IFS(
J4 = "NRDE-NRPARA", "Base!D2:D" &amp; X15,
J4 = "NREVENTOM", "Base!G2:G" &amp; X16,
TRUE, "PREENCHER AA4" )</f>
        <v>Base!D2:D247</v>
      </c>
      <c r="AA20" s="9" t="str">
        <f ca="1"/>
        <v>insere</v>
      </c>
      <c r="AB20" s="5" t="str">
        <f ca="1"/>
        <v>existe</v>
      </c>
      <c r="AD20" s="5" t="str">
        <f ca="1"/>
        <v>existe</v>
      </c>
    </row>
    <row r="21" spans="1:30" x14ac:dyDescent="0.25">
      <c r="A21" s="60">
        <v>1</v>
      </c>
      <c r="B21" s="60" t="s">
        <v>2106</v>
      </c>
      <c r="C21" s="61">
        <v>43556</v>
      </c>
      <c r="D21" s="60">
        <v>8169</v>
      </c>
      <c r="E21" s="60">
        <v>78.11</v>
      </c>
      <c r="F21" s="60" t="s">
        <v>3744</v>
      </c>
      <c r="G21" s="61">
        <v>43556</v>
      </c>
      <c r="H21" s="60">
        <v>33.33</v>
      </c>
      <c r="I21"/>
      <c r="J21" s="39" t="s">
        <v>46</v>
      </c>
      <c r="K21" s="8">
        <f t="shared" si="6"/>
        <v>5663</v>
      </c>
      <c r="L21" s="8">
        <f t="shared" ca="1" si="0"/>
        <v>10819</v>
      </c>
      <c r="M21" s="8">
        <f t="shared" si="7"/>
        <v>1</v>
      </c>
      <c r="N21" s="8" t="str">
        <f t="shared" si="1"/>
        <v>122_224</v>
      </c>
      <c r="O21" s="8" t="str">
        <f t="shared" si="8"/>
        <v>01/04/2019</v>
      </c>
      <c r="P21" s="8" t="str">
        <f t="shared" si="9"/>
        <v>8169</v>
      </c>
      <c r="Q21" s="8" t="str">
        <f t="shared" si="2"/>
        <v>01/04/2019</v>
      </c>
      <c r="R21" s="8" t="str">
        <f t="shared" si="3"/>
        <v>78.11</v>
      </c>
      <c r="S21" s="8" t="str">
        <f t="shared" si="4"/>
        <v>33.33</v>
      </c>
      <c r="T21" s="8" t="str" cm="1">
        <f t="array" ref="T21">IF(TRIM(F21)="","",MIG_REMOVE.ESPECIAL( TRIM(F21)))</f>
        <v>8169 - 1/3 FERIAS PROPORCIONAIS RCT</v>
      </c>
      <c r="U21" s="8" t="str" cm="1">
        <f t="array" aca="1" ref="U21" ca="1">MIG_GERA.SCRIPT( $U$2, $K$1:$T$1, K21:T21)</f>
        <v>INSERT INTO FPA_ITECALCFOLHA ( NRITEMCALCFOLHA, NRCALCULOFOLHA, NRVINCULOM, NREVENTOM, NRORG, IDEVENDEMONCALC, VRREFFOLHA, VREVENTOFOLHA, IDREFEVALORCALC, DTINCLUSAO, DTOCORRENCIA, DSITEMCALCFOLHA, QTOCORPROXPERI ) VALUES ( 10819,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'8169' ), 5663, 'N', 33.33, 78.11, 'REFERENCIA_VALOR', SYSDATE, '01/04/2019', '8169 - 1/3 FERIAS PROPORCIONAIS RCT', 1 ); COMMIT;</v>
      </c>
      <c r="V21" s="14" t="str">
        <f t="shared" ca="1" si="5"/>
        <v>INSERT INTO FPA_ITECALCFOLHA ( NRITEMCALCFOLHA, NRCALCULOFOLHA, NRVINCULOM, NREVENTOM, NRORG, IDEVENDEMONCALC, VRREFFOLHA, VREVENTOFOLHA, IDREFEVALORCALC, DTINCLUSAO, DTOCORRENCIA, DSITEMCALCFOLHA, QTOCORPROXPERI ) VALUES ( 10819, ( SELECT MAX(NRCALCULOFOLHA) FROM FPA_CALCULOFOLHA WHERE NRORG = 5663 AND NRTIPOMOVIMENT = 1 AND DTOCORRENCIA = '01/04/2019' AND NRTPMODALIDCAL = 1 AND NROCORRECAL = 1 ), ( SELECT /*MAX(*/ NRVINCULOM /*)*/ FROM GPE_VINCULOM WHERE NRORG = 5663 AND CDMATRICULA = '122_224' ), ( SELECT MAX(NRPARA) FROM MIG_MIGRAMDEPARA WHERE NRORG = 5663 AND NRDE = '8169' ), 5663, 'N', 33.33, 78.11, 'REFERENCIA_VALOR', SYSDATE, '01/04/2019', '8169 - 1/3 FERIAS PROPORCIONAIS RCT', 1 ); COMMIT;</v>
      </c>
      <c r="W21" s="24" t="s">
        <v>30</v>
      </c>
      <c r="AA21" s="9" t="str">
        <f ca="1"/>
        <v>insere</v>
      </c>
      <c r="AB21" s="5" t="str">
        <f ca="1"/>
        <v>existe</v>
      </c>
      <c r="AD21" s="5" t="str">
        <f ca="1"/>
        <v>existe</v>
      </c>
    </row>
  </sheetData>
  <autoFilter ref="A1:H389" xr:uid="{00000000-0001-0000-0000-000000000000}"/>
  <sortState xmlns:xlrd2="http://schemas.microsoft.com/office/spreadsheetml/2017/richdata2" ref="A3:I21">
    <sortCondition ref="A3:A21"/>
    <sortCondition ref="G3:G21"/>
    <sortCondition ref="B3:B21"/>
    <sortCondition ref="D3:D21"/>
  </sortState>
  <dataValidations count="4">
    <dataValidation type="list" showInputMessage="1" showErrorMessage="1" promptTitle="Tipo de chave" prompt="Indique se a planilha está preenchida com o NRVINCULOM ou o CDMATRICULA (este é o padrão)." sqref="J3" xr:uid="{BC055462-A18B-404D-86F9-603ADA88E845}">
      <formula1>"CDMATRICULA,NRVINCULOM"</formula1>
    </dataValidation>
    <dataValidation type="list" showInputMessage="1" showErrorMessage="1" promptTitle="Tipo de chave" prompt="Indique se a planilha está preenchida com o NREVENTOM ou com o DE-PARA (esté é o padrão)." sqref="J4" xr:uid="{D5A001E1-2A66-4DE8-8344-BF4E801444F2}">
      <formula1>"NRDE-NRPARA,NREVENTOM"</formula1>
    </dataValidation>
    <dataValidation type="decimal" operator="greaterThanOrEqual" showInputMessage="1" showErrorMessage="1" errorTitle="Valor inválido" error="Digite um valor igual ou maior que 0." promptTitle="Máscara vínculo" prompt="Quantidade de zeros a esquerda do número ou matrícula do vínculo. Digite '0' (zero) para manter a máscara inalterada." sqref="J6" xr:uid="{7886321B-FCE6-46C2-8DF4-C25C2731A40F}">
      <formula1>0</formula1>
    </dataValidation>
    <dataValidation type="list" operator="greaterThanOrEqual" showInputMessage="1" showErrorMessage="1" promptTitle="Origem da competência" prompt="Infome se a competência usada será da planilha ou se vai ser formada a partir da data de ocorrência." sqref="J8" xr:uid="{24658401-EBF5-4806-BF8F-C5BB4DE9EA6A}">
      <formula1>"a partir da planilha,a partir da ocorrência"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5123-F7F5-47A8-880C-906BA1C86BA6}">
  <dimension ref="A1:I1527"/>
  <sheetViews>
    <sheetView tabSelected="1" topLeftCell="C1" zoomScaleNormal="100" workbookViewId="0">
      <selection activeCell="I3" sqref="I3"/>
    </sheetView>
  </sheetViews>
  <sheetFormatPr defaultColWidth="9.140625" defaultRowHeight="15" x14ac:dyDescent="0.25"/>
  <cols>
    <col min="1" max="1" width="14.140625" style="16" customWidth="1"/>
    <col min="2" max="2" width="14.140625" style="16" bestFit="1" customWidth="1"/>
    <col min="3" max="3" width="84.28515625" style="3" bestFit="1" customWidth="1"/>
    <col min="4" max="4" width="6" style="17" bestFit="1" customWidth="1"/>
    <col min="5" max="5" width="12.5703125" style="17" bestFit="1" customWidth="1"/>
    <col min="6" max="6" width="50.28515625" style="3" customWidth="1"/>
    <col min="7" max="7" width="12.5703125" style="17" bestFit="1" customWidth="1"/>
    <col min="8" max="8" width="50.28515625" style="3" customWidth="1"/>
    <col min="9" max="9" width="21.42578125" style="63" bestFit="1" customWidth="1"/>
    <col min="10" max="16384" width="9.140625" style="3"/>
  </cols>
  <sheetData>
    <row r="1" spans="1:9" ht="147" x14ac:dyDescent="0.25">
      <c r="A1" s="18" t="s">
        <v>31</v>
      </c>
      <c r="B1" s="18" t="s">
        <v>55</v>
      </c>
      <c r="C1" s="10" t="s">
        <v>56</v>
      </c>
      <c r="D1" s="19" t="s">
        <v>57</v>
      </c>
      <c r="E1" s="19" t="s">
        <v>58</v>
      </c>
      <c r="F1" s="10" t="s">
        <v>59</v>
      </c>
      <c r="G1" s="19" t="s">
        <v>58</v>
      </c>
      <c r="H1" s="10" t="s">
        <v>60</v>
      </c>
      <c r="I1" s="64" t="s">
        <v>3750</v>
      </c>
    </row>
    <row r="2" spans="1:9" x14ac:dyDescent="0.25">
      <c r="A2" s="16" t="s">
        <v>1925</v>
      </c>
      <c r="B2" s="16" t="s">
        <v>360</v>
      </c>
      <c r="D2" s="17" t="s">
        <v>736</v>
      </c>
      <c r="E2" s="17" t="s">
        <v>1249</v>
      </c>
      <c r="G2" s="17" t="s">
        <v>61</v>
      </c>
      <c r="I2" s="63" t="str" cm="1">
        <f t="array" aca="1" ref="I2" ca="1">_xlfn.LET(
_xlpm.linhas, COUNTA( B:B ),
_xlpm.array_matr, INDIRECT( "A2:A" &amp; _xlpm.linhas ),
_xlpm.array_qde, COUNTIF( _xlpm.array_matr, _xlpm.array_matr ),
_xlpm.filtrado, _xlfn._xlws.FILTER( _xlpm.array_matr, _xlpm.array_qde &gt; 1, "" ),
_xlfn.UNIQUE( _xlpm.filtrado )
)</f>
        <v/>
      </c>
    </row>
    <row r="3" spans="1:9" x14ac:dyDescent="0.25">
      <c r="A3" s="16" t="s">
        <v>1926</v>
      </c>
      <c r="B3" s="16" t="s">
        <v>370</v>
      </c>
      <c r="D3" s="17" t="s">
        <v>130</v>
      </c>
      <c r="E3" s="17" t="s">
        <v>1352</v>
      </c>
      <c r="G3" s="17" t="s">
        <v>63</v>
      </c>
    </row>
    <row r="4" spans="1:9" x14ac:dyDescent="0.25">
      <c r="A4" s="16" t="s">
        <v>1927</v>
      </c>
      <c r="B4" s="16" t="s">
        <v>371</v>
      </c>
      <c r="D4" s="17" t="s">
        <v>877</v>
      </c>
      <c r="E4" s="17" t="s">
        <v>3408</v>
      </c>
      <c r="G4" s="17" t="s">
        <v>125</v>
      </c>
    </row>
    <row r="5" spans="1:9" x14ac:dyDescent="0.25">
      <c r="A5" s="16" t="s">
        <v>1928</v>
      </c>
      <c r="B5" s="16" t="s">
        <v>372</v>
      </c>
      <c r="D5" s="17" t="s">
        <v>882</v>
      </c>
      <c r="E5" s="17" t="s">
        <v>1562</v>
      </c>
      <c r="G5" s="17" t="s">
        <v>145</v>
      </c>
    </row>
    <row r="6" spans="1:9" x14ac:dyDescent="0.25">
      <c r="A6" s="16" t="s">
        <v>1929</v>
      </c>
      <c r="B6" s="16" t="s">
        <v>373</v>
      </c>
      <c r="D6" s="17" t="s">
        <v>167</v>
      </c>
      <c r="E6" s="17" t="s">
        <v>335</v>
      </c>
      <c r="G6" s="17" t="s">
        <v>97</v>
      </c>
    </row>
    <row r="7" spans="1:9" x14ac:dyDescent="0.25">
      <c r="A7" s="16" t="s">
        <v>1930</v>
      </c>
      <c r="B7" s="16" t="s">
        <v>374</v>
      </c>
      <c r="D7" s="17" t="s">
        <v>97</v>
      </c>
      <c r="E7" s="17" t="s">
        <v>152</v>
      </c>
      <c r="G7" s="17" t="s">
        <v>98</v>
      </c>
    </row>
    <row r="8" spans="1:9" x14ac:dyDescent="0.25">
      <c r="A8" s="16" t="s">
        <v>1931</v>
      </c>
      <c r="B8" s="16" t="s">
        <v>375</v>
      </c>
      <c r="D8" s="17" t="s">
        <v>98</v>
      </c>
      <c r="E8" s="17" t="s">
        <v>3409</v>
      </c>
      <c r="G8" s="17" t="s">
        <v>99</v>
      </c>
    </row>
    <row r="9" spans="1:9" x14ac:dyDescent="0.25">
      <c r="A9" s="16" t="s">
        <v>1932</v>
      </c>
      <c r="B9" s="16" t="s">
        <v>376</v>
      </c>
      <c r="D9" s="17" t="s">
        <v>905</v>
      </c>
      <c r="E9" s="17" t="s">
        <v>3410</v>
      </c>
      <c r="G9" s="17" t="s">
        <v>106</v>
      </c>
    </row>
    <row r="10" spans="1:9" x14ac:dyDescent="0.25">
      <c r="A10" s="16" t="s">
        <v>1933</v>
      </c>
      <c r="B10" s="16" t="s">
        <v>377</v>
      </c>
      <c r="D10" s="17" t="s">
        <v>181</v>
      </c>
      <c r="E10" s="17" t="s">
        <v>3411</v>
      </c>
      <c r="G10" s="17" t="s">
        <v>927</v>
      </c>
    </row>
    <row r="11" spans="1:9" x14ac:dyDescent="0.25">
      <c r="A11" s="16" t="s">
        <v>1934</v>
      </c>
      <c r="B11" s="16" t="s">
        <v>378</v>
      </c>
      <c r="D11" s="17" t="s">
        <v>182</v>
      </c>
      <c r="E11" s="17" t="s">
        <v>3412</v>
      </c>
      <c r="G11" s="17" t="s">
        <v>157</v>
      </c>
    </row>
    <row r="12" spans="1:9" x14ac:dyDescent="0.25">
      <c r="A12" s="16" t="s">
        <v>1935</v>
      </c>
      <c r="B12" s="16" t="s">
        <v>379</v>
      </c>
      <c r="D12" s="17" t="s">
        <v>195</v>
      </c>
      <c r="E12" s="17" t="s">
        <v>1031</v>
      </c>
      <c r="G12" s="17" t="s">
        <v>989</v>
      </c>
    </row>
    <row r="13" spans="1:9" x14ac:dyDescent="0.25">
      <c r="A13" s="16" t="s">
        <v>1936</v>
      </c>
      <c r="B13" s="16" t="s">
        <v>361</v>
      </c>
      <c r="D13" s="17" t="s">
        <v>191</v>
      </c>
      <c r="E13" s="17" t="s">
        <v>3413</v>
      </c>
      <c r="G13" s="17" t="s">
        <v>1000</v>
      </c>
    </row>
    <row r="14" spans="1:9" x14ac:dyDescent="0.25">
      <c r="A14" s="16" t="s">
        <v>1937</v>
      </c>
      <c r="B14" s="16" t="s">
        <v>380</v>
      </c>
      <c r="D14" s="17" t="s">
        <v>219</v>
      </c>
      <c r="E14" s="17" t="s">
        <v>1849</v>
      </c>
      <c r="G14" s="17" t="s">
        <v>1010</v>
      </c>
    </row>
    <row r="15" spans="1:9" x14ac:dyDescent="0.25">
      <c r="A15" s="16" t="s">
        <v>1938</v>
      </c>
      <c r="B15" s="16" t="s">
        <v>381</v>
      </c>
      <c r="D15" s="17" t="s">
        <v>124</v>
      </c>
      <c r="E15" s="17" t="s">
        <v>112</v>
      </c>
      <c r="G15" s="17" t="s">
        <v>1031</v>
      </c>
    </row>
    <row r="16" spans="1:9" x14ac:dyDescent="0.25">
      <c r="A16" s="16" t="s">
        <v>1939</v>
      </c>
      <c r="B16" s="16" t="s">
        <v>382</v>
      </c>
      <c r="D16" s="17" t="s">
        <v>187</v>
      </c>
      <c r="E16" s="17" t="s">
        <v>276</v>
      </c>
      <c r="G16" s="17" t="s">
        <v>1042</v>
      </c>
    </row>
    <row r="17" spans="1:7" x14ac:dyDescent="0.25">
      <c r="A17" s="16" t="s">
        <v>1940</v>
      </c>
      <c r="B17" s="16" t="s">
        <v>383</v>
      </c>
      <c r="D17" s="17" t="s">
        <v>147</v>
      </c>
      <c r="E17" s="17" t="s">
        <v>3414</v>
      </c>
      <c r="G17" s="17" t="s">
        <v>178</v>
      </c>
    </row>
    <row r="18" spans="1:7" x14ac:dyDescent="0.25">
      <c r="A18" s="16" t="s">
        <v>1941</v>
      </c>
      <c r="B18" s="16" t="s">
        <v>384</v>
      </c>
      <c r="D18" s="17" t="s">
        <v>148</v>
      </c>
      <c r="E18" s="17" t="s">
        <v>1119</v>
      </c>
      <c r="G18" s="17" t="s">
        <v>1063</v>
      </c>
    </row>
    <row r="19" spans="1:7" x14ac:dyDescent="0.25">
      <c r="A19" s="16" t="s">
        <v>1942</v>
      </c>
      <c r="B19" s="16" t="s">
        <v>385</v>
      </c>
      <c r="D19" s="17" t="s">
        <v>155</v>
      </c>
      <c r="E19" s="17" t="s">
        <v>3415</v>
      </c>
      <c r="G19" s="17" t="s">
        <v>1074</v>
      </c>
    </row>
    <row r="20" spans="1:7" x14ac:dyDescent="0.25">
      <c r="A20" s="16" t="s">
        <v>1943</v>
      </c>
      <c r="B20" s="16" t="s">
        <v>386</v>
      </c>
      <c r="D20" s="17" t="s">
        <v>228</v>
      </c>
      <c r="E20" s="17" t="s">
        <v>3416</v>
      </c>
      <c r="G20" s="17" t="s">
        <v>1085</v>
      </c>
    </row>
    <row r="21" spans="1:7" x14ac:dyDescent="0.25">
      <c r="A21" s="16" t="s">
        <v>1944</v>
      </c>
      <c r="B21" s="16" t="s">
        <v>387</v>
      </c>
      <c r="D21" s="17" t="s">
        <v>225</v>
      </c>
      <c r="E21" s="17" t="s">
        <v>3417</v>
      </c>
      <c r="G21" s="17" t="s">
        <v>1096</v>
      </c>
    </row>
    <row r="22" spans="1:7" x14ac:dyDescent="0.25">
      <c r="A22" s="16" t="s">
        <v>1945</v>
      </c>
      <c r="B22" s="16" t="s">
        <v>388</v>
      </c>
      <c r="D22" s="17" t="s">
        <v>906</v>
      </c>
      <c r="E22" s="17" t="s">
        <v>293</v>
      </c>
      <c r="G22" s="17" t="s">
        <v>1107</v>
      </c>
    </row>
    <row r="23" spans="1:7" x14ac:dyDescent="0.25">
      <c r="A23" s="16" t="s">
        <v>1946</v>
      </c>
      <c r="B23" s="16" t="s">
        <v>389</v>
      </c>
      <c r="D23" s="17" t="s">
        <v>194</v>
      </c>
      <c r="E23" s="17" t="s">
        <v>335</v>
      </c>
      <c r="G23" s="17" t="s">
        <v>1118</v>
      </c>
    </row>
    <row r="24" spans="1:7" x14ac:dyDescent="0.25">
      <c r="A24" s="16" t="s">
        <v>1947</v>
      </c>
      <c r="B24" s="16" t="s">
        <v>363</v>
      </c>
      <c r="D24" s="17" t="s">
        <v>235</v>
      </c>
      <c r="E24" s="17" t="s">
        <v>3418</v>
      </c>
      <c r="G24" s="17" t="s">
        <v>1129</v>
      </c>
    </row>
    <row r="25" spans="1:7" x14ac:dyDescent="0.25">
      <c r="A25" s="16" t="s">
        <v>1948</v>
      </c>
      <c r="B25" s="16" t="s">
        <v>390</v>
      </c>
      <c r="D25" s="17" t="s">
        <v>230</v>
      </c>
      <c r="E25" s="17" t="s">
        <v>3419</v>
      </c>
      <c r="G25" s="17" t="s">
        <v>1140</v>
      </c>
    </row>
    <row r="26" spans="1:7" x14ac:dyDescent="0.25">
      <c r="A26" s="16" t="s">
        <v>1949</v>
      </c>
      <c r="B26" s="16" t="s">
        <v>391</v>
      </c>
      <c r="D26" s="17" t="s">
        <v>242</v>
      </c>
      <c r="E26" s="17" t="s">
        <v>3420</v>
      </c>
      <c r="G26" s="17" t="s">
        <v>1249</v>
      </c>
    </row>
    <row r="27" spans="1:7" x14ac:dyDescent="0.25">
      <c r="A27" s="16" t="s">
        <v>1950</v>
      </c>
      <c r="B27" s="16" t="s">
        <v>392</v>
      </c>
      <c r="D27" s="17" t="s">
        <v>238</v>
      </c>
      <c r="E27" s="17" t="s">
        <v>294</v>
      </c>
      <c r="G27" s="17" t="s">
        <v>1352</v>
      </c>
    </row>
    <row r="28" spans="1:7" x14ac:dyDescent="0.25">
      <c r="A28" s="16" t="s">
        <v>1951</v>
      </c>
      <c r="B28" s="16" t="s">
        <v>394</v>
      </c>
      <c r="D28" s="17" t="s">
        <v>150</v>
      </c>
      <c r="E28" s="17" t="s">
        <v>3421</v>
      </c>
      <c r="G28" s="17" t="s">
        <v>1362</v>
      </c>
    </row>
    <row r="29" spans="1:7" x14ac:dyDescent="0.25">
      <c r="A29" s="16" t="s">
        <v>1952</v>
      </c>
      <c r="B29" s="16" t="s">
        <v>395</v>
      </c>
      <c r="D29" s="17" t="s">
        <v>240</v>
      </c>
      <c r="E29" s="17" t="s">
        <v>3422</v>
      </c>
      <c r="G29" s="17" t="s">
        <v>1373</v>
      </c>
    </row>
    <row r="30" spans="1:7" x14ac:dyDescent="0.25">
      <c r="A30" s="16" t="s">
        <v>1953</v>
      </c>
      <c r="B30" s="16" t="s">
        <v>396</v>
      </c>
      <c r="D30" s="17" t="s">
        <v>912</v>
      </c>
      <c r="E30" s="17" t="s">
        <v>3423</v>
      </c>
      <c r="G30" s="17" t="s">
        <v>1384</v>
      </c>
    </row>
    <row r="31" spans="1:7" x14ac:dyDescent="0.25">
      <c r="A31" s="16" t="s">
        <v>1954</v>
      </c>
      <c r="B31" s="16" t="s">
        <v>364</v>
      </c>
      <c r="D31" s="17" t="s">
        <v>913</v>
      </c>
      <c r="E31" s="17" t="s">
        <v>838</v>
      </c>
      <c r="G31" s="17" t="s">
        <v>1395</v>
      </c>
    </row>
    <row r="32" spans="1:7" x14ac:dyDescent="0.25">
      <c r="A32" s="16" t="s">
        <v>1955</v>
      </c>
      <c r="B32" s="16" t="s">
        <v>365</v>
      </c>
      <c r="D32" s="17" t="s">
        <v>914</v>
      </c>
      <c r="E32" s="17" t="s">
        <v>3424</v>
      </c>
      <c r="G32" s="17" t="s">
        <v>96</v>
      </c>
    </row>
    <row r="33" spans="1:7" x14ac:dyDescent="0.25">
      <c r="A33" s="16" t="s">
        <v>1956</v>
      </c>
      <c r="B33" s="16" t="s">
        <v>366</v>
      </c>
      <c r="D33" s="17" t="s">
        <v>915</v>
      </c>
      <c r="E33" s="17" t="s">
        <v>3425</v>
      </c>
      <c r="G33" s="17" t="s">
        <v>163</v>
      </c>
    </row>
    <row r="34" spans="1:7" x14ac:dyDescent="0.25">
      <c r="A34" s="16" t="s">
        <v>1957</v>
      </c>
      <c r="B34" s="16" t="s">
        <v>367</v>
      </c>
      <c r="D34" s="17" t="s">
        <v>916</v>
      </c>
      <c r="E34" s="17" t="s">
        <v>3426</v>
      </c>
      <c r="G34" s="17" t="s">
        <v>1476</v>
      </c>
    </row>
    <row r="35" spans="1:7" x14ac:dyDescent="0.25">
      <c r="A35" s="16" t="s">
        <v>1958</v>
      </c>
      <c r="B35" s="16" t="s">
        <v>368</v>
      </c>
      <c r="D35" s="17" t="s">
        <v>917</v>
      </c>
      <c r="E35" s="17" t="s">
        <v>3427</v>
      </c>
      <c r="G35" s="17" t="s">
        <v>1486</v>
      </c>
    </row>
    <row r="36" spans="1:7" x14ac:dyDescent="0.25">
      <c r="A36" s="16" t="s">
        <v>1959</v>
      </c>
      <c r="B36" s="16" t="s">
        <v>369</v>
      </c>
      <c r="D36" s="17" t="s">
        <v>919</v>
      </c>
      <c r="E36" s="17" t="s">
        <v>3428</v>
      </c>
      <c r="G36" s="17" t="s">
        <v>1497</v>
      </c>
    </row>
    <row r="37" spans="1:7" x14ac:dyDescent="0.25">
      <c r="A37" s="16" t="s">
        <v>1960</v>
      </c>
      <c r="B37" s="16" t="s">
        <v>351</v>
      </c>
      <c r="D37" s="17" t="s">
        <v>933</v>
      </c>
      <c r="E37" s="17" t="s">
        <v>3429</v>
      </c>
      <c r="G37" s="17" t="s">
        <v>1562</v>
      </c>
    </row>
    <row r="38" spans="1:7" x14ac:dyDescent="0.25">
      <c r="A38" s="16" t="s">
        <v>1961</v>
      </c>
      <c r="B38" s="16" t="s">
        <v>125</v>
      </c>
      <c r="D38" s="17" t="s">
        <v>934</v>
      </c>
      <c r="E38" s="17" t="s">
        <v>3430</v>
      </c>
      <c r="G38" s="17" t="s">
        <v>1573</v>
      </c>
    </row>
    <row r="39" spans="1:7" x14ac:dyDescent="0.25">
      <c r="A39" s="16" t="s">
        <v>1962</v>
      </c>
      <c r="B39" s="16" t="s">
        <v>340</v>
      </c>
      <c r="D39" s="17" t="s">
        <v>947</v>
      </c>
      <c r="E39" s="17" t="s">
        <v>989</v>
      </c>
      <c r="G39" s="17" t="s">
        <v>1584</v>
      </c>
    </row>
    <row r="40" spans="1:7" x14ac:dyDescent="0.25">
      <c r="A40" s="16" t="s">
        <v>1963</v>
      </c>
      <c r="B40" s="16" t="s">
        <v>102</v>
      </c>
      <c r="D40" s="17" t="s">
        <v>216</v>
      </c>
      <c r="E40" s="17" t="s">
        <v>3431</v>
      </c>
      <c r="G40" s="17" t="s">
        <v>1595</v>
      </c>
    </row>
    <row r="41" spans="1:7" x14ac:dyDescent="0.25">
      <c r="A41" s="16" t="s">
        <v>1964</v>
      </c>
      <c r="B41" s="16" t="s">
        <v>362</v>
      </c>
      <c r="D41" s="17" t="s">
        <v>126</v>
      </c>
      <c r="E41" s="17" t="s">
        <v>160</v>
      </c>
      <c r="G41" s="17" t="s">
        <v>1606</v>
      </c>
    </row>
    <row r="42" spans="1:7" x14ac:dyDescent="0.25">
      <c r="A42" s="16" t="s">
        <v>1965</v>
      </c>
      <c r="B42" s="16" t="s">
        <v>103</v>
      </c>
      <c r="D42" s="17" t="s">
        <v>969</v>
      </c>
      <c r="E42" s="17" t="s">
        <v>3432</v>
      </c>
      <c r="G42" s="17" t="s">
        <v>1614</v>
      </c>
    </row>
    <row r="43" spans="1:7" x14ac:dyDescent="0.25">
      <c r="A43" s="16" t="s">
        <v>1966</v>
      </c>
      <c r="B43" s="16" t="s">
        <v>174</v>
      </c>
      <c r="D43" s="17" t="s">
        <v>971</v>
      </c>
      <c r="E43" s="17" t="s">
        <v>3433</v>
      </c>
      <c r="G43" s="17" t="s">
        <v>1625</v>
      </c>
    </row>
    <row r="44" spans="1:7" x14ac:dyDescent="0.25">
      <c r="A44" s="16" t="s">
        <v>1967</v>
      </c>
      <c r="B44" s="16" t="s">
        <v>393</v>
      </c>
      <c r="D44" s="17" t="s">
        <v>974</v>
      </c>
      <c r="E44" s="17" t="s">
        <v>3434</v>
      </c>
      <c r="G44" s="17" t="s">
        <v>1636</v>
      </c>
    </row>
    <row r="45" spans="1:7" x14ac:dyDescent="0.25">
      <c r="A45" s="16" t="s">
        <v>1968</v>
      </c>
      <c r="B45" s="16" t="s">
        <v>404</v>
      </c>
      <c r="D45" s="17" t="s">
        <v>157</v>
      </c>
      <c r="E45" s="17" t="s">
        <v>3435</v>
      </c>
      <c r="G45" s="17" t="s">
        <v>1646</v>
      </c>
    </row>
    <row r="46" spans="1:7" x14ac:dyDescent="0.25">
      <c r="A46" s="16" t="s">
        <v>1969</v>
      </c>
      <c r="B46" s="16" t="s">
        <v>202</v>
      </c>
      <c r="D46" s="17" t="s">
        <v>985</v>
      </c>
      <c r="E46" s="17" t="s">
        <v>3436</v>
      </c>
      <c r="G46" s="17" t="s">
        <v>1655</v>
      </c>
    </row>
    <row r="47" spans="1:7" x14ac:dyDescent="0.25">
      <c r="A47" s="16" t="s">
        <v>1970</v>
      </c>
      <c r="B47" s="16" t="s">
        <v>422</v>
      </c>
      <c r="D47" s="17" t="s">
        <v>994</v>
      </c>
      <c r="E47" s="17" t="s">
        <v>3437</v>
      </c>
      <c r="G47" s="17" t="s">
        <v>246</v>
      </c>
    </row>
    <row r="48" spans="1:7" x14ac:dyDescent="0.25">
      <c r="A48" s="16" t="s">
        <v>1971</v>
      </c>
      <c r="B48" s="16" t="s">
        <v>432</v>
      </c>
      <c r="D48" s="17" t="s">
        <v>998</v>
      </c>
      <c r="E48" s="17" t="s">
        <v>3438</v>
      </c>
      <c r="G48" s="17" t="s">
        <v>112</v>
      </c>
    </row>
    <row r="49" spans="1:7" x14ac:dyDescent="0.25">
      <c r="A49" s="16" t="s">
        <v>1972</v>
      </c>
      <c r="B49" s="16" t="s">
        <v>145</v>
      </c>
      <c r="D49" s="17" t="s">
        <v>3439</v>
      </c>
      <c r="E49" s="17" t="s">
        <v>3440</v>
      </c>
      <c r="G49" s="17" t="s">
        <v>102</v>
      </c>
    </row>
    <row r="50" spans="1:7" x14ac:dyDescent="0.25">
      <c r="A50" s="16" t="s">
        <v>1973</v>
      </c>
      <c r="B50" s="16" t="s">
        <v>206</v>
      </c>
      <c r="D50" s="17" t="s">
        <v>3441</v>
      </c>
      <c r="E50" s="17" t="s">
        <v>294</v>
      </c>
      <c r="G50" s="17" t="s">
        <v>362</v>
      </c>
    </row>
    <row r="51" spans="1:7" x14ac:dyDescent="0.25">
      <c r="A51" s="16" t="s">
        <v>1974</v>
      </c>
      <c r="B51" s="16" t="s">
        <v>203</v>
      </c>
      <c r="D51" s="17" t="s">
        <v>3442</v>
      </c>
      <c r="E51" s="17" t="s">
        <v>3443</v>
      </c>
      <c r="G51" s="17" t="s">
        <v>103</v>
      </c>
    </row>
    <row r="52" spans="1:7" x14ac:dyDescent="0.25">
      <c r="A52" s="16" t="s">
        <v>1975</v>
      </c>
      <c r="B52" s="16" t="s">
        <v>113</v>
      </c>
      <c r="D52" s="17" t="s">
        <v>3444</v>
      </c>
      <c r="E52" s="17" t="s">
        <v>3445</v>
      </c>
      <c r="G52" s="17" t="s">
        <v>174</v>
      </c>
    </row>
    <row r="53" spans="1:7" x14ac:dyDescent="0.25">
      <c r="A53" s="16" t="s">
        <v>1976</v>
      </c>
      <c r="B53" s="16" t="s">
        <v>189</v>
      </c>
      <c r="D53" s="17" t="s">
        <v>1002</v>
      </c>
      <c r="E53" s="17" t="s">
        <v>3446</v>
      </c>
      <c r="G53" s="17" t="s">
        <v>404</v>
      </c>
    </row>
    <row r="54" spans="1:7" x14ac:dyDescent="0.25">
      <c r="A54" s="16" t="s">
        <v>1977</v>
      </c>
      <c r="B54" s="16" t="s">
        <v>161</v>
      </c>
      <c r="D54" s="17" t="s">
        <v>1003</v>
      </c>
      <c r="E54" s="17" t="s">
        <v>3447</v>
      </c>
      <c r="G54" s="17" t="s">
        <v>202</v>
      </c>
    </row>
    <row r="55" spans="1:7" x14ac:dyDescent="0.25">
      <c r="A55" s="16" t="s">
        <v>1978</v>
      </c>
      <c r="B55" s="16" t="s">
        <v>487</v>
      </c>
      <c r="D55" s="17" t="s">
        <v>1004</v>
      </c>
      <c r="E55" s="17" t="s">
        <v>3448</v>
      </c>
      <c r="G55" s="17" t="s">
        <v>203</v>
      </c>
    </row>
    <row r="56" spans="1:7" x14ac:dyDescent="0.25">
      <c r="A56" s="16" t="s">
        <v>1979</v>
      </c>
      <c r="B56" s="16" t="s">
        <v>199</v>
      </c>
      <c r="D56" s="17" t="s">
        <v>1005</v>
      </c>
      <c r="E56" s="17" t="s">
        <v>3449</v>
      </c>
      <c r="G56" s="17" t="s">
        <v>113</v>
      </c>
    </row>
    <row r="57" spans="1:7" x14ac:dyDescent="0.25">
      <c r="A57" s="16" t="s">
        <v>1980</v>
      </c>
      <c r="B57" s="16" t="s">
        <v>508</v>
      </c>
      <c r="D57" s="17" t="s">
        <v>1007</v>
      </c>
      <c r="E57" s="17" t="s">
        <v>3450</v>
      </c>
      <c r="G57" s="17" t="s">
        <v>487</v>
      </c>
    </row>
    <row r="58" spans="1:7" x14ac:dyDescent="0.25">
      <c r="A58" s="16" t="s">
        <v>1981</v>
      </c>
      <c r="B58" s="16" t="s">
        <v>519</v>
      </c>
      <c r="D58" s="17" t="s">
        <v>1009</v>
      </c>
      <c r="E58" s="17" t="s">
        <v>3451</v>
      </c>
      <c r="G58" s="17" t="s">
        <v>199</v>
      </c>
    </row>
    <row r="59" spans="1:7" x14ac:dyDescent="0.25">
      <c r="A59" s="16" t="s">
        <v>1982</v>
      </c>
      <c r="B59" s="16" t="s">
        <v>114</v>
      </c>
      <c r="D59" s="17" t="s">
        <v>1011</v>
      </c>
      <c r="E59" s="17" t="s">
        <v>3452</v>
      </c>
      <c r="G59" s="17" t="s">
        <v>141</v>
      </c>
    </row>
    <row r="60" spans="1:7" x14ac:dyDescent="0.25">
      <c r="A60" s="16" t="s">
        <v>1983</v>
      </c>
      <c r="B60" s="16" t="s">
        <v>97</v>
      </c>
      <c r="D60" s="17" t="s">
        <v>1046</v>
      </c>
      <c r="E60" s="17" t="s">
        <v>3453</v>
      </c>
      <c r="G60" s="17" t="s">
        <v>645</v>
      </c>
    </row>
    <row r="61" spans="1:7" x14ac:dyDescent="0.25">
      <c r="A61" s="16" t="s">
        <v>1984</v>
      </c>
      <c r="B61" s="16" t="s">
        <v>115</v>
      </c>
      <c r="D61" s="17" t="s">
        <v>1049</v>
      </c>
      <c r="E61" s="17" t="s">
        <v>3454</v>
      </c>
      <c r="G61" s="17" t="s">
        <v>130</v>
      </c>
    </row>
    <row r="62" spans="1:7" x14ac:dyDescent="0.25">
      <c r="A62" s="16" t="s">
        <v>1985</v>
      </c>
      <c r="B62" s="16" t="s">
        <v>141</v>
      </c>
      <c r="D62" s="17" t="s">
        <v>1060</v>
      </c>
      <c r="E62" s="17" t="s">
        <v>3455</v>
      </c>
      <c r="G62" s="17" t="s">
        <v>131</v>
      </c>
    </row>
    <row r="63" spans="1:7" x14ac:dyDescent="0.25">
      <c r="A63" s="16" t="s">
        <v>1986</v>
      </c>
      <c r="B63" s="16" t="s">
        <v>554</v>
      </c>
      <c r="D63" s="17" t="s">
        <v>1072</v>
      </c>
      <c r="E63" s="17" t="s">
        <v>3456</v>
      </c>
      <c r="G63" s="17" t="s">
        <v>855</v>
      </c>
    </row>
    <row r="64" spans="1:7" x14ac:dyDescent="0.25">
      <c r="A64" s="16" t="s">
        <v>1987</v>
      </c>
      <c r="B64" s="16" t="s">
        <v>563</v>
      </c>
      <c r="D64" s="17" t="s">
        <v>1073</v>
      </c>
      <c r="E64" s="17" t="s">
        <v>3457</v>
      </c>
      <c r="G64" s="17" t="s">
        <v>117</v>
      </c>
    </row>
    <row r="65" spans="1:7" x14ac:dyDescent="0.25">
      <c r="A65" s="16" t="s">
        <v>1988</v>
      </c>
      <c r="B65" s="16" t="s">
        <v>572</v>
      </c>
      <c r="D65" s="17" t="s">
        <v>1112</v>
      </c>
      <c r="E65" s="17" t="s">
        <v>3458</v>
      </c>
      <c r="G65" s="17" t="s">
        <v>111</v>
      </c>
    </row>
    <row r="66" spans="1:7" x14ac:dyDescent="0.25">
      <c r="A66" s="16" t="s">
        <v>1989</v>
      </c>
      <c r="B66" s="16" t="s">
        <v>583</v>
      </c>
      <c r="D66" s="17" t="s">
        <v>1117</v>
      </c>
      <c r="E66" s="17" t="s">
        <v>3459</v>
      </c>
      <c r="G66" s="17" t="s">
        <v>152</v>
      </c>
    </row>
    <row r="67" spans="1:7" x14ac:dyDescent="0.25">
      <c r="A67" s="16" t="s">
        <v>1990</v>
      </c>
      <c r="B67" s="16" t="s">
        <v>594</v>
      </c>
      <c r="D67" s="17" t="s">
        <v>1118</v>
      </c>
      <c r="E67" s="17" t="s">
        <v>335</v>
      </c>
      <c r="G67" s="17" t="s">
        <v>882</v>
      </c>
    </row>
    <row r="68" spans="1:7" x14ac:dyDescent="0.25">
      <c r="A68" s="16" t="s">
        <v>1991</v>
      </c>
      <c r="B68" s="16" t="s">
        <v>605</v>
      </c>
      <c r="D68" s="17" t="s">
        <v>1129</v>
      </c>
      <c r="E68" s="17" t="s">
        <v>3460</v>
      </c>
      <c r="G68" s="17" t="s">
        <v>162</v>
      </c>
    </row>
    <row r="69" spans="1:7" x14ac:dyDescent="0.25">
      <c r="A69" s="16" t="s">
        <v>1992</v>
      </c>
      <c r="B69" s="16" t="s">
        <v>142</v>
      </c>
      <c r="D69" s="17" t="s">
        <v>1151</v>
      </c>
      <c r="E69" s="17" t="s">
        <v>3461</v>
      </c>
      <c r="G69" s="17" t="s">
        <v>160</v>
      </c>
    </row>
    <row r="70" spans="1:7" x14ac:dyDescent="0.25">
      <c r="A70" s="16" t="s">
        <v>1993</v>
      </c>
      <c r="B70" s="16" t="s">
        <v>143</v>
      </c>
      <c r="D70" s="17" t="s">
        <v>1161</v>
      </c>
      <c r="E70" s="17" t="s">
        <v>3462</v>
      </c>
      <c r="G70" s="17" t="s">
        <v>171</v>
      </c>
    </row>
    <row r="71" spans="1:7" x14ac:dyDescent="0.25">
      <c r="A71" s="16" t="s">
        <v>1994</v>
      </c>
      <c r="B71" s="16" t="s">
        <v>98</v>
      </c>
      <c r="D71" s="17" t="s">
        <v>1244</v>
      </c>
      <c r="E71" s="17" t="s">
        <v>3463</v>
      </c>
      <c r="G71" s="17" t="s">
        <v>165</v>
      </c>
    </row>
    <row r="72" spans="1:7" x14ac:dyDescent="0.25">
      <c r="A72" s="16" t="s">
        <v>1995</v>
      </c>
      <c r="B72" s="16" t="s">
        <v>635</v>
      </c>
      <c r="D72" s="17" t="s">
        <v>1256</v>
      </c>
      <c r="E72" s="17" t="s">
        <v>3464</v>
      </c>
      <c r="G72" s="17" t="s">
        <v>173</v>
      </c>
    </row>
    <row r="73" spans="1:7" x14ac:dyDescent="0.25">
      <c r="A73" s="16" t="s">
        <v>1996</v>
      </c>
      <c r="B73" s="16" t="s">
        <v>645</v>
      </c>
      <c r="D73" s="17" t="s">
        <v>1285</v>
      </c>
      <c r="E73" s="17" t="s">
        <v>3465</v>
      </c>
      <c r="G73" s="17" t="s">
        <v>149</v>
      </c>
    </row>
    <row r="74" spans="1:7" x14ac:dyDescent="0.25">
      <c r="A74" s="16" t="s">
        <v>1997</v>
      </c>
      <c r="B74" s="16" t="s">
        <v>655</v>
      </c>
      <c r="D74" s="17" t="s">
        <v>158</v>
      </c>
      <c r="E74" s="17" t="s">
        <v>3466</v>
      </c>
      <c r="G74" s="17" t="s">
        <v>196</v>
      </c>
    </row>
    <row r="75" spans="1:7" x14ac:dyDescent="0.25">
      <c r="A75" s="16" t="s">
        <v>1998</v>
      </c>
      <c r="B75" s="16" t="s">
        <v>666</v>
      </c>
      <c r="D75" s="17" t="s">
        <v>1357</v>
      </c>
      <c r="E75" s="17" t="s">
        <v>295</v>
      </c>
      <c r="G75" s="17" t="s">
        <v>133</v>
      </c>
    </row>
    <row r="76" spans="1:7" x14ac:dyDescent="0.25">
      <c r="A76" s="16" t="s">
        <v>1999</v>
      </c>
      <c r="B76" s="16" t="s">
        <v>676</v>
      </c>
      <c r="D76" s="17" t="s">
        <v>1377</v>
      </c>
      <c r="E76" s="17" t="s">
        <v>3467</v>
      </c>
      <c r="G76" s="17" t="s">
        <v>197</v>
      </c>
    </row>
    <row r="77" spans="1:7" x14ac:dyDescent="0.25">
      <c r="A77" s="16" t="s">
        <v>2000</v>
      </c>
      <c r="B77" s="16" t="s">
        <v>686</v>
      </c>
      <c r="D77" s="17" t="s">
        <v>1380</v>
      </c>
      <c r="E77" s="17" t="s">
        <v>3468</v>
      </c>
      <c r="G77" s="17" t="s">
        <v>220</v>
      </c>
    </row>
    <row r="78" spans="1:7" x14ac:dyDescent="0.25">
      <c r="A78" s="16" t="s">
        <v>2001</v>
      </c>
      <c r="B78" s="16" t="s">
        <v>201</v>
      </c>
      <c r="D78" s="17" t="s">
        <v>1393</v>
      </c>
      <c r="E78" s="17" t="s">
        <v>3469</v>
      </c>
      <c r="G78" s="17" t="s">
        <v>121</v>
      </c>
    </row>
    <row r="79" spans="1:7" x14ac:dyDescent="0.25">
      <c r="A79" s="16" t="s">
        <v>2002</v>
      </c>
      <c r="B79" s="16" t="s">
        <v>706</v>
      </c>
      <c r="D79" s="17" t="s">
        <v>1394</v>
      </c>
      <c r="E79" s="17" t="s">
        <v>3470</v>
      </c>
      <c r="G79" s="17" t="s">
        <v>122</v>
      </c>
    </row>
    <row r="80" spans="1:7" x14ac:dyDescent="0.25">
      <c r="A80" s="16" t="s">
        <v>2003</v>
      </c>
      <c r="B80" s="16" t="s">
        <v>716</v>
      </c>
      <c r="D80" s="17" t="s">
        <v>1396</v>
      </c>
      <c r="E80" s="17" t="s">
        <v>3471</v>
      </c>
      <c r="G80" s="17" t="s">
        <v>905</v>
      </c>
    </row>
    <row r="81" spans="1:7" x14ac:dyDescent="0.25">
      <c r="A81" s="16" t="s">
        <v>2004</v>
      </c>
      <c r="B81" s="16" t="s">
        <v>727</v>
      </c>
      <c r="D81" s="17" t="s">
        <v>1461</v>
      </c>
      <c r="E81" s="17" t="s">
        <v>3472</v>
      </c>
      <c r="G81" s="17" t="s">
        <v>182</v>
      </c>
    </row>
    <row r="82" spans="1:7" x14ac:dyDescent="0.25">
      <c r="A82" s="16" t="s">
        <v>2005</v>
      </c>
      <c r="B82" s="16" t="s">
        <v>99</v>
      </c>
      <c r="D82" s="17" t="s">
        <v>1463</v>
      </c>
      <c r="E82" s="17" t="s">
        <v>3473</v>
      </c>
      <c r="G82" s="17" t="s">
        <v>124</v>
      </c>
    </row>
    <row r="83" spans="1:7" x14ac:dyDescent="0.25">
      <c r="A83" s="16" t="s">
        <v>2006</v>
      </c>
      <c r="B83" s="16" t="s">
        <v>736</v>
      </c>
      <c r="D83" s="17" t="s">
        <v>3474</v>
      </c>
      <c r="E83" s="17" t="s">
        <v>3475</v>
      </c>
      <c r="G83" s="17" t="s">
        <v>227</v>
      </c>
    </row>
    <row r="84" spans="1:7" x14ac:dyDescent="0.25">
      <c r="A84" s="16" t="s">
        <v>2007</v>
      </c>
      <c r="B84" s="16" t="s">
        <v>130</v>
      </c>
      <c r="D84" s="17" t="s">
        <v>3476</v>
      </c>
      <c r="E84" s="17" t="s">
        <v>3477</v>
      </c>
      <c r="G84" s="17" t="s">
        <v>225</v>
      </c>
    </row>
    <row r="85" spans="1:7" x14ac:dyDescent="0.25">
      <c r="A85" s="16" t="s">
        <v>2008</v>
      </c>
      <c r="B85" s="16" t="s">
        <v>192</v>
      </c>
      <c r="D85" s="17" t="s">
        <v>3478</v>
      </c>
      <c r="E85" s="17" t="s">
        <v>3479</v>
      </c>
      <c r="G85" s="17" t="s">
        <v>177</v>
      </c>
    </row>
    <row r="86" spans="1:7" x14ac:dyDescent="0.25">
      <c r="A86" s="16" t="s">
        <v>2009</v>
      </c>
      <c r="B86" s="16" t="s">
        <v>116</v>
      </c>
      <c r="D86" s="17" t="s">
        <v>3480</v>
      </c>
      <c r="E86" s="17" t="s">
        <v>3481</v>
      </c>
      <c r="G86" s="17" t="s">
        <v>235</v>
      </c>
    </row>
    <row r="87" spans="1:7" x14ac:dyDescent="0.25">
      <c r="A87" s="16" t="s">
        <v>2010</v>
      </c>
      <c r="B87" s="16" t="s">
        <v>209</v>
      </c>
      <c r="D87" s="17" t="s">
        <v>1464</v>
      </c>
      <c r="E87" s="17" t="s">
        <v>3482</v>
      </c>
      <c r="G87" s="17" t="s">
        <v>242</v>
      </c>
    </row>
    <row r="88" spans="1:7" x14ac:dyDescent="0.25">
      <c r="A88" s="16" t="s">
        <v>2011</v>
      </c>
      <c r="B88" s="16" t="s">
        <v>211</v>
      </c>
      <c r="D88" s="17" t="s">
        <v>3483</v>
      </c>
      <c r="E88" s="17" t="s">
        <v>3484</v>
      </c>
      <c r="G88" s="17" t="s">
        <v>244</v>
      </c>
    </row>
    <row r="89" spans="1:7" x14ac:dyDescent="0.25">
      <c r="A89" s="16" t="s">
        <v>2012</v>
      </c>
      <c r="B89" s="16" t="s">
        <v>794</v>
      </c>
      <c r="D89" s="17" t="s">
        <v>1465</v>
      </c>
      <c r="E89" s="17" t="s">
        <v>3485</v>
      </c>
      <c r="G89" s="17" t="s">
        <v>154</v>
      </c>
    </row>
    <row r="90" spans="1:7" x14ac:dyDescent="0.25">
      <c r="A90" s="16" t="s">
        <v>2013</v>
      </c>
      <c r="B90" s="16" t="s">
        <v>185</v>
      </c>
      <c r="D90" s="17" t="s">
        <v>1466</v>
      </c>
      <c r="E90" s="17" t="s">
        <v>3486</v>
      </c>
      <c r="G90" s="17" t="s">
        <v>245</v>
      </c>
    </row>
    <row r="91" spans="1:7" x14ac:dyDescent="0.25">
      <c r="A91" s="16" t="s">
        <v>2014</v>
      </c>
      <c r="B91" s="16" t="s">
        <v>815</v>
      </c>
      <c r="D91" s="17" t="s">
        <v>1467</v>
      </c>
      <c r="E91" s="17" t="s">
        <v>3487</v>
      </c>
      <c r="G91" s="17" t="s">
        <v>907</v>
      </c>
    </row>
    <row r="92" spans="1:7" x14ac:dyDescent="0.25">
      <c r="A92" s="16" t="s">
        <v>2015</v>
      </c>
      <c r="B92" s="16" t="s">
        <v>232</v>
      </c>
      <c r="D92" s="17" t="s">
        <v>1468</v>
      </c>
      <c r="E92" s="17" t="s">
        <v>3488</v>
      </c>
      <c r="G92" s="17" t="s">
        <v>908</v>
      </c>
    </row>
    <row r="93" spans="1:7" x14ac:dyDescent="0.25">
      <c r="A93" s="16" t="s">
        <v>2016</v>
      </c>
      <c r="B93" s="16" t="s">
        <v>106</v>
      </c>
      <c r="D93" s="17" t="s">
        <v>1469</v>
      </c>
      <c r="E93" s="17" t="s">
        <v>3489</v>
      </c>
      <c r="G93" s="17" t="s">
        <v>129</v>
      </c>
    </row>
    <row r="94" spans="1:7" x14ac:dyDescent="0.25">
      <c r="A94" s="16" t="s">
        <v>2017</v>
      </c>
      <c r="B94" s="16" t="s">
        <v>834</v>
      </c>
      <c r="D94" s="17" t="s">
        <v>3490</v>
      </c>
      <c r="E94" s="17" t="s">
        <v>3491</v>
      </c>
      <c r="G94" s="17" t="s">
        <v>240</v>
      </c>
    </row>
    <row r="95" spans="1:7" x14ac:dyDescent="0.25">
      <c r="A95" s="16" t="s">
        <v>2018</v>
      </c>
      <c r="B95" s="16" t="s">
        <v>131</v>
      </c>
      <c r="D95" s="17" t="s">
        <v>3492</v>
      </c>
      <c r="E95" s="17" t="s">
        <v>3493</v>
      </c>
      <c r="G95" s="17" t="s">
        <v>911</v>
      </c>
    </row>
    <row r="96" spans="1:7" x14ac:dyDescent="0.25">
      <c r="A96" s="16" t="s">
        <v>2019</v>
      </c>
      <c r="B96" s="16" t="s">
        <v>841</v>
      </c>
      <c r="D96" s="17" t="s">
        <v>1470</v>
      </c>
      <c r="E96" s="17" t="s">
        <v>399</v>
      </c>
      <c r="G96" s="17" t="s">
        <v>917</v>
      </c>
    </row>
    <row r="97" spans="1:7" x14ac:dyDescent="0.25">
      <c r="A97" s="16" t="s">
        <v>2020</v>
      </c>
      <c r="B97" s="16" t="s">
        <v>843</v>
      </c>
      <c r="D97" s="17" t="s">
        <v>3494</v>
      </c>
      <c r="E97" s="17" t="s">
        <v>911</v>
      </c>
      <c r="G97" s="17" t="s">
        <v>922</v>
      </c>
    </row>
    <row r="98" spans="1:7" x14ac:dyDescent="0.25">
      <c r="A98" s="16" t="s">
        <v>2021</v>
      </c>
      <c r="B98" s="16" t="s">
        <v>845</v>
      </c>
      <c r="D98" s="17" t="s">
        <v>3495</v>
      </c>
      <c r="E98" s="17" t="s">
        <v>3496</v>
      </c>
      <c r="G98" s="17" t="s">
        <v>928</v>
      </c>
    </row>
    <row r="99" spans="1:7" x14ac:dyDescent="0.25">
      <c r="A99" s="16" t="s">
        <v>2022</v>
      </c>
      <c r="B99" s="16" t="s">
        <v>190</v>
      </c>
      <c r="D99" s="17" t="s">
        <v>1471</v>
      </c>
      <c r="E99" s="17" t="s">
        <v>3497</v>
      </c>
      <c r="G99" s="17" t="s">
        <v>938</v>
      </c>
    </row>
    <row r="100" spans="1:7" x14ac:dyDescent="0.25">
      <c r="A100" s="16" t="s">
        <v>2023</v>
      </c>
      <c r="B100" s="16" t="s">
        <v>848</v>
      </c>
      <c r="D100" s="17" t="s">
        <v>3498</v>
      </c>
      <c r="E100" s="17" t="s">
        <v>3499</v>
      </c>
      <c r="G100" s="17" t="s">
        <v>948</v>
      </c>
    </row>
    <row r="101" spans="1:7" x14ac:dyDescent="0.25">
      <c r="A101" s="16" t="s">
        <v>2024</v>
      </c>
      <c r="B101" s="16" t="s">
        <v>850</v>
      </c>
      <c r="D101" s="17" t="s">
        <v>3500</v>
      </c>
      <c r="E101" s="17" t="s">
        <v>3501</v>
      </c>
      <c r="G101" s="17" t="s">
        <v>959</v>
      </c>
    </row>
    <row r="102" spans="1:7" x14ac:dyDescent="0.25">
      <c r="A102" s="16" t="s">
        <v>2025</v>
      </c>
      <c r="B102" s="16" t="s">
        <v>132</v>
      </c>
      <c r="D102" s="17" t="s">
        <v>3502</v>
      </c>
      <c r="E102" s="17" t="s">
        <v>3503</v>
      </c>
      <c r="G102" s="17" t="s">
        <v>960</v>
      </c>
    </row>
    <row r="103" spans="1:7" x14ac:dyDescent="0.25">
      <c r="A103" s="16" t="s">
        <v>2026</v>
      </c>
      <c r="B103" s="16" t="s">
        <v>205</v>
      </c>
      <c r="D103" s="17" t="s">
        <v>3504</v>
      </c>
      <c r="E103" s="17" t="s">
        <v>3505</v>
      </c>
      <c r="G103" s="17" t="s">
        <v>963</v>
      </c>
    </row>
    <row r="104" spans="1:7" x14ac:dyDescent="0.25">
      <c r="A104" s="16" t="s">
        <v>2027</v>
      </c>
      <c r="B104" s="16" t="s">
        <v>107</v>
      </c>
      <c r="D104" s="17" t="s">
        <v>3506</v>
      </c>
      <c r="E104" s="17" t="s">
        <v>3507</v>
      </c>
      <c r="G104" s="17" t="s">
        <v>964</v>
      </c>
    </row>
    <row r="105" spans="1:7" x14ac:dyDescent="0.25">
      <c r="A105" s="16" t="s">
        <v>2028</v>
      </c>
      <c r="B105" s="16" t="s">
        <v>212</v>
      </c>
      <c r="D105" s="17" t="s">
        <v>3508</v>
      </c>
      <c r="E105" s="17" t="s">
        <v>3509</v>
      </c>
      <c r="G105" s="17" t="s">
        <v>965</v>
      </c>
    </row>
    <row r="106" spans="1:7" x14ac:dyDescent="0.25">
      <c r="A106" s="16" t="s">
        <v>2029</v>
      </c>
      <c r="B106" s="16" t="s">
        <v>855</v>
      </c>
      <c r="D106" s="17" t="s">
        <v>3510</v>
      </c>
      <c r="E106" s="17" t="s">
        <v>3511</v>
      </c>
      <c r="G106" s="17" t="s">
        <v>966</v>
      </c>
    </row>
    <row r="107" spans="1:7" x14ac:dyDescent="0.25">
      <c r="A107" s="16" t="s">
        <v>2030</v>
      </c>
      <c r="B107" s="16" t="s">
        <v>186</v>
      </c>
      <c r="D107" s="17" t="s">
        <v>3512</v>
      </c>
      <c r="E107" s="17" t="s">
        <v>3513</v>
      </c>
      <c r="G107" s="17" t="s">
        <v>969</v>
      </c>
    </row>
    <row r="108" spans="1:7" x14ac:dyDescent="0.25">
      <c r="A108" s="16" t="s">
        <v>2031</v>
      </c>
      <c r="B108" s="16" t="s">
        <v>860</v>
      </c>
      <c r="D108" s="17" t="s">
        <v>1473</v>
      </c>
      <c r="E108" s="17" t="s">
        <v>3514</v>
      </c>
      <c r="G108" s="17" t="s">
        <v>974</v>
      </c>
    </row>
    <row r="109" spans="1:7" x14ac:dyDescent="0.25">
      <c r="A109" s="16" t="s">
        <v>2032</v>
      </c>
      <c r="B109" s="16" t="s">
        <v>233</v>
      </c>
      <c r="D109" s="17" t="s">
        <v>3515</v>
      </c>
      <c r="E109" s="17" t="s">
        <v>3516</v>
      </c>
      <c r="G109" s="17" t="s">
        <v>979</v>
      </c>
    </row>
    <row r="110" spans="1:7" x14ac:dyDescent="0.25">
      <c r="A110" s="16" t="s">
        <v>2033</v>
      </c>
      <c r="B110" s="16" t="s">
        <v>864</v>
      </c>
      <c r="D110" s="17" t="s">
        <v>3517</v>
      </c>
      <c r="E110" s="17" t="s">
        <v>3518</v>
      </c>
      <c r="G110" s="17" t="s">
        <v>990</v>
      </c>
    </row>
    <row r="111" spans="1:7" x14ac:dyDescent="0.25">
      <c r="A111" s="16" t="s">
        <v>2034</v>
      </c>
      <c r="B111" s="16" t="s">
        <v>117</v>
      </c>
      <c r="D111" s="17" t="s">
        <v>3519</v>
      </c>
      <c r="E111" s="17" t="s">
        <v>3520</v>
      </c>
      <c r="G111" s="17" t="s">
        <v>1001</v>
      </c>
    </row>
    <row r="112" spans="1:7" x14ac:dyDescent="0.25">
      <c r="A112" s="16" t="s">
        <v>2035</v>
      </c>
      <c r="B112" s="16" t="s">
        <v>865</v>
      </c>
      <c r="D112" s="17" t="s">
        <v>3521</v>
      </c>
      <c r="E112" s="17" t="s">
        <v>3522</v>
      </c>
      <c r="G112" s="17" t="s">
        <v>1011</v>
      </c>
    </row>
    <row r="113" spans="1:7" x14ac:dyDescent="0.25">
      <c r="A113" s="16" t="s">
        <v>2036</v>
      </c>
      <c r="B113" s="16" t="s">
        <v>866</v>
      </c>
      <c r="D113" s="17" t="s">
        <v>3523</v>
      </c>
      <c r="E113" s="17" t="s">
        <v>3524</v>
      </c>
      <c r="G113" s="17" t="s">
        <v>1021</v>
      </c>
    </row>
    <row r="114" spans="1:7" x14ac:dyDescent="0.25">
      <c r="A114" s="16" t="s">
        <v>2037</v>
      </c>
      <c r="B114" s="16" t="s">
        <v>867</v>
      </c>
      <c r="D114" s="17" t="s">
        <v>3525</v>
      </c>
      <c r="E114" s="17" t="s">
        <v>3526</v>
      </c>
      <c r="G114" s="17" t="s">
        <v>1032</v>
      </c>
    </row>
    <row r="115" spans="1:7" x14ac:dyDescent="0.25">
      <c r="A115" s="16" t="s">
        <v>2038</v>
      </c>
      <c r="B115" s="16" t="s">
        <v>100</v>
      </c>
      <c r="D115" s="17" t="s">
        <v>3527</v>
      </c>
      <c r="E115" s="17" t="s">
        <v>3528</v>
      </c>
      <c r="G115" s="17" t="s">
        <v>1043</v>
      </c>
    </row>
    <row r="116" spans="1:7" x14ac:dyDescent="0.25">
      <c r="A116" s="16" t="s">
        <v>2039</v>
      </c>
      <c r="B116" s="16" t="s">
        <v>118</v>
      </c>
      <c r="D116" s="17" t="s">
        <v>1474</v>
      </c>
      <c r="E116" s="17" t="s">
        <v>3529</v>
      </c>
      <c r="G116" s="17" t="s">
        <v>1053</v>
      </c>
    </row>
    <row r="117" spans="1:7" x14ac:dyDescent="0.25">
      <c r="A117" s="16" t="s">
        <v>2040</v>
      </c>
      <c r="B117" s="16" t="s">
        <v>111</v>
      </c>
      <c r="D117" s="17" t="s">
        <v>3530</v>
      </c>
      <c r="E117" s="17" t="s">
        <v>3531</v>
      </c>
      <c r="G117" s="17" t="s">
        <v>1058</v>
      </c>
    </row>
    <row r="118" spans="1:7" x14ac:dyDescent="0.25">
      <c r="A118" s="16" t="s">
        <v>2041</v>
      </c>
      <c r="B118" s="16" t="s">
        <v>868</v>
      </c>
      <c r="D118" s="17" t="s">
        <v>1475</v>
      </c>
      <c r="E118" s="17" t="s">
        <v>3532</v>
      </c>
      <c r="G118" s="17" t="s">
        <v>1064</v>
      </c>
    </row>
    <row r="119" spans="1:7" x14ac:dyDescent="0.25">
      <c r="A119" s="16" t="s">
        <v>2042</v>
      </c>
      <c r="B119" s="16" t="s">
        <v>869</v>
      </c>
      <c r="D119" s="17" t="s">
        <v>1477</v>
      </c>
      <c r="E119" s="17" t="s">
        <v>3533</v>
      </c>
      <c r="G119" s="17" t="s">
        <v>1069</v>
      </c>
    </row>
    <row r="120" spans="1:7" x14ac:dyDescent="0.25">
      <c r="A120" s="16" t="s">
        <v>2043</v>
      </c>
      <c r="B120" s="16" t="s">
        <v>870</v>
      </c>
      <c r="D120" s="17" t="s">
        <v>3534</v>
      </c>
      <c r="E120" s="17" t="s">
        <v>3535</v>
      </c>
      <c r="G120" s="17" t="s">
        <v>1075</v>
      </c>
    </row>
    <row r="121" spans="1:7" x14ac:dyDescent="0.25">
      <c r="A121" s="16" t="s">
        <v>2044</v>
      </c>
      <c r="B121" s="16" t="s">
        <v>871</v>
      </c>
      <c r="D121" s="17" t="s">
        <v>1478</v>
      </c>
      <c r="E121" s="17" t="s">
        <v>3536</v>
      </c>
      <c r="G121" s="17" t="s">
        <v>1080</v>
      </c>
    </row>
    <row r="122" spans="1:7" x14ac:dyDescent="0.25">
      <c r="A122" s="16" t="s">
        <v>2045</v>
      </c>
      <c r="B122" s="16" t="s">
        <v>872</v>
      </c>
      <c r="D122" s="17" t="s">
        <v>3537</v>
      </c>
      <c r="E122" s="17" t="s">
        <v>3538</v>
      </c>
      <c r="G122" s="17" t="s">
        <v>1086</v>
      </c>
    </row>
    <row r="123" spans="1:7" x14ac:dyDescent="0.25">
      <c r="A123" s="16" t="s">
        <v>2046</v>
      </c>
      <c r="B123" s="16" t="s">
        <v>873</v>
      </c>
      <c r="D123" s="17" t="s">
        <v>3539</v>
      </c>
      <c r="E123" s="17" t="s">
        <v>3540</v>
      </c>
      <c r="G123" s="17" t="s">
        <v>1097</v>
      </c>
    </row>
    <row r="124" spans="1:7" x14ac:dyDescent="0.25">
      <c r="A124" s="16" t="s">
        <v>2047</v>
      </c>
      <c r="B124" s="16" t="s">
        <v>874</v>
      </c>
      <c r="D124" s="17" t="s">
        <v>1479</v>
      </c>
      <c r="E124" s="17" t="s">
        <v>3541</v>
      </c>
      <c r="G124" s="17" t="s">
        <v>1102</v>
      </c>
    </row>
    <row r="125" spans="1:7" x14ac:dyDescent="0.25">
      <c r="A125" s="16" t="s">
        <v>2048</v>
      </c>
      <c r="B125" s="16" t="s">
        <v>875</v>
      </c>
      <c r="D125" s="17" t="s">
        <v>3542</v>
      </c>
      <c r="E125" s="17" t="s">
        <v>3543</v>
      </c>
      <c r="G125" s="17" t="s">
        <v>1108</v>
      </c>
    </row>
    <row r="126" spans="1:7" x14ac:dyDescent="0.25">
      <c r="A126" s="16" t="s">
        <v>2049</v>
      </c>
      <c r="B126" s="16" t="s">
        <v>150</v>
      </c>
      <c r="D126" s="17" t="s">
        <v>1480</v>
      </c>
      <c r="E126" s="17" t="s">
        <v>3544</v>
      </c>
      <c r="G126" s="17" t="s">
        <v>1113</v>
      </c>
    </row>
    <row r="127" spans="1:7" x14ac:dyDescent="0.25">
      <c r="A127" s="16" t="s">
        <v>2050</v>
      </c>
      <c r="B127" s="16" t="s">
        <v>876</v>
      </c>
      <c r="D127" s="17" t="s">
        <v>3545</v>
      </c>
      <c r="E127" s="17" t="s">
        <v>928</v>
      </c>
      <c r="G127" s="17" t="s">
        <v>1119</v>
      </c>
    </row>
    <row r="128" spans="1:7" x14ac:dyDescent="0.25">
      <c r="A128" s="16" t="s">
        <v>2051</v>
      </c>
      <c r="B128" s="16" t="s">
        <v>152</v>
      </c>
      <c r="D128" s="17" t="s">
        <v>3546</v>
      </c>
      <c r="E128" s="17" t="s">
        <v>3547</v>
      </c>
      <c r="G128" s="17" t="s">
        <v>1130</v>
      </c>
    </row>
    <row r="129" spans="1:7" x14ac:dyDescent="0.25">
      <c r="A129" s="16" t="s">
        <v>2052</v>
      </c>
      <c r="B129" s="16" t="s">
        <v>878</v>
      </c>
      <c r="D129" s="17" t="s">
        <v>3548</v>
      </c>
      <c r="E129" s="17" t="s">
        <v>3549</v>
      </c>
      <c r="G129" s="17" t="s">
        <v>1135</v>
      </c>
    </row>
    <row r="130" spans="1:7" x14ac:dyDescent="0.25">
      <c r="A130" s="16" t="s">
        <v>2053</v>
      </c>
      <c r="B130" s="16" t="s">
        <v>879</v>
      </c>
      <c r="D130" s="17" t="s">
        <v>3550</v>
      </c>
      <c r="E130" s="17" t="s">
        <v>3551</v>
      </c>
      <c r="G130" s="17" t="s">
        <v>1141</v>
      </c>
    </row>
    <row r="131" spans="1:7" x14ac:dyDescent="0.25">
      <c r="A131" s="16" t="s">
        <v>2054</v>
      </c>
      <c r="B131" s="16" t="s">
        <v>880</v>
      </c>
      <c r="D131" s="17" t="s">
        <v>3552</v>
      </c>
      <c r="E131" s="17" t="s">
        <v>3553</v>
      </c>
      <c r="G131" s="17" t="s">
        <v>1146</v>
      </c>
    </row>
    <row r="132" spans="1:7" x14ac:dyDescent="0.25">
      <c r="A132" s="16" t="s">
        <v>2055</v>
      </c>
      <c r="B132" s="16" t="s">
        <v>881</v>
      </c>
      <c r="D132" s="17" t="s">
        <v>3554</v>
      </c>
      <c r="E132" s="17" t="s">
        <v>3555</v>
      </c>
      <c r="G132" s="17" t="s">
        <v>1152</v>
      </c>
    </row>
    <row r="133" spans="1:7" x14ac:dyDescent="0.25">
      <c r="A133" s="16" t="s">
        <v>2056</v>
      </c>
      <c r="B133" s="16" t="s">
        <v>176</v>
      </c>
      <c r="D133" s="17" t="s">
        <v>3556</v>
      </c>
      <c r="E133" s="17" t="s">
        <v>3557</v>
      </c>
      <c r="G133" s="17" t="s">
        <v>1157</v>
      </c>
    </row>
    <row r="134" spans="1:7" x14ac:dyDescent="0.25">
      <c r="A134" s="16" t="s">
        <v>2057</v>
      </c>
      <c r="B134" s="16" t="s">
        <v>200</v>
      </c>
      <c r="D134" s="17" t="s">
        <v>3558</v>
      </c>
      <c r="E134" s="17" t="s">
        <v>3559</v>
      </c>
      <c r="G134" s="17" t="s">
        <v>1162</v>
      </c>
    </row>
    <row r="135" spans="1:7" x14ac:dyDescent="0.25">
      <c r="A135" s="16" t="s">
        <v>2058</v>
      </c>
      <c r="B135" s="16" t="s">
        <v>104</v>
      </c>
      <c r="D135" s="17" t="s">
        <v>3560</v>
      </c>
      <c r="E135" s="17" t="s">
        <v>3561</v>
      </c>
      <c r="G135" s="17" t="s">
        <v>1163</v>
      </c>
    </row>
    <row r="136" spans="1:7" x14ac:dyDescent="0.25">
      <c r="A136" s="16" t="s">
        <v>2059</v>
      </c>
      <c r="B136" s="16" t="s">
        <v>164</v>
      </c>
      <c r="D136" s="17" t="s">
        <v>3562</v>
      </c>
      <c r="E136" s="17" t="s">
        <v>3563</v>
      </c>
      <c r="G136" s="17" t="s">
        <v>1164</v>
      </c>
    </row>
    <row r="137" spans="1:7" x14ac:dyDescent="0.25">
      <c r="A137" s="16" t="s">
        <v>2060</v>
      </c>
      <c r="B137" s="16" t="s">
        <v>916</v>
      </c>
      <c r="D137" s="17" t="s">
        <v>1485</v>
      </c>
      <c r="E137" s="17" t="s">
        <v>417</v>
      </c>
      <c r="G137" s="17" t="s">
        <v>1165</v>
      </c>
    </row>
    <row r="138" spans="1:7" x14ac:dyDescent="0.25">
      <c r="A138" s="16" t="s">
        <v>2061</v>
      </c>
      <c r="B138" s="16" t="s">
        <v>166</v>
      </c>
      <c r="D138" s="17" t="s">
        <v>1487</v>
      </c>
      <c r="E138" s="17" t="s">
        <v>439</v>
      </c>
      <c r="G138" s="17" t="s">
        <v>1173</v>
      </c>
    </row>
    <row r="139" spans="1:7" x14ac:dyDescent="0.25">
      <c r="A139" s="16" t="s">
        <v>2062</v>
      </c>
      <c r="B139" s="16" t="s">
        <v>882</v>
      </c>
      <c r="D139" s="17" t="s">
        <v>3564</v>
      </c>
      <c r="E139" s="17" t="s">
        <v>3565</v>
      </c>
      <c r="G139" s="17" t="s">
        <v>1174</v>
      </c>
    </row>
    <row r="140" spans="1:7" x14ac:dyDescent="0.25">
      <c r="A140" s="16" t="s">
        <v>2063</v>
      </c>
      <c r="B140" s="16" t="s">
        <v>883</v>
      </c>
      <c r="D140" s="17" t="s">
        <v>3566</v>
      </c>
      <c r="E140" s="17" t="s">
        <v>3567</v>
      </c>
      <c r="G140" s="17" t="s">
        <v>1175</v>
      </c>
    </row>
    <row r="141" spans="1:7" x14ac:dyDescent="0.25">
      <c r="A141" s="16" t="s">
        <v>2064</v>
      </c>
      <c r="B141" s="16" t="s">
        <v>119</v>
      </c>
      <c r="D141" s="17" t="s">
        <v>1488</v>
      </c>
      <c r="E141" s="17" t="s">
        <v>3568</v>
      </c>
      <c r="G141" s="17" t="s">
        <v>1176</v>
      </c>
    </row>
    <row r="142" spans="1:7" x14ac:dyDescent="0.25">
      <c r="A142" s="16" t="s">
        <v>2065</v>
      </c>
      <c r="B142" s="16" t="s">
        <v>123</v>
      </c>
      <c r="D142" s="17" t="s">
        <v>3569</v>
      </c>
      <c r="E142" s="17" t="s">
        <v>3570</v>
      </c>
      <c r="G142" s="17" t="s">
        <v>1184</v>
      </c>
    </row>
    <row r="143" spans="1:7" x14ac:dyDescent="0.25">
      <c r="A143" s="16" t="s">
        <v>2066</v>
      </c>
      <c r="B143" s="16" t="s">
        <v>127</v>
      </c>
      <c r="D143" s="17" t="s">
        <v>3571</v>
      </c>
      <c r="E143" s="17" t="s">
        <v>3572</v>
      </c>
      <c r="G143" s="17" t="s">
        <v>1195</v>
      </c>
    </row>
    <row r="144" spans="1:7" x14ac:dyDescent="0.25">
      <c r="A144" s="16" t="s">
        <v>2067</v>
      </c>
      <c r="B144" s="16" t="s">
        <v>167</v>
      </c>
      <c r="D144" s="17" t="s">
        <v>3573</v>
      </c>
      <c r="E144" s="17" t="s">
        <v>3574</v>
      </c>
      <c r="G144" s="17" t="s">
        <v>1196</v>
      </c>
    </row>
    <row r="145" spans="1:7" x14ac:dyDescent="0.25">
      <c r="A145" s="16" t="s">
        <v>2068</v>
      </c>
      <c r="B145" s="16" t="s">
        <v>885</v>
      </c>
      <c r="D145" s="17" t="s">
        <v>1491</v>
      </c>
      <c r="E145" s="17" t="s">
        <v>3575</v>
      </c>
      <c r="G145" s="17" t="s">
        <v>1197</v>
      </c>
    </row>
    <row r="146" spans="1:7" x14ac:dyDescent="0.25">
      <c r="A146" s="16" t="s">
        <v>2069</v>
      </c>
      <c r="B146" s="16" t="s">
        <v>887</v>
      </c>
      <c r="D146" s="17" t="s">
        <v>1496</v>
      </c>
      <c r="E146" s="17" t="s">
        <v>3576</v>
      </c>
      <c r="G146" s="17" t="s">
        <v>1198</v>
      </c>
    </row>
    <row r="147" spans="1:7" x14ac:dyDescent="0.25">
      <c r="A147" s="16" t="s">
        <v>2070</v>
      </c>
      <c r="B147" s="16" t="s">
        <v>172</v>
      </c>
      <c r="D147" s="17" t="s">
        <v>1499</v>
      </c>
      <c r="E147" s="17" t="s">
        <v>3577</v>
      </c>
      <c r="G147" s="17" t="s">
        <v>1199</v>
      </c>
    </row>
    <row r="148" spans="1:7" x14ac:dyDescent="0.25">
      <c r="A148" s="16" t="s">
        <v>2071</v>
      </c>
      <c r="B148" s="16" t="s">
        <v>451</v>
      </c>
      <c r="D148" s="17" t="s">
        <v>1501</v>
      </c>
      <c r="E148" s="17" t="s">
        <v>121</v>
      </c>
      <c r="G148" s="17" t="s">
        <v>1200</v>
      </c>
    </row>
    <row r="149" spans="1:7" x14ac:dyDescent="0.25">
      <c r="A149" s="16" t="s">
        <v>2072</v>
      </c>
      <c r="B149" s="16" t="s">
        <v>927</v>
      </c>
      <c r="D149" s="17" t="s">
        <v>3578</v>
      </c>
      <c r="E149" s="17" t="s">
        <v>3579</v>
      </c>
      <c r="G149" s="17" t="s">
        <v>1201</v>
      </c>
    </row>
    <row r="150" spans="1:7" x14ac:dyDescent="0.25">
      <c r="A150" s="16" t="s">
        <v>2073</v>
      </c>
      <c r="B150" s="16" t="s">
        <v>184</v>
      </c>
      <c r="D150" s="17" t="s">
        <v>3580</v>
      </c>
      <c r="E150" s="17" t="s">
        <v>3581</v>
      </c>
      <c r="G150" s="17" t="s">
        <v>1202</v>
      </c>
    </row>
    <row r="151" spans="1:7" x14ac:dyDescent="0.25">
      <c r="A151" s="16" t="s">
        <v>2074</v>
      </c>
      <c r="B151" s="16" t="s">
        <v>238</v>
      </c>
      <c r="D151" s="17" t="s">
        <v>1503</v>
      </c>
      <c r="E151" s="17" t="s">
        <v>3582</v>
      </c>
      <c r="G151" s="17" t="s">
        <v>1203</v>
      </c>
    </row>
    <row r="152" spans="1:7" x14ac:dyDescent="0.25">
      <c r="A152" s="16" t="s">
        <v>2075</v>
      </c>
      <c r="B152" s="16" t="s">
        <v>240</v>
      </c>
      <c r="D152" s="17" t="s">
        <v>3583</v>
      </c>
      <c r="E152" s="17" t="s">
        <v>3584</v>
      </c>
      <c r="G152" s="17" t="s">
        <v>1206</v>
      </c>
    </row>
    <row r="153" spans="1:7" x14ac:dyDescent="0.25">
      <c r="A153" s="16" t="s">
        <v>2076</v>
      </c>
      <c r="B153" s="16" t="s">
        <v>234</v>
      </c>
      <c r="D153" s="17" t="s">
        <v>1504</v>
      </c>
      <c r="E153" s="17" t="s">
        <v>3585</v>
      </c>
      <c r="G153" s="17" t="s">
        <v>1217</v>
      </c>
    </row>
    <row r="154" spans="1:7" x14ac:dyDescent="0.25">
      <c r="A154" s="16" t="s">
        <v>2077</v>
      </c>
      <c r="B154" s="16" t="s">
        <v>239</v>
      </c>
      <c r="D154" s="17" t="s">
        <v>1507</v>
      </c>
      <c r="E154" s="17" t="s">
        <v>3586</v>
      </c>
      <c r="G154" s="17" t="s">
        <v>1228</v>
      </c>
    </row>
    <row r="155" spans="1:7" x14ac:dyDescent="0.25">
      <c r="A155" s="16" t="s">
        <v>2078</v>
      </c>
      <c r="B155" s="16" t="s">
        <v>909</v>
      </c>
      <c r="D155" s="17" t="s">
        <v>3587</v>
      </c>
      <c r="E155" s="17" t="s">
        <v>3588</v>
      </c>
      <c r="G155" s="17" t="s">
        <v>1239</v>
      </c>
    </row>
    <row r="156" spans="1:7" x14ac:dyDescent="0.25">
      <c r="A156" s="16" t="s">
        <v>2079</v>
      </c>
      <c r="B156" s="16" t="s">
        <v>910</v>
      </c>
      <c r="D156" s="17" t="s">
        <v>3589</v>
      </c>
      <c r="E156" s="17" t="s">
        <v>3590</v>
      </c>
      <c r="G156" s="17" t="s">
        <v>1250</v>
      </c>
    </row>
    <row r="157" spans="1:7" x14ac:dyDescent="0.25">
      <c r="A157" s="16" t="s">
        <v>2080</v>
      </c>
      <c r="B157" s="16" t="s">
        <v>911</v>
      </c>
      <c r="D157" s="17" t="s">
        <v>3591</v>
      </c>
      <c r="E157" s="17" t="s">
        <v>3592</v>
      </c>
      <c r="G157" s="17" t="s">
        <v>1260</v>
      </c>
    </row>
    <row r="158" spans="1:7" x14ac:dyDescent="0.25">
      <c r="A158" s="16" t="s">
        <v>2081</v>
      </c>
      <c r="B158" s="16" t="s">
        <v>912</v>
      </c>
      <c r="D158" s="17" t="s">
        <v>3593</v>
      </c>
      <c r="E158" s="17" t="s">
        <v>3594</v>
      </c>
      <c r="G158" s="17" t="s">
        <v>1270</v>
      </c>
    </row>
    <row r="159" spans="1:7" x14ac:dyDescent="0.25">
      <c r="A159" s="16" t="s">
        <v>2082</v>
      </c>
      <c r="B159" s="16" t="s">
        <v>913</v>
      </c>
      <c r="D159" s="17" t="s">
        <v>3595</v>
      </c>
      <c r="E159" s="17" t="s">
        <v>1250</v>
      </c>
      <c r="G159" s="17" t="s">
        <v>1280</v>
      </c>
    </row>
    <row r="160" spans="1:7" x14ac:dyDescent="0.25">
      <c r="A160" s="16" t="s">
        <v>2083</v>
      </c>
      <c r="B160" s="16" t="s">
        <v>915</v>
      </c>
      <c r="D160" s="17" t="s">
        <v>3596</v>
      </c>
      <c r="E160" s="17" t="s">
        <v>3597</v>
      </c>
      <c r="G160" s="17" t="s">
        <v>1289</v>
      </c>
    </row>
    <row r="161" spans="1:7" x14ac:dyDescent="0.25">
      <c r="A161" s="16" t="s">
        <v>2084</v>
      </c>
      <c r="B161" s="16" t="s">
        <v>162</v>
      </c>
      <c r="D161" s="17" t="s">
        <v>3598</v>
      </c>
      <c r="E161" s="17" t="s">
        <v>3599</v>
      </c>
      <c r="G161" s="17" t="s">
        <v>1299</v>
      </c>
    </row>
    <row r="162" spans="1:7" x14ac:dyDescent="0.25">
      <c r="A162" s="16" t="s">
        <v>2085</v>
      </c>
      <c r="B162" s="16" t="s">
        <v>160</v>
      </c>
      <c r="D162" s="17" t="s">
        <v>3600</v>
      </c>
      <c r="E162" s="17" t="s">
        <v>3601</v>
      </c>
      <c r="G162" s="17" t="s">
        <v>1310</v>
      </c>
    </row>
    <row r="163" spans="1:7" x14ac:dyDescent="0.25">
      <c r="A163" s="16" t="s">
        <v>2086</v>
      </c>
      <c r="B163" s="16" t="s">
        <v>171</v>
      </c>
      <c r="D163" s="17" t="s">
        <v>3602</v>
      </c>
      <c r="E163" s="17" t="s">
        <v>113</v>
      </c>
      <c r="G163" s="17" t="s">
        <v>1321</v>
      </c>
    </row>
    <row r="164" spans="1:7" x14ac:dyDescent="0.25">
      <c r="A164" s="16" t="s">
        <v>2087</v>
      </c>
      <c r="B164" s="16" t="s">
        <v>165</v>
      </c>
      <c r="D164" s="17" t="s">
        <v>3603</v>
      </c>
      <c r="E164" s="17" t="s">
        <v>3604</v>
      </c>
      <c r="G164" s="17" t="s">
        <v>1331</v>
      </c>
    </row>
    <row r="165" spans="1:7" x14ac:dyDescent="0.25">
      <c r="A165" s="16" t="s">
        <v>2088</v>
      </c>
      <c r="B165" s="16" t="s">
        <v>173</v>
      </c>
      <c r="D165" s="17" t="s">
        <v>3605</v>
      </c>
      <c r="E165" s="17" t="s">
        <v>3606</v>
      </c>
      <c r="G165" s="17" t="s">
        <v>1342</v>
      </c>
    </row>
    <row r="166" spans="1:7" x14ac:dyDescent="0.25">
      <c r="A166" s="16" t="s">
        <v>2089</v>
      </c>
      <c r="B166" s="16" t="s">
        <v>149</v>
      </c>
      <c r="D166" s="17" t="s">
        <v>1519</v>
      </c>
      <c r="E166" s="17" t="s">
        <v>3607</v>
      </c>
      <c r="G166" s="17" t="s">
        <v>1353</v>
      </c>
    </row>
    <row r="167" spans="1:7" x14ac:dyDescent="0.25">
      <c r="A167" s="16" t="s">
        <v>2090</v>
      </c>
      <c r="B167" s="16" t="s">
        <v>897</v>
      </c>
      <c r="D167" s="17" t="s">
        <v>3608</v>
      </c>
      <c r="E167" s="17" t="s">
        <v>3609</v>
      </c>
      <c r="G167" s="17" t="s">
        <v>1363</v>
      </c>
    </row>
    <row r="168" spans="1:7" x14ac:dyDescent="0.25">
      <c r="A168" s="16" t="s">
        <v>2091</v>
      </c>
      <c r="B168" s="16" t="s">
        <v>188</v>
      </c>
      <c r="D168" s="17" t="s">
        <v>3610</v>
      </c>
      <c r="E168" s="17" t="s">
        <v>768</v>
      </c>
      <c r="G168" s="17" t="s">
        <v>1374</v>
      </c>
    </row>
    <row r="169" spans="1:7" x14ac:dyDescent="0.25">
      <c r="A169" s="16" t="s">
        <v>2092</v>
      </c>
      <c r="B169" s="16" t="s">
        <v>224</v>
      </c>
      <c r="D169" s="17" t="s">
        <v>1532</v>
      </c>
      <c r="E169" s="17" t="s">
        <v>3611</v>
      </c>
      <c r="G169" s="17" t="s">
        <v>1385</v>
      </c>
    </row>
    <row r="170" spans="1:7" x14ac:dyDescent="0.25">
      <c r="A170" s="16" t="s">
        <v>2093</v>
      </c>
      <c r="B170" s="16" t="s">
        <v>900</v>
      </c>
      <c r="D170" s="17" t="s">
        <v>1537</v>
      </c>
      <c r="E170" s="17" t="s">
        <v>1534</v>
      </c>
      <c r="G170" s="17" t="s">
        <v>1390</v>
      </c>
    </row>
    <row r="171" spans="1:7" x14ac:dyDescent="0.25">
      <c r="A171" s="16" t="s">
        <v>2094</v>
      </c>
      <c r="B171" s="16" t="s">
        <v>902</v>
      </c>
      <c r="D171" s="17" t="s">
        <v>3612</v>
      </c>
      <c r="E171" s="17" t="s">
        <v>61</v>
      </c>
      <c r="G171" s="17" t="s">
        <v>1391</v>
      </c>
    </row>
    <row r="172" spans="1:7" x14ac:dyDescent="0.25">
      <c r="A172" s="16" t="s">
        <v>2095</v>
      </c>
      <c r="B172" s="16" t="s">
        <v>196</v>
      </c>
      <c r="D172" s="17" t="s">
        <v>3613</v>
      </c>
      <c r="E172" s="17" t="s">
        <v>3614</v>
      </c>
      <c r="G172" s="17" t="s">
        <v>1392</v>
      </c>
    </row>
    <row r="173" spans="1:7" x14ac:dyDescent="0.25">
      <c r="A173" s="16" t="s">
        <v>2096</v>
      </c>
      <c r="B173" s="16" t="s">
        <v>168</v>
      </c>
      <c r="D173" s="17" t="s">
        <v>3615</v>
      </c>
      <c r="E173" s="17" t="s">
        <v>959</v>
      </c>
      <c r="G173" s="17" t="s">
        <v>1396</v>
      </c>
    </row>
    <row r="174" spans="1:7" x14ac:dyDescent="0.25">
      <c r="A174" s="16" t="s">
        <v>2097</v>
      </c>
      <c r="B174" s="16" t="s">
        <v>133</v>
      </c>
      <c r="D174" s="17" t="s">
        <v>3616</v>
      </c>
      <c r="E174" s="17" t="s">
        <v>3617</v>
      </c>
      <c r="G174" s="17" t="s">
        <v>1406</v>
      </c>
    </row>
    <row r="175" spans="1:7" x14ac:dyDescent="0.25">
      <c r="A175" s="16" t="s">
        <v>2098</v>
      </c>
      <c r="B175" s="16" t="s">
        <v>197</v>
      </c>
      <c r="D175" s="17" t="s">
        <v>3618</v>
      </c>
      <c r="E175" s="17" t="s">
        <v>3619</v>
      </c>
      <c r="G175" s="17" t="s">
        <v>1416</v>
      </c>
    </row>
    <row r="176" spans="1:7" x14ac:dyDescent="0.25">
      <c r="A176" s="16" t="s">
        <v>2099</v>
      </c>
      <c r="B176" s="16" t="s">
        <v>215</v>
      </c>
      <c r="D176" s="17" t="s">
        <v>3620</v>
      </c>
      <c r="E176" s="17" t="s">
        <v>3621</v>
      </c>
      <c r="G176" s="17" t="s">
        <v>1426</v>
      </c>
    </row>
    <row r="177" spans="1:7" x14ac:dyDescent="0.25">
      <c r="A177" s="16" t="s">
        <v>2100</v>
      </c>
      <c r="B177" s="16" t="s">
        <v>179</v>
      </c>
      <c r="D177" s="17" t="s">
        <v>1544</v>
      </c>
      <c r="E177" s="17" t="s">
        <v>3622</v>
      </c>
      <c r="G177" s="17" t="s">
        <v>1437</v>
      </c>
    </row>
    <row r="178" spans="1:7" x14ac:dyDescent="0.25">
      <c r="A178" s="16" t="s">
        <v>2101</v>
      </c>
      <c r="B178" s="16" t="s">
        <v>210</v>
      </c>
      <c r="D178" s="17" t="s">
        <v>3623</v>
      </c>
      <c r="E178" s="17" t="s">
        <v>3624</v>
      </c>
      <c r="G178" s="17" t="s">
        <v>1448</v>
      </c>
    </row>
    <row r="179" spans="1:7" x14ac:dyDescent="0.25">
      <c r="A179" s="16" t="s">
        <v>2102</v>
      </c>
      <c r="B179" s="16" t="s">
        <v>159</v>
      </c>
      <c r="D179" s="17" t="s">
        <v>3625</v>
      </c>
      <c r="E179" s="17" t="s">
        <v>3626</v>
      </c>
      <c r="G179" s="17" t="s">
        <v>1458</v>
      </c>
    </row>
    <row r="180" spans="1:7" x14ac:dyDescent="0.25">
      <c r="A180" s="16" t="s">
        <v>2103</v>
      </c>
      <c r="B180" s="16" t="s">
        <v>207</v>
      </c>
      <c r="D180" s="17" t="s">
        <v>3627</v>
      </c>
      <c r="E180" s="17" t="s">
        <v>3628</v>
      </c>
      <c r="G180" s="17" t="s">
        <v>1468</v>
      </c>
    </row>
    <row r="181" spans="1:7" x14ac:dyDescent="0.25">
      <c r="A181" s="16" t="s">
        <v>2104</v>
      </c>
      <c r="B181" s="16" t="s">
        <v>214</v>
      </c>
      <c r="D181" s="17" t="s">
        <v>1545</v>
      </c>
      <c r="E181" s="17" t="s">
        <v>3629</v>
      </c>
      <c r="G181" s="17" t="s">
        <v>1473</v>
      </c>
    </row>
    <row r="182" spans="1:7" x14ac:dyDescent="0.25">
      <c r="A182" s="16" t="s">
        <v>2105</v>
      </c>
      <c r="B182" s="16" t="s">
        <v>220</v>
      </c>
      <c r="D182" s="17" t="s">
        <v>3630</v>
      </c>
      <c r="E182" s="17" t="s">
        <v>3631</v>
      </c>
      <c r="G182" s="17" t="s">
        <v>1474</v>
      </c>
    </row>
    <row r="183" spans="1:7" x14ac:dyDescent="0.25">
      <c r="A183" s="16" t="s">
        <v>2106</v>
      </c>
      <c r="B183" s="16" t="s">
        <v>121</v>
      </c>
      <c r="D183" s="17" t="s">
        <v>3632</v>
      </c>
      <c r="E183" s="17" t="s">
        <v>3633</v>
      </c>
      <c r="G183" s="17" t="s">
        <v>1475</v>
      </c>
    </row>
    <row r="184" spans="1:7" x14ac:dyDescent="0.25">
      <c r="A184" s="16" t="s">
        <v>2107</v>
      </c>
      <c r="B184" s="16" t="s">
        <v>122</v>
      </c>
      <c r="D184" s="17" t="s">
        <v>3634</v>
      </c>
      <c r="E184" s="17" t="s">
        <v>3635</v>
      </c>
      <c r="G184" s="17" t="s">
        <v>1477</v>
      </c>
    </row>
    <row r="185" spans="1:7" x14ac:dyDescent="0.25">
      <c r="A185" s="16" t="s">
        <v>2108</v>
      </c>
      <c r="B185" s="16" t="s">
        <v>218</v>
      </c>
      <c r="D185" s="17" t="s">
        <v>1546</v>
      </c>
      <c r="E185" s="17" t="s">
        <v>3636</v>
      </c>
      <c r="G185" s="17" t="s">
        <v>1479</v>
      </c>
    </row>
    <row r="186" spans="1:7" x14ac:dyDescent="0.25">
      <c r="A186" s="16" t="s">
        <v>2109</v>
      </c>
      <c r="B186" s="16" t="s">
        <v>223</v>
      </c>
      <c r="D186" s="17" t="s">
        <v>3637</v>
      </c>
      <c r="E186" s="17" t="s">
        <v>3638</v>
      </c>
      <c r="G186" s="17" t="s">
        <v>1490</v>
      </c>
    </row>
    <row r="187" spans="1:7" x14ac:dyDescent="0.25">
      <c r="A187" s="16" t="s">
        <v>2110</v>
      </c>
      <c r="B187" s="16" t="s">
        <v>128</v>
      </c>
      <c r="D187" s="17" t="s">
        <v>1547</v>
      </c>
      <c r="E187" s="17" t="s">
        <v>3639</v>
      </c>
      <c r="G187" s="17" t="s">
        <v>1501</v>
      </c>
    </row>
    <row r="188" spans="1:7" x14ac:dyDescent="0.25">
      <c r="A188" s="16" t="s">
        <v>2111</v>
      </c>
      <c r="B188" s="16" t="s">
        <v>222</v>
      </c>
      <c r="D188" s="17" t="s">
        <v>3640</v>
      </c>
      <c r="E188" s="17" t="s">
        <v>3641</v>
      </c>
      <c r="G188" s="17" t="s">
        <v>1512</v>
      </c>
    </row>
    <row r="189" spans="1:7" x14ac:dyDescent="0.25">
      <c r="A189" s="16" t="s">
        <v>2112</v>
      </c>
      <c r="B189" s="16" t="s">
        <v>216</v>
      </c>
      <c r="D189" s="17" t="s">
        <v>1553</v>
      </c>
      <c r="E189" s="17" t="s">
        <v>3642</v>
      </c>
      <c r="G189" s="17" t="s">
        <v>1523</v>
      </c>
    </row>
    <row r="190" spans="1:7" x14ac:dyDescent="0.25">
      <c r="A190" s="16" t="s">
        <v>2113</v>
      </c>
      <c r="B190" s="16" t="s">
        <v>904</v>
      </c>
      <c r="D190" s="17" t="s">
        <v>3643</v>
      </c>
      <c r="E190" s="17" t="s">
        <v>3644</v>
      </c>
      <c r="G190" s="17" t="s">
        <v>1534</v>
      </c>
    </row>
    <row r="191" spans="1:7" x14ac:dyDescent="0.25">
      <c r="A191" s="16" t="s">
        <v>2114</v>
      </c>
      <c r="B191" s="16" t="s">
        <v>198</v>
      </c>
      <c r="D191" s="17" t="s">
        <v>3645</v>
      </c>
      <c r="E191" s="17" t="s">
        <v>3646</v>
      </c>
      <c r="G191" s="17" t="s">
        <v>1545</v>
      </c>
    </row>
    <row r="192" spans="1:7" x14ac:dyDescent="0.25">
      <c r="A192" s="16" t="s">
        <v>2115</v>
      </c>
      <c r="B192" s="16" t="s">
        <v>137</v>
      </c>
      <c r="D192" s="17" t="s">
        <v>3647</v>
      </c>
      <c r="E192" s="17" t="s">
        <v>3648</v>
      </c>
      <c r="G192" s="17" t="s">
        <v>1556</v>
      </c>
    </row>
    <row r="193" spans="1:7" x14ac:dyDescent="0.25">
      <c r="A193" s="16" t="s">
        <v>2116</v>
      </c>
      <c r="B193" s="16" t="s">
        <v>905</v>
      </c>
      <c r="D193" s="17" t="s">
        <v>3649</v>
      </c>
      <c r="E193" s="17" t="s">
        <v>3650</v>
      </c>
      <c r="G193" s="17" t="s">
        <v>1567</v>
      </c>
    </row>
    <row r="194" spans="1:7" x14ac:dyDescent="0.25">
      <c r="A194" s="16" t="s">
        <v>2117</v>
      </c>
      <c r="B194" s="16" t="s">
        <v>181</v>
      </c>
      <c r="D194" s="17" t="s">
        <v>3651</v>
      </c>
      <c r="E194" s="17" t="s">
        <v>3652</v>
      </c>
      <c r="G194" s="17" t="s">
        <v>1607</v>
      </c>
    </row>
    <row r="195" spans="1:7" x14ac:dyDescent="0.25">
      <c r="A195" s="16" t="s">
        <v>2118</v>
      </c>
      <c r="B195" s="16" t="s">
        <v>182</v>
      </c>
      <c r="D195" s="17" t="s">
        <v>3653</v>
      </c>
      <c r="E195" s="17" t="s">
        <v>3654</v>
      </c>
      <c r="G195" s="17" t="s">
        <v>1608</v>
      </c>
    </row>
    <row r="196" spans="1:7" x14ac:dyDescent="0.25">
      <c r="A196" s="16" t="s">
        <v>2119</v>
      </c>
      <c r="B196" s="16" t="s">
        <v>195</v>
      </c>
      <c r="D196" s="17" t="s">
        <v>1560</v>
      </c>
      <c r="E196" s="17" t="s">
        <v>3655</v>
      </c>
      <c r="G196" s="17" t="s">
        <v>1609</v>
      </c>
    </row>
    <row r="197" spans="1:7" x14ac:dyDescent="0.25">
      <c r="A197" s="16" t="s">
        <v>2120</v>
      </c>
      <c r="B197" s="16" t="s">
        <v>191</v>
      </c>
      <c r="D197" s="17" t="s">
        <v>1567</v>
      </c>
      <c r="E197" s="17" t="s">
        <v>3656</v>
      </c>
      <c r="G197" s="17" t="s">
        <v>1610</v>
      </c>
    </row>
    <row r="198" spans="1:7" x14ac:dyDescent="0.25">
      <c r="A198" s="16" t="s">
        <v>2121</v>
      </c>
      <c r="B198" s="16" t="s">
        <v>217</v>
      </c>
      <c r="D198" s="17" t="s">
        <v>1666</v>
      </c>
      <c r="E198" s="17" t="s">
        <v>3657</v>
      </c>
      <c r="G198" s="17" t="s">
        <v>108</v>
      </c>
    </row>
    <row r="199" spans="1:7" x14ac:dyDescent="0.25">
      <c r="A199" s="16" t="s">
        <v>2122</v>
      </c>
      <c r="B199" s="16" t="s">
        <v>180</v>
      </c>
      <c r="D199" s="17" t="s">
        <v>1667</v>
      </c>
      <c r="E199" s="17" t="s">
        <v>3658</v>
      </c>
      <c r="G199" s="17" t="s">
        <v>109</v>
      </c>
    </row>
    <row r="200" spans="1:7" x14ac:dyDescent="0.25">
      <c r="A200" s="16" t="s">
        <v>2123</v>
      </c>
      <c r="B200" s="16" t="s">
        <v>958</v>
      </c>
      <c r="D200" s="17" t="s">
        <v>3659</v>
      </c>
      <c r="E200" s="17" t="s">
        <v>3660</v>
      </c>
      <c r="G200" s="17" t="s">
        <v>138</v>
      </c>
    </row>
    <row r="201" spans="1:7" x14ac:dyDescent="0.25">
      <c r="A201" s="16" t="s">
        <v>2124</v>
      </c>
      <c r="B201" s="16" t="s">
        <v>226</v>
      </c>
      <c r="D201" s="17" t="s">
        <v>3661</v>
      </c>
      <c r="E201" s="17" t="s">
        <v>3662</v>
      </c>
      <c r="G201" s="17" t="s">
        <v>1611</v>
      </c>
    </row>
    <row r="202" spans="1:7" x14ac:dyDescent="0.25">
      <c r="A202" s="16" t="s">
        <v>2125</v>
      </c>
      <c r="B202" s="16" t="s">
        <v>144</v>
      </c>
      <c r="D202" s="17" t="s">
        <v>3663</v>
      </c>
      <c r="E202" s="17" t="s">
        <v>3664</v>
      </c>
      <c r="G202" s="17" t="s">
        <v>1612</v>
      </c>
    </row>
    <row r="203" spans="1:7" x14ac:dyDescent="0.25">
      <c r="A203" s="16" t="s">
        <v>2126</v>
      </c>
      <c r="B203" s="16" t="s">
        <v>219</v>
      </c>
      <c r="D203" s="17" t="s">
        <v>3665</v>
      </c>
      <c r="E203" s="17" t="s">
        <v>3666</v>
      </c>
      <c r="G203" s="17" t="s">
        <v>1615</v>
      </c>
    </row>
    <row r="204" spans="1:7" x14ac:dyDescent="0.25">
      <c r="A204" s="16" t="s">
        <v>2127</v>
      </c>
      <c r="B204" s="16" t="s">
        <v>124</v>
      </c>
      <c r="D204" s="17" t="s">
        <v>3667</v>
      </c>
      <c r="E204" s="17" t="s">
        <v>3668</v>
      </c>
      <c r="G204" s="17" t="s">
        <v>1616</v>
      </c>
    </row>
    <row r="205" spans="1:7" x14ac:dyDescent="0.25">
      <c r="A205" s="16" t="s">
        <v>2128</v>
      </c>
      <c r="B205" s="16" t="s">
        <v>227</v>
      </c>
      <c r="D205" s="17" t="s">
        <v>1601</v>
      </c>
      <c r="E205" s="17" t="s">
        <v>220</v>
      </c>
      <c r="G205" s="17" t="s">
        <v>1617</v>
      </c>
    </row>
    <row r="206" spans="1:7" x14ac:dyDescent="0.25">
      <c r="A206" s="16" t="s">
        <v>2129</v>
      </c>
      <c r="B206" s="16" t="s">
        <v>187</v>
      </c>
      <c r="D206" s="17" t="s">
        <v>1602</v>
      </c>
      <c r="E206" s="17" t="s">
        <v>225</v>
      </c>
      <c r="G206" s="17" t="s">
        <v>1618</v>
      </c>
    </row>
    <row r="207" spans="1:7" x14ac:dyDescent="0.25">
      <c r="A207" s="16" t="s">
        <v>2130</v>
      </c>
      <c r="B207" s="16" t="s">
        <v>139</v>
      </c>
      <c r="D207" s="17" t="s">
        <v>3669</v>
      </c>
      <c r="E207" s="17" t="s">
        <v>3670</v>
      </c>
      <c r="G207" s="17" t="s">
        <v>1641</v>
      </c>
    </row>
    <row r="208" spans="1:7" x14ac:dyDescent="0.25">
      <c r="A208" s="16" t="s">
        <v>2131</v>
      </c>
      <c r="B208" s="16" t="s">
        <v>146</v>
      </c>
      <c r="D208" s="17" t="s">
        <v>1608</v>
      </c>
      <c r="E208" s="17" t="s">
        <v>3671</v>
      </c>
      <c r="G208" s="17" t="s">
        <v>1642</v>
      </c>
    </row>
    <row r="209" spans="1:7" x14ac:dyDescent="0.25">
      <c r="A209" s="16" t="s">
        <v>2132</v>
      </c>
      <c r="B209" s="16" t="s">
        <v>147</v>
      </c>
      <c r="D209" s="17" t="s">
        <v>3672</v>
      </c>
      <c r="E209" s="17" t="s">
        <v>3673</v>
      </c>
      <c r="G209" s="17" t="s">
        <v>1643</v>
      </c>
    </row>
    <row r="210" spans="1:7" x14ac:dyDescent="0.25">
      <c r="A210" s="16" t="s">
        <v>2133</v>
      </c>
      <c r="B210" s="16" t="s">
        <v>148</v>
      </c>
      <c r="D210" s="17" t="s">
        <v>3674</v>
      </c>
      <c r="E210" s="17" t="s">
        <v>1850</v>
      </c>
      <c r="G210" s="17" t="s">
        <v>1644</v>
      </c>
    </row>
    <row r="211" spans="1:7" x14ac:dyDescent="0.25">
      <c r="A211" s="16" t="s">
        <v>2134</v>
      </c>
      <c r="B211" s="16" t="s">
        <v>126</v>
      </c>
      <c r="D211" s="17" t="s">
        <v>108</v>
      </c>
      <c r="E211" s="17" t="s">
        <v>3675</v>
      </c>
      <c r="G211" s="17" t="s">
        <v>1645</v>
      </c>
    </row>
    <row r="212" spans="1:7" x14ac:dyDescent="0.25">
      <c r="A212" s="16" t="s">
        <v>2135</v>
      </c>
      <c r="B212" s="16" t="s">
        <v>155</v>
      </c>
      <c r="D212" s="17" t="s">
        <v>138</v>
      </c>
      <c r="E212" s="17" t="s">
        <v>601</v>
      </c>
      <c r="G212" s="17" t="s">
        <v>1649</v>
      </c>
    </row>
    <row r="213" spans="1:7" x14ac:dyDescent="0.25">
      <c r="A213" s="16" t="s">
        <v>2136</v>
      </c>
      <c r="B213" s="16" t="s">
        <v>175</v>
      </c>
      <c r="D213" s="17" t="s">
        <v>3676</v>
      </c>
      <c r="E213" s="17" t="s">
        <v>3677</v>
      </c>
      <c r="G213" s="17" t="s">
        <v>1650</v>
      </c>
    </row>
    <row r="214" spans="1:7" x14ac:dyDescent="0.25">
      <c r="A214" s="16" t="s">
        <v>2137</v>
      </c>
      <c r="B214" s="16" t="s">
        <v>228</v>
      </c>
      <c r="D214" s="17" t="s">
        <v>3678</v>
      </c>
      <c r="E214" s="17" t="s">
        <v>1010</v>
      </c>
      <c r="G214" s="17" t="s">
        <v>1651</v>
      </c>
    </row>
    <row r="215" spans="1:7" x14ac:dyDescent="0.25">
      <c r="A215" s="16" t="s">
        <v>2138</v>
      </c>
      <c r="B215" s="16" t="s">
        <v>225</v>
      </c>
      <c r="D215" s="17" t="s">
        <v>3679</v>
      </c>
      <c r="E215" s="17" t="s">
        <v>404</v>
      </c>
      <c r="G215" s="17" t="s">
        <v>1652</v>
      </c>
    </row>
    <row r="216" spans="1:7" x14ac:dyDescent="0.25">
      <c r="A216" s="16" t="s">
        <v>2139</v>
      </c>
      <c r="B216" s="16" t="s">
        <v>177</v>
      </c>
      <c r="D216" s="17" t="s">
        <v>3680</v>
      </c>
      <c r="E216" s="17" t="s">
        <v>173</v>
      </c>
      <c r="G216" s="17" t="s">
        <v>1653</v>
      </c>
    </row>
    <row r="217" spans="1:7" x14ac:dyDescent="0.25">
      <c r="A217" s="16" t="s">
        <v>2140</v>
      </c>
      <c r="B217" s="16" t="s">
        <v>906</v>
      </c>
      <c r="D217" s="17" t="s">
        <v>3681</v>
      </c>
      <c r="E217" s="17" t="s">
        <v>149</v>
      </c>
      <c r="G217" s="17" t="s">
        <v>110</v>
      </c>
    </row>
    <row r="218" spans="1:7" x14ac:dyDescent="0.25">
      <c r="A218" s="16" t="s">
        <v>2141</v>
      </c>
      <c r="B218" s="16" t="s">
        <v>193</v>
      </c>
      <c r="D218" s="17" t="s">
        <v>3682</v>
      </c>
      <c r="E218" s="17" t="s">
        <v>3683</v>
      </c>
      <c r="G218" s="17" t="s">
        <v>1660</v>
      </c>
    </row>
    <row r="219" spans="1:7" x14ac:dyDescent="0.25">
      <c r="A219" s="16" t="s">
        <v>2142</v>
      </c>
      <c r="B219" s="16" t="s">
        <v>194</v>
      </c>
      <c r="D219" s="17" t="s">
        <v>3684</v>
      </c>
      <c r="E219" s="17" t="s">
        <v>3685</v>
      </c>
      <c r="G219" s="17" t="s">
        <v>229</v>
      </c>
    </row>
    <row r="220" spans="1:7" x14ac:dyDescent="0.25">
      <c r="A220" s="16" t="s">
        <v>2143</v>
      </c>
      <c r="B220" s="16" t="s">
        <v>235</v>
      </c>
      <c r="D220" s="17" t="s">
        <v>3686</v>
      </c>
      <c r="E220" s="17" t="s">
        <v>3687</v>
      </c>
      <c r="G220" s="17" t="s">
        <v>1661</v>
      </c>
    </row>
    <row r="221" spans="1:7" x14ac:dyDescent="0.25">
      <c r="A221" s="16" t="s">
        <v>2144</v>
      </c>
      <c r="B221" s="16" t="s">
        <v>231</v>
      </c>
      <c r="D221" s="17" t="s">
        <v>3688</v>
      </c>
      <c r="E221" s="17" t="s">
        <v>3689</v>
      </c>
      <c r="G221" s="17" t="s">
        <v>1662</v>
      </c>
    </row>
    <row r="222" spans="1:7" x14ac:dyDescent="0.25">
      <c r="A222" s="16" t="s">
        <v>2145</v>
      </c>
      <c r="B222" s="16" t="s">
        <v>157</v>
      </c>
      <c r="D222" s="17" t="s">
        <v>3690</v>
      </c>
      <c r="E222" s="17" t="s">
        <v>3691</v>
      </c>
      <c r="G222" s="17" t="s">
        <v>1663</v>
      </c>
    </row>
    <row r="223" spans="1:7" x14ac:dyDescent="0.25">
      <c r="A223" s="16" t="s">
        <v>2146</v>
      </c>
      <c r="B223" s="16" t="s">
        <v>230</v>
      </c>
      <c r="D223" s="17" t="s">
        <v>3692</v>
      </c>
      <c r="E223" s="17" t="s">
        <v>3693</v>
      </c>
      <c r="G223" s="17" t="s">
        <v>134</v>
      </c>
    </row>
    <row r="224" spans="1:7" x14ac:dyDescent="0.25">
      <c r="A224" s="16" t="s">
        <v>2147</v>
      </c>
      <c r="B224" s="16" t="s">
        <v>221</v>
      </c>
      <c r="D224" s="17" t="s">
        <v>3694</v>
      </c>
      <c r="E224" s="17" t="s">
        <v>3695</v>
      </c>
      <c r="G224" s="17" t="s">
        <v>135</v>
      </c>
    </row>
    <row r="225" spans="1:7" x14ac:dyDescent="0.25">
      <c r="A225" s="16" t="s">
        <v>2148</v>
      </c>
      <c r="B225" s="16" t="s">
        <v>241</v>
      </c>
      <c r="D225" s="17" t="s">
        <v>3696</v>
      </c>
      <c r="E225" s="17" t="s">
        <v>3697</v>
      </c>
      <c r="G225" s="17" t="s">
        <v>247</v>
      </c>
    </row>
    <row r="226" spans="1:7" x14ac:dyDescent="0.25">
      <c r="A226" s="16" t="s">
        <v>2149</v>
      </c>
      <c r="B226" s="16" t="s">
        <v>244</v>
      </c>
      <c r="D226" s="17" t="s">
        <v>3698</v>
      </c>
      <c r="E226" s="17" t="s">
        <v>152</v>
      </c>
      <c r="G226" s="17" t="s">
        <v>248</v>
      </c>
    </row>
    <row r="227" spans="1:7" x14ac:dyDescent="0.25">
      <c r="A227" s="16" t="s">
        <v>2150</v>
      </c>
      <c r="B227" s="16" t="s">
        <v>154</v>
      </c>
      <c r="D227" s="17" t="s">
        <v>3699</v>
      </c>
      <c r="E227" s="17" t="s">
        <v>1228</v>
      </c>
      <c r="G227" s="17" t="s">
        <v>260</v>
      </c>
    </row>
    <row r="228" spans="1:7" x14ac:dyDescent="0.25">
      <c r="A228" s="16" t="s">
        <v>2151</v>
      </c>
      <c r="B228" s="16" t="s">
        <v>245</v>
      </c>
      <c r="D228" s="17" t="s">
        <v>3700</v>
      </c>
      <c r="E228" s="17" t="s">
        <v>3701</v>
      </c>
      <c r="G228" s="17" t="s">
        <v>265</v>
      </c>
    </row>
    <row r="229" spans="1:7" x14ac:dyDescent="0.25">
      <c r="A229" s="16" t="s">
        <v>2152</v>
      </c>
      <c r="B229" s="16" t="s">
        <v>243</v>
      </c>
      <c r="D229" s="17" t="s">
        <v>3702</v>
      </c>
      <c r="E229" s="17" t="s">
        <v>3703</v>
      </c>
      <c r="G229" s="17" t="s">
        <v>271</v>
      </c>
    </row>
    <row r="230" spans="1:7" x14ac:dyDescent="0.25">
      <c r="A230" s="16" t="s">
        <v>2153</v>
      </c>
      <c r="B230" s="16" t="s">
        <v>907</v>
      </c>
      <c r="D230" s="17" t="s">
        <v>3704</v>
      </c>
      <c r="E230" s="17" t="s">
        <v>3705</v>
      </c>
      <c r="G230" s="17" t="s">
        <v>276</v>
      </c>
    </row>
    <row r="231" spans="1:7" x14ac:dyDescent="0.25">
      <c r="A231" s="16" t="s">
        <v>2154</v>
      </c>
      <c r="B231" s="16" t="s">
        <v>908</v>
      </c>
      <c r="D231" s="17" t="s">
        <v>3706</v>
      </c>
      <c r="E231" s="17" t="s">
        <v>3707</v>
      </c>
      <c r="G231" s="17" t="s">
        <v>282</v>
      </c>
    </row>
    <row r="232" spans="1:7" x14ac:dyDescent="0.25">
      <c r="A232" s="16" t="s">
        <v>2155</v>
      </c>
      <c r="B232" s="16" t="s">
        <v>989</v>
      </c>
      <c r="D232" s="17" t="s">
        <v>3708</v>
      </c>
      <c r="E232" s="17" t="s">
        <v>3709</v>
      </c>
      <c r="G232" s="17" t="s">
        <v>287</v>
      </c>
    </row>
    <row r="233" spans="1:7" x14ac:dyDescent="0.25">
      <c r="A233" s="16" t="s">
        <v>2156</v>
      </c>
      <c r="B233" s="16" t="s">
        <v>236</v>
      </c>
      <c r="D233" s="17" t="s">
        <v>3710</v>
      </c>
      <c r="E233" s="17" t="s">
        <v>3711</v>
      </c>
      <c r="G233" s="17" t="s">
        <v>289</v>
      </c>
    </row>
    <row r="234" spans="1:7" x14ac:dyDescent="0.25">
      <c r="A234" s="16" t="s">
        <v>2157</v>
      </c>
      <c r="B234" s="16" t="s">
        <v>1000</v>
      </c>
      <c r="D234" s="17" t="s">
        <v>3712</v>
      </c>
      <c r="E234" s="17" t="s">
        <v>3713</v>
      </c>
      <c r="G234" s="17" t="s">
        <v>293</v>
      </c>
    </row>
    <row r="235" spans="1:7" x14ac:dyDescent="0.25">
      <c r="A235" s="16" t="s">
        <v>2158</v>
      </c>
      <c r="B235" s="16" t="s">
        <v>1010</v>
      </c>
      <c r="D235" s="17" t="s">
        <v>3714</v>
      </c>
      <c r="E235" s="17" t="s">
        <v>3715</v>
      </c>
      <c r="G235" s="17" t="s">
        <v>294</v>
      </c>
    </row>
    <row r="236" spans="1:7" x14ac:dyDescent="0.25">
      <c r="A236" s="16" t="s">
        <v>2159</v>
      </c>
      <c r="B236" s="16" t="s">
        <v>208</v>
      </c>
      <c r="D236" s="17" t="s">
        <v>3716</v>
      </c>
      <c r="E236" s="17" t="s">
        <v>3717</v>
      </c>
      <c r="G236" s="17" t="s">
        <v>295</v>
      </c>
    </row>
    <row r="237" spans="1:7" x14ac:dyDescent="0.25">
      <c r="A237" s="16" t="s">
        <v>2160</v>
      </c>
      <c r="B237" s="16" t="s">
        <v>140</v>
      </c>
      <c r="D237" s="17" t="s">
        <v>3718</v>
      </c>
      <c r="E237" s="17" t="s">
        <v>3719</v>
      </c>
      <c r="G237" s="17" t="s">
        <v>296</v>
      </c>
    </row>
    <row r="238" spans="1:7" x14ac:dyDescent="0.25">
      <c r="A238" s="16" t="s">
        <v>2161</v>
      </c>
      <c r="B238" s="16" t="s">
        <v>1031</v>
      </c>
      <c r="D238" s="17" t="s">
        <v>3720</v>
      </c>
      <c r="E238" s="17" t="s">
        <v>3721</v>
      </c>
      <c r="G238" s="17" t="s">
        <v>297</v>
      </c>
    </row>
    <row r="239" spans="1:7" x14ac:dyDescent="0.25">
      <c r="A239" s="16" t="s">
        <v>2162</v>
      </c>
      <c r="B239" s="16" t="s">
        <v>1042</v>
      </c>
      <c r="D239" s="17" t="s">
        <v>1650</v>
      </c>
      <c r="E239" s="17" t="s">
        <v>3722</v>
      </c>
      <c r="G239" s="17" t="s">
        <v>298</v>
      </c>
    </row>
    <row r="240" spans="1:7" x14ac:dyDescent="0.25">
      <c r="A240" s="16" t="s">
        <v>2163</v>
      </c>
      <c r="B240" s="16" t="s">
        <v>178</v>
      </c>
      <c r="D240" s="17" t="s">
        <v>1659</v>
      </c>
      <c r="E240" s="17" t="s">
        <v>439</v>
      </c>
      <c r="G240" s="17" t="s">
        <v>299</v>
      </c>
    </row>
    <row r="241" spans="1:7" x14ac:dyDescent="0.25">
      <c r="A241" s="16" t="s">
        <v>2164</v>
      </c>
      <c r="B241" s="16" t="s">
        <v>1063</v>
      </c>
      <c r="D241" s="17" t="s">
        <v>110</v>
      </c>
      <c r="E241" s="17" t="s">
        <v>3723</v>
      </c>
      <c r="G241" s="17" t="s">
        <v>300</v>
      </c>
    </row>
    <row r="242" spans="1:7" x14ac:dyDescent="0.25">
      <c r="A242" s="16" t="s">
        <v>2165</v>
      </c>
      <c r="B242" s="16" t="s">
        <v>1074</v>
      </c>
      <c r="D242" s="17" t="s">
        <v>1660</v>
      </c>
      <c r="E242" s="17" t="s">
        <v>3724</v>
      </c>
      <c r="G242" s="17" t="s">
        <v>301</v>
      </c>
    </row>
    <row r="243" spans="1:7" x14ac:dyDescent="0.25">
      <c r="A243" s="16" t="s">
        <v>2166</v>
      </c>
      <c r="B243" s="16" t="s">
        <v>1085</v>
      </c>
      <c r="D243" s="17" t="s">
        <v>1663</v>
      </c>
      <c r="E243" s="17" t="s">
        <v>928</v>
      </c>
      <c r="G243" s="17" t="s">
        <v>303</v>
      </c>
    </row>
    <row r="244" spans="1:7" x14ac:dyDescent="0.25">
      <c r="A244" s="16" t="s">
        <v>2167</v>
      </c>
      <c r="B244" s="16" t="s">
        <v>1096</v>
      </c>
      <c r="D244" s="17" t="s">
        <v>134</v>
      </c>
      <c r="E244" s="17" t="s">
        <v>3725</v>
      </c>
      <c r="G244" s="17" t="s">
        <v>310</v>
      </c>
    </row>
    <row r="245" spans="1:7" x14ac:dyDescent="0.25">
      <c r="A245" s="16" t="s">
        <v>2168</v>
      </c>
      <c r="B245" s="16" t="s">
        <v>1107</v>
      </c>
      <c r="D245" s="17" t="s">
        <v>135</v>
      </c>
      <c r="E245" s="17" t="s">
        <v>3726</v>
      </c>
      <c r="G245" s="17" t="s">
        <v>314</v>
      </c>
    </row>
    <row r="246" spans="1:7" x14ac:dyDescent="0.25">
      <c r="A246" s="16" t="s">
        <v>2169</v>
      </c>
      <c r="B246" s="16" t="s">
        <v>1118</v>
      </c>
      <c r="D246" s="17" t="s">
        <v>247</v>
      </c>
      <c r="E246" s="17" t="s">
        <v>3727</v>
      </c>
      <c r="G246" s="17" t="s">
        <v>320</v>
      </c>
    </row>
    <row r="247" spans="1:7" x14ac:dyDescent="0.25">
      <c r="A247" s="16" t="s">
        <v>2170</v>
      </c>
      <c r="B247" s="16" t="s">
        <v>644</v>
      </c>
      <c r="D247" s="17" t="s">
        <v>248</v>
      </c>
      <c r="E247" s="17" t="s">
        <v>590</v>
      </c>
      <c r="G247" s="17" t="s">
        <v>325</v>
      </c>
    </row>
    <row r="248" spans="1:7" x14ac:dyDescent="0.25">
      <c r="A248" s="16" t="s">
        <v>2171</v>
      </c>
      <c r="B248" s="16" t="s">
        <v>1129</v>
      </c>
      <c r="G248" s="17" t="s">
        <v>330</v>
      </c>
    </row>
    <row r="249" spans="1:7" x14ac:dyDescent="0.25">
      <c r="A249" s="16" t="s">
        <v>2172</v>
      </c>
      <c r="B249" s="16" t="s">
        <v>1140</v>
      </c>
      <c r="G249" s="17" t="s">
        <v>335</v>
      </c>
    </row>
    <row r="250" spans="1:7" x14ac:dyDescent="0.25">
      <c r="A250" s="16" t="s">
        <v>2173</v>
      </c>
      <c r="B250" s="16" t="s">
        <v>1151</v>
      </c>
      <c r="G250" s="17" t="s">
        <v>341</v>
      </c>
    </row>
    <row r="251" spans="1:7" x14ac:dyDescent="0.25">
      <c r="A251" s="16" t="s">
        <v>2174</v>
      </c>
      <c r="B251" s="16" t="s">
        <v>1161</v>
      </c>
      <c r="G251" s="17" t="s">
        <v>346</v>
      </c>
    </row>
    <row r="252" spans="1:7" x14ac:dyDescent="0.25">
      <c r="A252" s="16" t="s">
        <v>2175</v>
      </c>
      <c r="B252" s="16" t="s">
        <v>1172</v>
      </c>
      <c r="G252" s="17" t="s">
        <v>357</v>
      </c>
    </row>
    <row r="253" spans="1:7" x14ac:dyDescent="0.25">
      <c r="A253" s="16" t="s">
        <v>2176</v>
      </c>
      <c r="B253" s="16" t="s">
        <v>1183</v>
      </c>
      <c r="G253" s="17" t="s">
        <v>368</v>
      </c>
    </row>
    <row r="254" spans="1:7" x14ac:dyDescent="0.25">
      <c r="A254" s="16" t="s">
        <v>2177</v>
      </c>
      <c r="B254" s="16" t="s">
        <v>1194</v>
      </c>
      <c r="G254" s="17" t="s">
        <v>378</v>
      </c>
    </row>
    <row r="255" spans="1:7" x14ac:dyDescent="0.25">
      <c r="A255" s="16" t="s">
        <v>2178</v>
      </c>
      <c r="B255" s="16" t="s">
        <v>1205</v>
      </c>
      <c r="G255" s="17" t="s">
        <v>388</v>
      </c>
    </row>
    <row r="256" spans="1:7" x14ac:dyDescent="0.25">
      <c r="A256" s="16" t="s">
        <v>2179</v>
      </c>
      <c r="B256" s="16" t="s">
        <v>1216</v>
      </c>
      <c r="G256" s="17" t="s">
        <v>389</v>
      </c>
    </row>
    <row r="257" spans="1:7" x14ac:dyDescent="0.25">
      <c r="A257" s="16" t="s">
        <v>2180</v>
      </c>
      <c r="B257" s="16" t="s">
        <v>1227</v>
      </c>
      <c r="G257" s="17" t="s">
        <v>390</v>
      </c>
    </row>
    <row r="258" spans="1:7" x14ac:dyDescent="0.25">
      <c r="A258" s="16" t="s">
        <v>2181</v>
      </c>
      <c r="B258" s="16" t="s">
        <v>63</v>
      </c>
      <c r="G258" s="17" t="s">
        <v>391</v>
      </c>
    </row>
    <row r="259" spans="1:7" x14ac:dyDescent="0.25">
      <c r="A259" s="16" t="s">
        <v>2182</v>
      </c>
      <c r="B259" s="16" t="s">
        <v>1238</v>
      </c>
      <c r="G259" s="17" t="s">
        <v>392</v>
      </c>
    </row>
    <row r="260" spans="1:7" x14ac:dyDescent="0.25">
      <c r="A260" s="16" t="s">
        <v>2183</v>
      </c>
      <c r="B260" s="16" t="s">
        <v>1249</v>
      </c>
      <c r="G260" s="17" t="s">
        <v>394</v>
      </c>
    </row>
    <row r="261" spans="1:7" x14ac:dyDescent="0.25">
      <c r="A261" s="16" t="s">
        <v>2184</v>
      </c>
      <c r="B261" s="16" t="s">
        <v>183</v>
      </c>
      <c r="G261" s="17" t="s">
        <v>399</v>
      </c>
    </row>
    <row r="262" spans="1:7" x14ac:dyDescent="0.25">
      <c r="A262" s="16" t="s">
        <v>2185</v>
      </c>
      <c r="B262" s="16" t="s">
        <v>1269</v>
      </c>
      <c r="G262" s="17" t="s">
        <v>405</v>
      </c>
    </row>
    <row r="263" spans="1:7" x14ac:dyDescent="0.25">
      <c r="A263" s="16" t="s">
        <v>2186</v>
      </c>
      <c r="B263" s="16" t="s">
        <v>105</v>
      </c>
      <c r="G263" s="17" t="s">
        <v>410</v>
      </c>
    </row>
    <row r="264" spans="1:7" x14ac:dyDescent="0.25">
      <c r="A264" s="16" t="s">
        <v>2187</v>
      </c>
      <c r="B264" s="16" t="s">
        <v>158</v>
      </c>
      <c r="G264" s="17" t="s">
        <v>417</v>
      </c>
    </row>
    <row r="265" spans="1:7" x14ac:dyDescent="0.25">
      <c r="A265" s="16" t="s">
        <v>2188</v>
      </c>
      <c r="B265" s="16" t="s">
        <v>1298</v>
      </c>
      <c r="G265" s="17" t="s">
        <v>428</v>
      </c>
    </row>
    <row r="266" spans="1:7" x14ac:dyDescent="0.25">
      <c r="A266" s="16" t="s">
        <v>2189</v>
      </c>
      <c r="B266" s="16" t="s">
        <v>1309</v>
      </c>
      <c r="G266" s="17" t="s">
        <v>439</v>
      </c>
    </row>
    <row r="267" spans="1:7" x14ac:dyDescent="0.25">
      <c r="A267" s="16" t="s">
        <v>2190</v>
      </c>
      <c r="B267" s="16" t="s">
        <v>1320</v>
      </c>
      <c r="G267" s="17" t="s">
        <v>449</v>
      </c>
    </row>
    <row r="268" spans="1:7" x14ac:dyDescent="0.25">
      <c r="A268" s="16" t="s">
        <v>2191</v>
      </c>
      <c r="B268" s="16" t="s">
        <v>1330</v>
      </c>
      <c r="G268" s="17" t="s">
        <v>460</v>
      </c>
    </row>
    <row r="269" spans="1:7" x14ac:dyDescent="0.25">
      <c r="A269" s="16" t="s">
        <v>2192</v>
      </c>
      <c r="B269" s="16" t="s">
        <v>839</v>
      </c>
      <c r="G269" s="17" t="s">
        <v>470</v>
      </c>
    </row>
    <row r="270" spans="1:7" x14ac:dyDescent="0.25">
      <c r="A270" s="16" t="s">
        <v>2193</v>
      </c>
      <c r="B270" s="16" t="s">
        <v>1341</v>
      </c>
      <c r="G270" s="17" t="s">
        <v>479</v>
      </c>
    </row>
    <row r="271" spans="1:7" x14ac:dyDescent="0.25">
      <c r="A271" s="16" t="s">
        <v>2194</v>
      </c>
      <c r="B271" s="16" t="s">
        <v>1352</v>
      </c>
      <c r="G271" s="17" t="s">
        <v>490</v>
      </c>
    </row>
    <row r="272" spans="1:7" x14ac:dyDescent="0.25">
      <c r="A272" s="16" t="s">
        <v>2195</v>
      </c>
      <c r="B272" s="16" t="s">
        <v>1362</v>
      </c>
      <c r="G272" s="17" t="s">
        <v>500</v>
      </c>
    </row>
    <row r="273" spans="1:7" x14ac:dyDescent="0.25">
      <c r="A273" s="16" t="s">
        <v>2196</v>
      </c>
      <c r="B273" s="16" t="s">
        <v>1373</v>
      </c>
      <c r="G273" s="17" t="s">
        <v>511</v>
      </c>
    </row>
    <row r="274" spans="1:7" x14ac:dyDescent="0.25">
      <c r="A274" s="16" t="s">
        <v>2197</v>
      </c>
      <c r="B274" s="16" t="s">
        <v>1384</v>
      </c>
      <c r="G274" s="17" t="s">
        <v>516</v>
      </c>
    </row>
    <row r="275" spans="1:7" x14ac:dyDescent="0.25">
      <c r="A275" s="16" t="s">
        <v>2198</v>
      </c>
      <c r="B275" s="16" t="s">
        <v>1395</v>
      </c>
      <c r="G275" s="17" t="s">
        <v>522</v>
      </c>
    </row>
    <row r="276" spans="1:7" x14ac:dyDescent="0.25">
      <c r="A276" s="16" t="s">
        <v>2199</v>
      </c>
      <c r="B276" s="16" t="s">
        <v>136</v>
      </c>
      <c r="G276" s="17" t="s">
        <v>532</v>
      </c>
    </row>
    <row r="277" spans="1:7" x14ac:dyDescent="0.25">
      <c r="A277" s="16" t="s">
        <v>2200</v>
      </c>
      <c r="B277" s="16" t="s">
        <v>169</v>
      </c>
      <c r="G277" s="17" t="s">
        <v>541</v>
      </c>
    </row>
    <row r="278" spans="1:7" x14ac:dyDescent="0.25">
      <c r="A278" s="16" t="s">
        <v>2201</v>
      </c>
      <c r="B278" s="16" t="s">
        <v>151</v>
      </c>
      <c r="G278" s="17" t="s">
        <v>549</v>
      </c>
    </row>
    <row r="279" spans="1:7" x14ac:dyDescent="0.25">
      <c r="A279" s="16" t="s">
        <v>2202</v>
      </c>
      <c r="B279" s="16" t="s">
        <v>1435</v>
      </c>
      <c r="G279" s="17" t="s">
        <v>558</v>
      </c>
    </row>
    <row r="280" spans="1:7" x14ac:dyDescent="0.25">
      <c r="A280" s="16" t="s">
        <v>2203</v>
      </c>
      <c r="B280" s="16" t="s">
        <v>213</v>
      </c>
      <c r="G280" s="17" t="s">
        <v>569</v>
      </c>
    </row>
    <row r="281" spans="1:7" x14ac:dyDescent="0.25">
      <c r="A281" s="16" t="s">
        <v>2204</v>
      </c>
      <c r="B281" s="16" t="s">
        <v>1446</v>
      </c>
      <c r="G281" s="17" t="s">
        <v>579</v>
      </c>
    </row>
    <row r="282" spans="1:7" x14ac:dyDescent="0.25">
      <c r="A282" s="16" t="s">
        <v>2205</v>
      </c>
      <c r="B282" s="16" t="s">
        <v>96</v>
      </c>
      <c r="G282" s="17" t="s">
        <v>590</v>
      </c>
    </row>
    <row r="283" spans="1:7" x14ac:dyDescent="0.25">
      <c r="A283" s="16" t="s">
        <v>2206</v>
      </c>
      <c r="B283" s="16" t="s">
        <v>163</v>
      </c>
      <c r="G283" s="17" t="s">
        <v>591</v>
      </c>
    </row>
    <row r="284" spans="1:7" x14ac:dyDescent="0.25">
      <c r="A284" s="16" t="s">
        <v>2207</v>
      </c>
      <c r="B284" s="16" t="s">
        <v>1476</v>
      </c>
      <c r="G284" s="17" t="s">
        <v>592</v>
      </c>
    </row>
    <row r="285" spans="1:7" x14ac:dyDescent="0.25">
      <c r="A285" s="16" t="s">
        <v>2208</v>
      </c>
      <c r="B285" s="16" t="s">
        <v>1486</v>
      </c>
      <c r="G285" s="17" t="s">
        <v>593</v>
      </c>
    </row>
    <row r="286" spans="1:7" x14ac:dyDescent="0.25">
      <c r="A286" s="16" t="s">
        <v>2209</v>
      </c>
      <c r="B286" s="16" t="s">
        <v>1497</v>
      </c>
      <c r="G286" s="17" t="s">
        <v>601</v>
      </c>
    </row>
    <row r="287" spans="1:7" x14ac:dyDescent="0.25">
      <c r="A287" s="16" t="s">
        <v>2210</v>
      </c>
      <c r="B287" s="16" t="s">
        <v>1508</v>
      </c>
      <c r="G287" s="17" t="s">
        <v>612</v>
      </c>
    </row>
    <row r="288" spans="1:7" x14ac:dyDescent="0.25">
      <c r="A288" s="16" t="s">
        <v>2211</v>
      </c>
      <c r="B288" s="16" t="s">
        <v>1518</v>
      </c>
      <c r="G288" s="17" t="s">
        <v>621</v>
      </c>
    </row>
    <row r="289" spans="1:7" x14ac:dyDescent="0.25">
      <c r="A289" s="16" t="s">
        <v>2212</v>
      </c>
      <c r="B289" s="16" t="s">
        <v>1529</v>
      </c>
      <c r="G289" s="17" t="s">
        <v>631</v>
      </c>
    </row>
    <row r="290" spans="1:7" x14ac:dyDescent="0.25">
      <c r="A290" s="16" t="s">
        <v>2213</v>
      </c>
      <c r="B290" s="16" t="s">
        <v>1540</v>
      </c>
      <c r="G290" s="17" t="s">
        <v>640</v>
      </c>
    </row>
    <row r="291" spans="1:7" x14ac:dyDescent="0.25">
      <c r="A291" s="16" t="s">
        <v>2214</v>
      </c>
      <c r="B291" s="16" t="s">
        <v>170</v>
      </c>
      <c r="G291" s="17" t="s">
        <v>652</v>
      </c>
    </row>
    <row r="292" spans="1:7" x14ac:dyDescent="0.25">
      <c r="A292" s="16" t="s">
        <v>2215</v>
      </c>
      <c r="B292" s="16" t="s">
        <v>1551</v>
      </c>
      <c r="G292" s="17" t="s">
        <v>657</v>
      </c>
    </row>
    <row r="293" spans="1:7" x14ac:dyDescent="0.25">
      <c r="A293" s="16" t="s">
        <v>2216</v>
      </c>
      <c r="B293" s="16" t="s">
        <v>1562</v>
      </c>
      <c r="G293" s="17" t="s">
        <v>662</v>
      </c>
    </row>
    <row r="294" spans="1:7" x14ac:dyDescent="0.25">
      <c r="A294" s="16" t="s">
        <v>2217</v>
      </c>
      <c r="B294" s="16" t="s">
        <v>1573</v>
      </c>
      <c r="G294" s="17" t="s">
        <v>673</v>
      </c>
    </row>
    <row r="295" spans="1:7" x14ac:dyDescent="0.25">
      <c r="A295" s="16" t="s">
        <v>2218</v>
      </c>
      <c r="B295" s="16" t="s">
        <v>1584</v>
      </c>
      <c r="G295" s="17" t="s">
        <v>684</v>
      </c>
    </row>
    <row r="296" spans="1:7" x14ac:dyDescent="0.25">
      <c r="A296" s="16" t="s">
        <v>2219</v>
      </c>
      <c r="B296" s="16" t="s">
        <v>1595</v>
      </c>
      <c r="G296" s="17" t="s">
        <v>695</v>
      </c>
    </row>
    <row r="297" spans="1:7" x14ac:dyDescent="0.25">
      <c r="A297" s="16" t="s">
        <v>2220</v>
      </c>
      <c r="B297" s="16" t="s">
        <v>1606</v>
      </c>
      <c r="G297" s="17" t="s">
        <v>700</v>
      </c>
    </row>
    <row r="298" spans="1:7" x14ac:dyDescent="0.25">
      <c r="A298" s="16" t="s">
        <v>2221</v>
      </c>
      <c r="B298" s="16" t="s">
        <v>1614</v>
      </c>
      <c r="G298" s="17" t="s">
        <v>705</v>
      </c>
    </row>
    <row r="299" spans="1:7" x14ac:dyDescent="0.25">
      <c r="A299" s="16" t="s">
        <v>2222</v>
      </c>
      <c r="B299" s="16" t="s">
        <v>1625</v>
      </c>
      <c r="G299" s="17" t="s">
        <v>707</v>
      </c>
    </row>
    <row r="300" spans="1:7" x14ac:dyDescent="0.25">
      <c r="A300" s="16" t="s">
        <v>2223</v>
      </c>
      <c r="B300" s="16" t="s">
        <v>1636</v>
      </c>
      <c r="G300" s="17" t="s">
        <v>708</v>
      </c>
    </row>
    <row r="301" spans="1:7" x14ac:dyDescent="0.25">
      <c r="A301" s="16" t="s">
        <v>2224</v>
      </c>
      <c r="B301" s="16" t="s">
        <v>1646</v>
      </c>
      <c r="G301" s="17" t="s">
        <v>709</v>
      </c>
    </row>
    <row r="302" spans="1:7" x14ac:dyDescent="0.25">
      <c r="A302" s="16" t="s">
        <v>2225</v>
      </c>
      <c r="B302" s="16" t="s">
        <v>877</v>
      </c>
      <c r="G302" s="17" t="s">
        <v>710</v>
      </c>
    </row>
    <row r="303" spans="1:7" x14ac:dyDescent="0.25">
      <c r="A303" s="16" t="s">
        <v>2226</v>
      </c>
      <c r="B303" s="16" t="s">
        <v>1655</v>
      </c>
      <c r="G303" s="17" t="s">
        <v>711</v>
      </c>
    </row>
    <row r="304" spans="1:7" x14ac:dyDescent="0.25">
      <c r="A304" s="16" t="s">
        <v>2227</v>
      </c>
      <c r="B304" s="16" t="s">
        <v>246</v>
      </c>
      <c r="G304" s="17" t="s">
        <v>717</v>
      </c>
    </row>
    <row r="305" spans="1:7" x14ac:dyDescent="0.25">
      <c r="A305" s="16" t="s">
        <v>2228</v>
      </c>
      <c r="B305" s="16" t="s">
        <v>255</v>
      </c>
      <c r="G305" s="17" t="s">
        <v>718</v>
      </c>
    </row>
    <row r="306" spans="1:7" x14ac:dyDescent="0.25">
      <c r="A306" s="16" t="s">
        <v>2229</v>
      </c>
      <c r="B306" s="16" t="s">
        <v>266</v>
      </c>
      <c r="G306" s="17" t="s">
        <v>719</v>
      </c>
    </row>
    <row r="307" spans="1:7" x14ac:dyDescent="0.25">
      <c r="A307" s="16" t="s">
        <v>2230</v>
      </c>
      <c r="B307" s="16" t="s">
        <v>277</v>
      </c>
      <c r="G307" s="17" t="s">
        <v>720</v>
      </c>
    </row>
    <row r="308" spans="1:7" x14ac:dyDescent="0.25">
      <c r="A308" s="16" t="s">
        <v>2231</v>
      </c>
      <c r="B308" s="16" t="s">
        <v>288</v>
      </c>
      <c r="G308" s="17" t="s">
        <v>721</v>
      </c>
    </row>
    <row r="309" spans="1:7" x14ac:dyDescent="0.25">
      <c r="A309" s="16" t="s">
        <v>2232</v>
      </c>
      <c r="B309" s="16" t="s">
        <v>112</v>
      </c>
      <c r="G309" s="17" t="s">
        <v>722</v>
      </c>
    </row>
    <row r="310" spans="1:7" x14ac:dyDescent="0.25">
      <c r="A310" s="16" t="s">
        <v>2233</v>
      </c>
      <c r="B310" s="16" t="s">
        <v>309</v>
      </c>
      <c r="G310" s="17" t="s">
        <v>723</v>
      </c>
    </row>
    <row r="311" spans="1:7" x14ac:dyDescent="0.25">
      <c r="A311" s="16" t="s">
        <v>2234</v>
      </c>
      <c r="B311" s="16" t="s">
        <v>319</v>
      </c>
      <c r="G311" s="17" t="s">
        <v>728</v>
      </c>
    </row>
    <row r="312" spans="1:7" x14ac:dyDescent="0.25">
      <c r="A312" s="16" t="s">
        <v>2235</v>
      </c>
      <c r="B312" s="16" t="s">
        <v>101</v>
      </c>
      <c r="G312" s="17" t="s">
        <v>729</v>
      </c>
    </row>
    <row r="313" spans="1:7" x14ac:dyDescent="0.25">
      <c r="A313" s="16" t="s">
        <v>2236</v>
      </c>
      <c r="B313" s="16" t="s">
        <v>397</v>
      </c>
      <c r="G313" s="17" t="s">
        <v>730</v>
      </c>
    </row>
    <row r="314" spans="1:7" x14ac:dyDescent="0.25">
      <c r="A314" s="16" t="s">
        <v>2237</v>
      </c>
      <c r="B314" s="16" t="s">
        <v>407</v>
      </c>
      <c r="G314" s="17" t="s">
        <v>731</v>
      </c>
    </row>
    <row r="315" spans="1:7" x14ac:dyDescent="0.25">
      <c r="A315" s="16" t="s">
        <v>2238</v>
      </c>
      <c r="B315" s="16" t="s">
        <v>408</v>
      </c>
      <c r="G315" s="17" t="s">
        <v>732</v>
      </c>
    </row>
    <row r="316" spans="1:7" x14ac:dyDescent="0.25">
      <c r="A316" s="16" t="s">
        <v>2239</v>
      </c>
      <c r="B316" s="16" t="s">
        <v>409</v>
      </c>
      <c r="G316" s="17" t="s">
        <v>739</v>
      </c>
    </row>
    <row r="317" spans="1:7" x14ac:dyDescent="0.25">
      <c r="A317" s="16" t="s">
        <v>2240</v>
      </c>
      <c r="B317" s="16" t="s">
        <v>410</v>
      </c>
      <c r="G317" s="17" t="s">
        <v>749</v>
      </c>
    </row>
    <row r="318" spans="1:7" x14ac:dyDescent="0.25">
      <c r="A318" s="16" t="s">
        <v>2241</v>
      </c>
      <c r="B318" s="16" t="s">
        <v>411</v>
      </c>
      <c r="G318" s="17" t="s">
        <v>758</v>
      </c>
    </row>
    <row r="319" spans="1:7" x14ac:dyDescent="0.25">
      <c r="A319" s="16" t="s">
        <v>2242</v>
      </c>
      <c r="B319" s="16" t="s">
        <v>412</v>
      </c>
      <c r="G319" s="17" t="s">
        <v>768</v>
      </c>
    </row>
    <row r="320" spans="1:7" x14ac:dyDescent="0.25">
      <c r="A320" s="16" t="s">
        <v>2243</v>
      </c>
      <c r="B320" s="16" t="s">
        <v>413</v>
      </c>
      <c r="G320" s="17" t="s">
        <v>773</v>
      </c>
    </row>
    <row r="321" spans="1:7" x14ac:dyDescent="0.25">
      <c r="A321" s="16" t="s">
        <v>2244</v>
      </c>
      <c r="B321" s="16" t="s">
        <v>414</v>
      </c>
      <c r="G321" s="17" t="s">
        <v>778</v>
      </c>
    </row>
    <row r="322" spans="1:7" x14ac:dyDescent="0.25">
      <c r="A322" s="16" t="s">
        <v>2245</v>
      </c>
      <c r="B322" s="16" t="s">
        <v>398</v>
      </c>
      <c r="G322" s="17" t="s">
        <v>788</v>
      </c>
    </row>
    <row r="323" spans="1:7" x14ac:dyDescent="0.25">
      <c r="A323" s="16" t="s">
        <v>2246</v>
      </c>
      <c r="B323" s="16" t="s">
        <v>415</v>
      </c>
      <c r="G323" s="17" t="s">
        <v>797</v>
      </c>
    </row>
    <row r="324" spans="1:7" x14ac:dyDescent="0.25">
      <c r="A324" s="16" t="s">
        <v>2247</v>
      </c>
      <c r="B324" s="16" t="s">
        <v>416</v>
      </c>
      <c r="G324" s="17" t="s">
        <v>807</v>
      </c>
    </row>
    <row r="325" spans="1:7" x14ac:dyDescent="0.25">
      <c r="A325" s="16" t="s">
        <v>2248</v>
      </c>
      <c r="B325" s="16" t="s">
        <v>417</v>
      </c>
      <c r="G325" s="17" t="s">
        <v>818</v>
      </c>
    </row>
    <row r="326" spans="1:7" x14ac:dyDescent="0.25">
      <c r="A326" s="16" t="s">
        <v>2249</v>
      </c>
      <c r="B326" s="16" t="s">
        <v>399</v>
      </c>
      <c r="G326" s="17" t="s">
        <v>828</v>
      </c>
    </row>
    <row r="327" spans="1:7" x14ac:dyDescent="0.25">
      <c r="A327" s="16" t="s">
        <v>2250</v>
      </c>
      <c r="B327" s="16" t="s">
        <v>400</v>
      </c>
      <c r="G327" s="17" t="s">
        <v>838</v>
      </c>
    </row>
    <row r="328" spans="1:7" x14ac:dyDescent="0.25">
      <c r="A328" s="16" t="s">
        <v>2251</v>
      </c>
      <c r="B328" s="16" t="s">
        <v>401</v>
      </c>
      <c r="G328" s="17" t="s">
        <v>840</v>
      </c>
    </row>
    <row r="329" spans="1:7" x14ac:dyDescent="0.25">
      <c r="A329" s="16" t="s">
        <v>2252</v>
      </c>
      <c r="B329" s="16" t="s">
        <v>402</v>
      </c>
      <c r="G329" s="17" t="s">
        <v>842</v>
      </c>
    </row>
    <row r="330" spans="1:7" x14ac:dyDescent="0.25">
      <c r="A330" s="16" t="s">
        <v>2253</v>
      </c>
      <c r="B330" s="16" t="s">
        <v>403</v>
      </c>
      <c r="G330" s="17" t="s">
        <v>844</v>
      </c>
    </row>
    <row r="331" spans="1:7" x14ac:dyDescent="0.25">
      <c r="A331" s="16" t="s">
        <v>2254</v>
      </c>
      <c r="B331" s="16" t="s">
        <v>405</v>
      </c>
      <c r="G331" s="17" t="s">
        <v>846</v>
      </c>
    </row>
    <row r="332" spans="1:7" x14ac:dyDescent="0.25">
      <c r="A332" s="16" t="s">
        <v>2255</v>
      </c>
      <c r="B332" s="16" t="s">
        <v>406</v>
      </c>
      <c r="G332" s="17" t="s">
        <v>847</v>
      </c>
    </row>
    <row r="333" spans="1:7" x14ac:dyDescent="0.25">
      <c r="A333" s="16" t="s">
        <v>793</v>
      </c>
      <c r="B333" s="16" t="s">
        <v>793</v>
      </c>
      <c r="G333" s="17" t="s">
        <v>849</v>
      </c>
    </row>
    <row r="334" spans="1:7" x14ac:dyDescent="0.25">
      <c r="A334" s="16" t="s">
        <v>795</v>
      </c>
      <c r="B334" s="16" t="s">
        <v>795</v>
      </c>
      <c r="G334" s="17" t="s">
        <v>851</v>
      </c>
    </row>
    <row r="335" spans="1:7" x14ac:dyDescent="0.25">
      <c r="A335" s="16" t="s">
        <v>796</v>
      </c>
      <c r="B335" s="16" t="s">
        <v>796</v>
      </c>
      <c r="G335" s="17" t="s">
        <v>852</v>
      </c>
    </row>
    <row r="336" spans="1:7" x14ac:dyDescent="0.25">
      <c r="A336" s="16" t="s">
        <v>797</v>
      </c>
      <c r="B336" s="16" t="s">
        <v>797</v>
      </c>
      <c r="G336" s="17" t="s">
        <v>853</v>
      </c>
    </row>
    <row r="337" spans="1:7" x14ac:dyDescent="0.25">
      <c r="A337" s="16" t="s">
        <v>798</v>
      </c>
      <c r="B337" s="16" t="s">
        <v>798</v>
      </c>
      <c r="G337" s="17" t="s">
        <v>854</v>
      </c>
    </row>
    <row r="338" spans="1:7" x14ac:dyDescent="0.25">
      <c r="A338" s="16" t="s">
        <v>799</v>
      </c>
      <c r="B338" s="16" t="s">
        <v>799</v>
      </c>
      <c r="G338" s="17" t="s">
        <v>856</v>
      </c>
    </row>
    <row r="339" spans="1:7" x14ac:dyDescent="0.25">
      <c r="A339" s="16" t="s">
        <v>800</v>
      </c>
      <c r="B339" s="16" t="s">
        <v>800</v>
      </c>
      <c r="G339" s="17" t="s">
        <v>857</v>
      </c>
    </row>
    <row r="340" spans="1:7" x14ac:dyDescent="0.25">
      <c r="A340" s="16" t="s">
        <v>801</v>
      </c>
      <c r="B340" s="16" t="s">
        <v>801</v>
      </c>
      <c r="G340" s="17" t="s">
        <v>858</v>
      </c>
    </row>
    <row r="341" spans="1:7" x14ac:dyDescent="0.25">
      <c r="A341" s="16" t="s">
        <v>802</v>
      </c>
      <c r="B341" s="16" t="s">
        <v>802</v>
      </c>
      <c r="G341" s="17" t="s">
        <v>859</v>
      </c>
    </row>
    <row r="342" spans="1:7" x14ac:dyDescent="0.25">
      <c r="A342" s="16" t="s">
        <v>803</v>
      </c>
      <c r="B342" s="16" t="s">
        <v>803</v>
      </c>
      <c r="G342" s="17" t="s">
        <v>861</v>
      </c>
    </row>
    <row r="343" spans="1:7" x14ac:dyDescent="0.25">
      <c r="A343" s="16" t="s">
        <v>804</v>
      </c>
      <c r="B343" s="16" t="s">
        <v>804</v>
      </c>
      <c r="G343" s="17" t="s">
        <v>862</v>
      </c>
    </row>
    <row r="344" spans="1:7" x14ac:dyDescent="0.25">
      <c r="A344" s="16" t="s">
        <v>805</v>
      </c>
      <c r="B344" s="16" t="s">
        <v>805</v>
      </c>
      <c r="G344" s="17" t="s">
        <v>863</v>
      </c>
    </row>
    <row r="345" spans="1:7" x14ac:dyDescent="0.25">
      <c r="A345" s="16" t="s">
        <v>806</v>
      </c>
      <c r="B345" s="16" t="s">
        <v>806</v>
      </c>
      <c r="G345" s="17" t="s">
        <v>884</v>
      </c>
    </row>
    <row r="346" spans="1:7" x14ac:dyDescent="0.25">
      <c r="A346" s="16" t="s">
        <v>807</v>
      </c>
      <c r="B346" s="16" t="s">
        <v>807</v>
      </c>
      <c r="G346" s="17" t="s">
        <v>886</v>
      </c>
    </row>
    <row r="347" spans="1:7" x14ac:dyDescent="0.25">
      <c r="A347" s="16" t="s">
        <v>808</v>
      </c>
      <c r="B347" s="16" t="s">
        <v>808</v>
      </c>
      <c r="G347" s="17" t="s">
        <v>888</v>
      </c>
    </row>
    <row r="348" spans="1:7" x14ac:dyDescent="0.25">
      <c r="A348" s="16" t="s">
        <v>809</v>
      </c>
      <c r="B348" s="16" t="s">
        <v>809</v>
      </c>
      <c r="G348" s="17" t="s">
        <v>889</v>
      </c>
    </row>
    <row r="349" spans="1:7" x14ac:dyDescent="0.25">
      <c r="A349" s="16" t="s">
        <v>810</v>
      </c>
      <c r="B349" s="16" t="s">
        <v>810</v>
      </c>
      <c r="G349" s="17" t="s">
        <v>890</v>
      </c>
    </row>
    <row r="350" spans="1:7" x14ac:dyDescent="0.25">
      <c r="A350" s="16" t="s">
        <v>811</v>
      </c>
      <c r="B350" s="16" t="s">
        <v>811</v>
      </c>
      <c r="G350" s="17" t="s">
        <v>891</v>
      </c>
    </row>
    <row r="351" spans="1:7" x14ac:dyDescent="0.25">
      <c r="A351" s="16" t="s">
        <v>812</v>
      </c>
      <c r="B351" s="16" t="s">
        <v>812</v>
      </c>
      <c r="G351" s="17" t="s">
        <v>892</v>
      </c>
    </row>
    <row r="352" spans="1:7" x14ac:dyDescent="0.25">
      <c r="A352" s="16" t="s">
        <v>813</v>
      </c>
      <c r="B352" s="16" t="s">
        <v>813</v>
      </c>
      <c r="G352" s="17" t="s">
        <v>893</v>
      </c>
    </row>
    <row r="353" spans="1:7" x14ac:dyDescent="0.25">
      <c r="A353" s="16" t="s">
        <v>814</v>
      </c>
      <c r="B353" s="16" t="s">
        <v>814</v>
      </c>
      <c r="G353" s="17" t="s">
        <v>894</v>
      </c>
    </row>
    <row r="354" spans="1:7" x14ac:dyDescent="0.25">
      <c r="A354" s="16" t="s">
        <v>816</v>
      </c>
      <c r="B354" s="16" t="s">
        <v>816</v>
      </c>
      <c r="G354" s="17" t="s">
        <v>895</v>
      </c>
    </row>
    <row r="355" spans="1:7" x14ac:dyDescent="0.25">
      <c r="A355" s="16" t="s">
        <v>817</v>
      </c>
      <c r="B355" s="16" t="s">
        <v>817</v>
      </c>
      <c r="G355" s="17" t="s">
        <v>896</v>
      </c>
    </row>
    <row r="356" spans="1:7" x14ac:dyDescent="0.25">
      <c r="A356" s="16" t="s">
        <v>818</v>
      </c>
      <c r="B356" s="16" t="s">
        <v>818</v>
      </c>
      <c r="G356" s="17" t="s">
        <v>898</v>
      </c>
    </row>
    <row r="357" spans="1:7" x14ac:dyDescent="0.25">
      <c r="A357" s="16" t="s">
        <v>819</v>
      </c>
      <c r="B357" s="16" t="s">
        <v>819</v>
      </c>
      <c r="G357" s="17" t="s">
        <v>899</v>
      </c>
    </row>
    <row r="358" spans="1:7" x14ac:dyDescent="0.25">
      <c r="A358" s="16" t="s">
        <v>820</v>
      </c>
      <c r="B358" s="16" t="s">
        <v>820</v>
      </c>
      <c r="G358" s="17" t="s">
        <v>901</v>
      </c>
    </row>
    <row r="359" spans="1:7" x14ac:dyDescent="0.25">
      <c r="A359" s="16" t="s">
        <v>821</v>
      </c>
      <c r="B359" s="16" t="s">
        <v>821</v>
      </c>
      <c r="G359" s="17" t="s">
        <v>903</v>
      </c>
    </row>
    <row r="360" spans="1:7" x14ac:dyDescent="0.25">
      <c r="A360" s="16" t="s">
        <v>822</v>
      </c>
      <c r="B360" s="16" t="s">
        <v>822</v>
      </c>
      <c r="G360" s="17" t="s">
        <v>1668</v>
      </c>
    </row>
    <row r="361" spans="1:7" x14ac:dyDescent="0.25">
      <c r="A361" s="16" t="s">
        <v>823</v>
      </c>
      <c r="B361" s="16" t="s">
        <v>823</v>
      </c>
      <c r="G361" s="17" t="s">
        <v>1669</v>
      </c>
    </row>
    <row r="362" spans="1:7" x14ac:dyDescent="0.25">
      <c r="A362" s="16" t="s">
        <v>824</v>
      </c>
      <c r="B362" s="16" t="s">
        <v>824</v>
      </c>
      <c r="G362" s="17" t="s">
        <v>1670</v>
      </c>
    </row>
    <row r="363" spans="1:7" x14ac:dyDescent="0.25">
      <c r="A363" s="16" t="s">
        <v>825</v>
      </c>
      <c r="B363" s="16" t="s">
        <v>825</v>
      </c>
      <c r="G363" s="17" t="s">
        <v>1671</v>
      </c>
    </row>
    <row r="364" spans="1:7" x14ac:dyDescent="0.25">
      <c r="A364" s="16" t="s">
        <v>826</v>
      </c>
      <c r="B364" s="16" t="s">
        <v>826</v>
      </c>
      <c r="G364" s="17" t="s">
        <v>1672</v>
      </c>
    </row>
    <row r="365" spans="1:7" x14ac:dyDescent="0.25">
      <c r="A365" s="16" t="s">
        <v>827</v>
      </c>
      <c r="B365" s="16" t="s">
        <v>827</v>
      </c>
      <c r="G365" s="17" t="s">
        <v>1673</v>
      </c>
    </row>
    <row r="366" spans="1:7" x14ac:dyDescent="0.25">
      <c r="A366" s="16" t="s">
        <v>828</v>
      </c>
      <c r="B366" s="16" t="s">
        <v>828</v>
      </c>
      <c r="G366" s="17" t="s">
        <v>1674</v>
      </c>
    </row>
    <row r="367" spans="1:7" x14ac:dyDescent="0.25">
      <c r="A367" s="16" t="s">
        <v>829</v>
      </c>
      <c r="B367" s="16" t="s">
        <v>829</v>
      </c>
      <c r="G367" s="17" t="s">
        <v>1664</v>
      </c>
    </row>
    <row r="368" spans="1:7" x14ac:dyDescent="0.25">
      <c r="A368" s="16" t="s">
        <v>830</v>
      </c>
      <c r="B368" s="16" t="s">
        <v>830</v>
      </c>
      <c r="G368" s="17" t="s">
        <v>1675</v>
      </c>
    </row>
    <row r="369" spans="1:7" x14ac:dyDescent="0.25">
      <c r="A369" s="16" t="s">
        <v>831</v>
      </c>
      <c r="B369" s="16" t="s">
        <v>831</v>
      </c>
      <c r="G369" s="17" t="s">
        <v>1676</v>
      </c>
    </row>
    <row r="370" spans="1:7" x14ac:dyDescent="0.25">
      <c r="A370" s="16" t="s">
        <v>832</v>
      </c>
      <c r="B370" s="16" t="s">
        <v>832</v>
      </c>
      <c r="G370" s="17" t="s">
        <v>1677</v>
      </c>
    </row>
    <row r="371" spans="1:7" x14ac:dyDescent="0.25">
      <c r="A371" s="16" t="s">
        <v>833</v>
      </c>
      <c r="B371" s="16" t="s">
        <v>833</v>
      </c>
      <c r="G371" s="17" t="s">
        <v>1678</v>
      </c>
    </row>
    <row r="372" spans="1:7" x14ac:dyDescent="0.25">
      <c r="A372" s="16" t="s">
        <v>835</v>
      </c>
      <c r="B372" s="16" t="s">
        <v>835</v>
      </c>
      <c r="G372" s="17" t="s">
        <v>1679</v>
      </c>
    </row>
    <row r="373" spans="1:7" x14ac:dyDescent="0.25">
      <c r="A373" s="16" t="s">
        <v>836</v>
      </c>
      <c r="B373" s="16" t="s">
        <v>836</v>
      </c>
      <c r="G373" s="17" t="s">
        <v>1680</v>
      </c>
    </row>
    <row r="374" spans="1:7" x14ac:dyDescent="0.25">
      <c r="A374" s="16" t="s">
        <v>837</v>
      </c>
      <c r="B374" s="16" t="s">
        <v>837</v>
      </c>
      <c r="G374" s="17" t="s">
        <v>1681</v>
      </c>
    </row>
    <row r="375" spans="1:7" x14ac:dyDescent="0.25">
      <c r="A375" s="16" t="s">
        <v>2256</v>
      </c>
      <c r="B375" s="16" t="s">
        <v>917</v>
      </c>
      <c r="G375" s="17" t="s">
        <v>1682</v>
      </c>
    </row>
    <row r="376" spans="1:7" x14ac:dyDescent="0.25">
      <c r="A376" s="16" t="s">
        <v>2257</v>
      </c>
      <c r="B376" s="16" t="s">
        <v>926</v>
      </c>
      <c r="G376" s="17" t="s">
        <v>1683</v>
      </c>
    </row>
    <row r="377" spans="1:7" x14ac:dyDescent="0.25">
      <c r="A377" s="16" t="s">
        <v>2258</v>
      </c>
      <c r="B377" s="16" t="s">
        <v>928</v>
      </c>
      <c r="G377" s="17" t="s">
        <v>1684</v>
      </c>
    </row>
    <row r="378" spans="1:7" x14ac:dyDescent="0.25">
      <c r="A378" s="16" t="s">
        <v>2259</v>
      </c>
      <c r="B378" s="16" t="s">
        <v>929</v>
      </c>
      <c r="G378" s="17" t="s">
        <v>1685</v>
      </c>
    </row>
    <row r="379" spans="1:7" x14ac:dyDescent="0.25">
      <c r="A379" s="16" t="s">
        <v>2260</v>
      </c>
      <c r="B379" s="16" t="s">
        <v>930</v>
      </c>
      <c r="G379" s="17" t="s">
        <v>1686</v>
      </c>
    </row>
    <row r="380" spans="1:7" x14ac:dyDescent="0.25">
      <c r="A380" s="16" t="s">
        <v>2261</v>
      </c>
      <c r="B380" s="16" t="s">
        <v>931</v>
      </c>
      <c r="G380" s="17" t="s">
        <v>1687</v>
      </c>
    </row>
    <row r="381" spans="1:7" x14ac:dyDescent="0.25">
      <c r="A381" s="16" t="s">
        <v>2262</v>
      </c>
      <c r="B381" s="16" t="s">
        <v>932</v>
      </c>
      <c r="G381" s="17" t="s">
        <v>1914</v>
      </c>
    </row>
    <row r="382" spans="1:7" x14ac:dyDescent="0.25">
      <c r="A382" s="16" t="s">
        <v>2263</v>
      </c>
      <c r="B382" s="16" t="s">
        <v>933</v>
      </c>
      <c r="G382" s="17" t="s">
        <v>1688</v>
      </c>
    </row>
    <row r="383" spans="1:7" x14ac:dyDescent="0.25">
      <c r="A383" s="16" t="s">
        <v>2264</v>
      </c>
      <c r="B383" s="16" t="s">
        <v>934</v>
      </c>
      <c r="G383" s="17" t="s">
        <v>1689</v>
      </c>
    </row>
    <row r="384" spans="1:7" x14ac:dyDescent="0.25">
      <c r="A384" s="16" t="s">
        <v>2265</v>
      </c>
      <c r="B384" s="16" t="s">
        <v>935</v>
      </c>
      <c r="G384" s="17" t="s">
        <v>1690</v>
      </c>
    </row>
    <row r="385" spans="1:7" x14ac:dyDescent="0.25">
      <c r="A385" s="16" t="s">
        <v>2266</v>
      </c>
      <c r="B385" s="16" t="s">
        <v>936</v>
      </c>
      <c r="G385" s="17" t="s">
        <v>1691</v>
      </c>
    </row>
    <row r="386" spans="1:7" x14ac:dyDescent="0.25">
      <c r="A386" s="16" t="s">
        <v>2267</v>
      </c>
      <c r="B386" s="16" t="s">
        <v>918</v>
      </c>
      <c r="G386" s="17" t="s">
        <v>1692</v>
      </c>
    </row>
    <row r="387" spans="1:7" x14ac:dyDescent="0.25">
      <c r="A387" s="16" t="s">
        <v>2268</v>
      </c>
      <c r="B387" s="16" t="s">
        <v>937</v>
      </c>
      <c r="G387" s="17" t="s">
        <v>1693</v>
      </c>
    </row>
    <row r="388" spans="1:7" x14ac:dyDescent="0.25">
      <c r="A388" s="16" t="s">
        <v>2269</v>
      </c>
      <c r="B388" s="16" t="s">
        <v>1006</v>
      </c>
      <c r="G388" s="17" t="s">
        <v>1694</v>
      </c>
    </row>
    <row r="389" spans="1:7" x14ac:dyDescent="0.25">
      <c r="A389" s="16" t="s">
        <v>2270</v>
      </c>
      <c r="B389" s="16" t="s">
        <v>1007</v>
      </c>
      <c r="G389" s="17" t="s">
        <v>1695</v>
      </c>
    </row>
    <row r="390" spans="1:7" x14ac:dyDescent="0.25">
      <c r="A390" s="16" t="s">
        <v>2271</v>
      </c>
      <c r="B390" s="16" t="s">
        <v>1008</v>
      </c>
      <c r="G390" s="17" t="s">
        <v>1696</v>
      </c>
    </row>
    <row r="391" spans="1:7" x14ac:dyDescent="0.25">
      <c r="A391" s="16" t="s">
        <v>2272</v>
      </c>
      <c r="B391" s="16" t="s">
        <v>1009</v>
      </c>
      <c r="G391" s="17" t="s">
        <v>1697</v>
      </c>
    </row>
    <row r="392" spans="1:7" x14ac:dyDescent="0.25">
      <c r="A392" s="16" t="s">
        <v>2273</v>
      </c>
      <c r="B392" s="16" t="s">
        <v>1011</v>
      </c>
      <c r="G392" s="17" t="s">
        <v>1698</v>
      </c>
    </row>
    <row r="393" spans="1:7" x14ac:dyDescent="0.25">
      <c r="A393" s="16" t="s">
        <v>2274</v>
      </c>
      <c r="B393" s="16" t="s">
        <v>1012</v>
      </c>
      <c r="G393" s="17" t="s">
        <v>1699</v>
      </c>
    </row>
    <row r="394" spans="1:7" x14ac:dyDescent="0.25">
      <c r="A394" s="16" t="s">
        <v>2275</v>
      </c>
      <c r="B394" s="16" t="s">
        <v>1013</v>
      </c>
      <c r="G394" s="17" t="s">
        <v>1700</v>
      </c>
    </row>
    <row r="395" spans="1:7" x14ac:dyDescent="0.25">
      <c r="A395" s="16" t="s">
        <v>2276</v>
      </c>
      <c r="B395" s="16" t="s">
        <v>1014</v>
      </c>
      <c r="G395" s="17" t="s">
        <v>1701</v>
      </c>
    </row>
    <row r="396" spans="1:7" x14ac:dyDescent="0.25">
      <c r="A396" s="16" t="s">
        <v>2277</v>
      </c>
      <c r="B396" s="16" t="s">
        <v>1015</v>
      </c>
      <c r="G396" s="17" t="s">
        <v>1702</v>
      </c>
    </row>
    <row r="397" spans="1:7" x14ac:dyDescent="0.25">
      <c r="A397" s="16" t="s">
        <v>2278</v>
      </c>
      <c r="B397" s="16" t="s">
        <v>1016</v>
      </c>
      <c r="G397" s="17" t="s">
        <v>1703</v>
      </c>
    </row>
    <row r="398" spans="1:7" x14ac:dyDescent="0.25">
      <c r="A398" s="16" t="s">
        <v>2279</v>
      </c>
      <c r="B398" s="16" t="s">
        <v>1017</v>
      </c>
      <c r="G398" s="17" t="s">
        <v>1704</v>
      </c>
    </row>
    <row r="399" spans="1:7" x14ac:dyDescent="0.25">
      <c r="A399" s="16" t="s">
        <v>2280</v>
      </c>
      <c r="B399" s="16" t="s">
        <v>1018</v>
      </c>
      <c r="G399" s="17" t="s">
        <v>1705</v>
      </c>
    </row>
    <row r="400" spans="1:7" x14ac:dyDescent="0.25">
      <c r="A400" s="16" t="s">
        <v>2281</v>
      </c>
      <c r="B400" s="16" t="s">
        <v>1019</v>
      </c>
      <c r="G400" s="17" t="s">
        <v>1706</v>
      </c>
    </row>
    <row r="401" spans="1:7" x14ac:dyDescent="0.25">
      <c r="A401" s="16" t="s">
        <v>2282</v>
      </c>
      <c r="B401" s="16" t="s">
        <v>1020</v>
      </c>
      <c r="G401" s="17" t="s">
        <v>1707</v>
      </c>
    </row>
    <row r="402" spans="1:7" x14ac:dyDescent="0.25">
      <c r="A402" s="16" t="s">
        <v>2283</v>
      </c>
      <c r="B402" s="16" t="s">
        <v>1021</v>
      </c>
      <c r="G402" s="17" t="s">
        <v>1708</v>
      </c>
    </row>
    <row r="403" spans="1:7" x14ac:dyDescent="0.25">
      <c r="A403" s="16" t="s">
        <v>2284</v>
      </c>
      <c r="B403" s="16" t="s">
        <v>1022</v>
      </c>
      <c r="G403" s="17" t="s">
        <v>1709</v>
      </c>
    </row>
    <row r="404" spans="1:7" x14ac:dyDescent="0.25">
      <c r="A404" s="16" t="s">
        <v>2285</v>
      </c>
      <c r="B404" s="16" t="s">
        <v>1023</v>
      </c>
      <c r="G404" s="17" t="s">
        <v>1710</v>
      </c>
    </row>
    <row r="405" spans="1:7" x14ac:dyDescent="0.25">
      <c r="A405" s="16" t="s">
        <v>2286</v>
      </c>
      <c r="B405" s="16" t="s">
        <v>938</v>
      </c>
      <c r="G405" s="17" t="s">
        <v>1711</v>
      </c>
    </row>
    <row r="406" spans="1:7" x14ac:dyDescent="0.25">
      <c r="A406" s="16" t="s">
        <v>2287</v>
      </c>
      <c r="B406" s="16" t="s">
        <v>939</v>
      </c>
      <c r="G406" s="17" t="s">
        <v>1712</v>
      </c>
    </row>
    <row r="407" spans="1:7" x14ac:dyDescent="0.25">
      <c r="A407" s="16" t="s">
        <v>2288</v>
      </c>
      <c r="B407" s="16" t="s">
        <v>940</v>
      </c>
      <c r="G407" s="17" t="s">
        <v>1713</v>
      </c>
    </row>
    <row r="408" spans="1:7" x14ac:dyDescent="0.25">
      <c r="A408" s="16" t="s">
        <v>2289</v>
      </c>
      <c r="B408" s="16" t="s">
        <v>941</v>
      </c>
      <c r="G408" s="17" t="s">
        <v>1714</v>
      </c>
    </row>
    <row r="409" spans="1:7" x14ac:dyDescent="0.25">
      <c r="A409" s="16" t="s">
        <v>2290</v>
      </c>
      <c r="B409" s="16" t="s">
        <v>942</v>
      </c>
      <c r="G409" s="17" t="s">
        <v>1715</v>
      </c>
    </row>
    <row r="410" spans="1:7" x14ac:dyDescent="0.25">
      <c r="A410" s="16" t="s">
        <v>2291</v>
      </c>
      <c r="B410" s="16" t="s">
        <v>943</v>
      </c>
      <c r="G410" s="17" t="s">
        <v>1716</v>
      </c>
    </row>
    <row r="411" spans="1:7" x14ac:dyDescent="0.25">
      <c r="A411" s="16" t="s">
        <v>2292</v>
      </c>
      <c r="B411" s="16" t="s">
        <v>944</v>
      </c>
      <c r="G411" s="17" t="s">
        <v>1717</v>
      </c>
    </row>
    <row r="412" spans="1:7" x14ac:dyDescent="0.25">
      <c r="A412" s="16" t="s">
        <v>2293</v>
      </c>
      <c r="B412" s="16" t="s">
        <v>945</v>
      </c>
      <c r="G412" s="17" t="s">
        <v>1718</v>
      </c>
    </row>
    <row r="413" spans="1:7" x14ac:dyDescent="0.25">
      <c r="A413" s="16" t="s">
        <v>2294</v>
      </c>
      <c r="B413" s="16" t="s">
        <v>946</v>
      </c>
      <c r="G413" s="17" t="s">
        <v>1719</v>
      </c>
    </row>
    <row r="414" spans="1:7" x14ac:dyDescent="0.25">
      <c r="A414" s="16" t="s">
        <v>2295</v>
      </c>
      <c r="B414" s="16" t="s">
        <v>919</v>
      </c>
      <c r="G414" s="17" t="s">
        <v>1720</v>
      </c>
    </row>
    <row r="415" spans="1:7" x14ac:dyDescent="0.25">
      <c r="A415" s="16" t="s">
        <v>2296</v>
      </c>
      <c r="B415" s="16" t="s">
        <v>947</v>
      </c>
      <c r="G415" s="17" t="s">
        <v>1721</v>
      </c>
    </row>
    <row r="416" spans="1:7" x14ac:dyDescent="0.25">
      <c r="A416" s="16" t="s">
        <v>2297</v>
      </c>
      <c r="B416" s="16" t="s">
        <v>948</v>
      </c>
      <c r="G416" s="17" t="s">
        <v>1722</v>
      </c>
    </row>
    <row r="417" spans="1:7" x14ac:dyDescent="0.25">
      <c r="A417" s="16" t="s">
        <v>2298</v>
      </c>
      <c r="B417" s="16" t="s">
        <v>949</v>
      </c>
      <c r="G417" s="17" t="s">
        <v>1723</v>
      </c>
    </row>
    <row r="418" spans="1:7" x14ac:dyDescent="0.25">
      <c r="A418" s="16" t="s">
        <v>2299</v>
      </c>
      <c r="B418" s="16" t="s">
        <v>950</v>
      </c>
      <c r="G418" s="17" t="s">
        <v>1724</v>
      </c>
    </row>
    <row r="419" spans="1:7" x14ac:dyDescent="0.25">
      <c r="A419" s="16" t="s">
        <v>2300</v>
      </c>
      <c r="B419" s="16" t="s">
        <v>951</v>
      </c>
      <c r="G419" s="17" t="s">
        <v>1725</v>
      </c>
    </row>
    <row r="420" spans="1:7" x14ac:dyDescent="0.25">
      <c r="A420" s="16" t="s">
        <v>2301</v>
      </c>
      <c r="B420" s="16" t="s">
        <v>952</v>
      </c>
      <c r="G420" s="17" t="s">
        <v>1726</v>
      </c>
    </row>
    <row r="421" spans="1:7" x14ac:dyDescent="0.25">
      <c r="A421" s="16" t="s">
        <v>2302</v>
      </c>
      <c r="B421" s="16" t="s">
        <v>953</v>
      </c>
      <c r="G421" s="17" t="s">
        <v>1727</v>
      </c>
    </row>
    <row r="422" spans="1:7" x14ac:dyDescent="0.25">
      <c r="A422" s="16" t="s">
        <v>2303</v>
      </c>
      <c r="B422" s="16" t="s">
        <v>954</v>
      </c>
      <c r="G422" s="17" t="s">
        <v>1728</v>
      </c>
    </row>
    <row r="423" spans="1:7" x14ac:dyDescent="0.25">
      <c r="A423" s="16" t="s">
        <v>2304</v>
      </c>
      <c r="B423" s="16" t="s">
        <v>955</v>
      </c>
      <c r="G423" s="17" t="s">
        <v>1729</v>
      </c>
    </row>
    <row r="424" spans="1:7" x14ac:dyDescent="0.25">
      <c r="A424" s="16" t="s">
        <v>2305</v>
      </c>
      <c r="B424" s="16" t="s">
        <v>956</v>
      </c>
      <c r="G424" s="17" t="s">
        <v>1730</v>
      </c>
    </row>
    <row r="425" spans="1:7" x14ac:dyDescent="0.25">
      <c r="A425" s="16" t="s">
        <v>2306</v>
      </c>
      <c r="B425" s="16" t="s">
        <v>920</v>
      </c>
      <c r="G425" s="17" t="s">
        <v>1731</v>
      </c>
    </row>
    <row r="426" spans="1:7" x14ac:dyDescent="0.25">
      <c r="A426" s="16" t="s">
        <v>2307</v>
      </c>
      <c r="B426" s="16" t="s">
        <v>957</v>
      </c>
      <c r="G426" s="17" t="s">
        <v>1732</v>
      </c>
    </row>
    <row r="427" spans="1:7" x14ac:dyDescent="0.25">
      <c r="A427" s="16" t="s">
        <v>2308</v>
      </c>
      <c r="B427" s="16" t="s">
        <v>959</v>
      </c>
      <c r="G427" s="17" t="s">
        <v>1733</v>
      </c>
    </row>
    <row r="428" spans="1:7" x14ac:dyDescent="0.25">
      <c r="A428" s="16" t="s">
        <v>2309</v>
      </c>
      <c r="B428" s="16" t="s">
        <v>960</v>
      </c>
      <c r="G428" s="17" t="s">
        <v>1734</v>
      </c>
    </row>
    <row r="429" spans="1:7" x14ac:dyDescent="0.25">
      <c r="A429" s="16" t="s">
        <v>2310</v>
      </c>
      <c r="B429" s="16" t="s">
        <v>961</v>
      </c>
      <c r="G429" s="17" t="s">
        <v>1735</v>
      </c>
    </row>
    <row r="430" spans="1:7" x14ac:dyDescent="0.25">
      <c r="A430" s="16" t="s">
        <v>2311</v>
      </c>
      <c r="B430" s="16" t="s">
        <v>962</v>
      </c>
      <c r="G430" s="17" t="s">
        <v>1736</v>
      </c>
    </row>
    <row r="431" spans="1:7" x14ac:dyDescent="0.25">
      <c r="A431" s="16" t="s">
        <v>2312</v>
      </c>
      <c r="B431" s="16" t="s">
        <v>963</v>
      </c>
      <c r="G431" s="17" t="s">
        <v>1737</v>
      </c>
    </row>
    <row r="432" spans="1:7" x14ac:dyDescent="0.25">
      <c r="A432" s="16" t="s">
        <v>2313</v>
      </c>
      <c r="B432" s="16" t="s">
        <v>964</v>
      </c>
      <c r="G432" s="17" t="s">
        <v>1738</v>
      </c>
    </row>
    <row r="433" spans="1:7" x14ac:dyDescent="0.25">
      <c r="A433" s="16" t="s">
        <v>2314</v>
      </c>
      <c r="B433" s="16" t="s">
        <v>965</v>
      </c>
      <c r="G433" s="17" t="s">
        <v>1739</v>
      </c>
    </row>
    <row r="434" spans="1:7" x14ac:dyDescent="0.25">
      <c r="A434" s="16" t="s">
        <v>2315</v>
      </c>
      <c r="B434" s="16" t="s">
        <v>966</v>
      </c>
      <c r="G434" s="17" t="s">
        <v>1740</v>
      </c>
    </row>
    <row r="435" spans="1:7" x14ac:dyDescent="0.25">
      <c r="A435" s="16" t="s">
        <v>2316</v>
      </c>
      <c r="B435" s="16" t="s">
        <v>967</v>
      </c>
      <c r="G435" s="17" t="s">
        <v>1741</v>
      </c>
    </row>
    <row r="436" spans="1:7" x14ac:dyDescent="0.25">
      <c r="A436" s="16" t="s">
        <v>2317</v>
      </c>
      <c r="B436" s="16" t="s">
        <v>921</v>
      </c>
      <c r="G436" s="17" t="s">
        <v>1742</v>
      </c>
    </row>
    <row r="437" spans="1:7" x14ac:dyDescent="0.25">
      <c r="A437" s="16" t="s">
        <v>2318</v>
      </c>
      <c r="B437" s="16" t="s">
        <v>968</v>
      </c>
      <c r="G437" s="17" t="s">
        <v>1743</v>
      </c>
    </row>
    <row r="438" spans="1:7" x14ac:dyDescent="0.25">
      <c r="A438" s="16" t="s">
        <v>2319</v>
      </c>
      <c r="B438" s="16" t="s">
        <v>969</v>
      </c>
      <c r="G438" s="17" t="s">
        <v>1744</v>
      </c>
    </row>
    <row r="439" spans="1:7" x14ac:dyDescent="0.25">
      <c r="A439" s="16" t="s">
        <v>2320</v>
      </c>
      <c r="B439" s="16" t="s">
        <v>970</v>
      </c>
      <c r="G439" s="17" t="s">
        <v>1745</v>
      </c>
    </row>
    <row r="440" spans="1:7" x14ac:dyDescent="0.25">
      <c r="A440" s="16" t="s">
        <v>2321</v>
      </c>
      <c r="B440" s="16" t="s">
        <v>971</v>
      </c>
      <c r="G440" s="17" t="s">
        <v>1746</v>
      </c>
    </row>
    <row r="441" spans="1:7" x14ac:dyDescent="0.25">
      <c r="A441" s="16" t="s">
        <v>2322</v>
      </c>
      <c r="B441" s="16" t="s">
        <v>972</v>
      </c>
      <c r="G441" s="17" t="s">
        <v>1747</v>
      </c>
    </row>
    <row r="442" spans="1:7" x14ac:dyDescent="0.25">
      <c r="A442" s="16" t="s">
        <v>2323</v>
      </c>
      <c r="B442" s="16" t="s">
        <v>973</v>
      </c>
      <c r="G442" s="17" t="s">
        <v>1748</v>
      </c>
    </row>
    <row r="443" spans="1:7" x14ac:dyDescent="0.25">
      <c r="A443" s="16" t="s">
        <v>2324</v>
      </c>
      <c r="B443" s="16" t="s">
        <v>974</v>
      </c>
      <c r="G443" s="17" t="s">
        <v>1749</v>
      </c>
    </row>
    <row r="444" spans="1:7" x14ac:dyDescent="0.25">
      <c r="A444" s="16" t="s">
        <v>2325</v>
      </c>
      <c r="B444" s="16" t="s">
        <v>975</v>
      </c>
      <c r="G444" s="17" t="s">
        <v>1750</v>
      </c>
    </row>
    <row r="445" spans="1:7" x14ac:dyDescent="0.25">
      <c r="A445" s="16" t="s">
        <v>2326</v>
      </c>
      <c r="B445" s="16" t="s">
        <v>976</v>
      </c>
      <c r="G445" s="17" t="s">
        <v>1751</v>
      </c>
    </row>
    <row r="446" spans="1:7" x14ac:dyDescent="0.25">
      <c r="A446" s="16" t="s">
        <v>2327</v>
      </c>
      <c r="B446" s="16" t="s">
        <v>977</v>
      </c>
      <c r="G446" s="17" t="s">
        <v>1752</v>
      </c>
    </row>
    <row r="447" spans="1:7" x14ac:dyDescent="0.25">
      <c r="A447" s="16" t="s">
        <v>2328</v>
      </c>
      <c r="B447" s="16" t="s">
        <v>922</v>
      </c>
      <c r="G447" s="17" t="s">
        <v>1753</v>
      </c>
    </row>
    <row r="448" spans="1:7" x14ac:dyDescent="0.25">
      <c r="A448" s="16" t="s">
        <v>2329</v>
      </c>
      <c r="B448" s="16" t="s">
        <v>978</v>
      </c>
      <c r="G448" s="17" t="s">
        <v>1754</v>
      </c>
    </row>
    <row r="449" spans="1:7" x14ac:dyDescent="0.25">
      <c r="A449" s="16" t="s">
        <v>2330</v>
      </c>
      <c r="B449" s="16" t="s">
        <v>979</v>
      </c>
      <c r="G449" s="17" t="s">
        <v>1755</v>
      </c>
    </row>
    <row r="450" spans="1:7" x14ac:dyDescent="0.25">
      <c r="A450" s="16" t="s">
        <v>2331</v>
      </c>
      <c r="B450" s="16" t="s">
        <v>980</v>
      </c>
      <c r="G450" s="17" t="s">
        <v>1756</v>
      </c>
    </row>
    <row r="451" spans="1:7" x14ac:dyDescent="0.25">
      <c r="A451" s="16" t="s">
        <v>2332</v>
      </c>
      <c r="B451" s="16" t="s">
        <v>981</v>
      </c>
      <c r="G451" s="17" t="s">
        <v>1757</v>
      </c>
    </row>
    <row r="452" spans="1:7" x14ac:dyDescent="0.25">
      <c r="A452" s="16" t="s">
        <v>2333</v>
      </c>
      <c r="B452" s="16" t="s">
        <v>982</v>
      </c>
      <c r="G452" s="17" t="s">
        <v>1758</v>
      </c>
    </row>
    <row r="453" spans="1:7" x14ac:dyDescent="0.25">
      <c r="A453" s="16" t="s">
        <v>2334</v>
      </c>
      <c r="B453" s="16" t="s">
        <v>983</v>
      </c>
      <c r="G453" s="17" t="s">
        <v>1759</v>
      </c>
    </row>
    <row r="454" spans="1:7" x14ac:dyDescent="0.25">
      <c r="A454" s="16" t="s">
        <v>2335</v>
      </c>
      <c r="B454" s="16" t="s">
        <v>984</v>
      </c>
      <c r="G454" s="17" t="s">
        <v>1760</v>
      </c>
    </row>
    <row r="455" spans="1:7" x14ac:dyDescent="0.25">
      <c r="A455" s="16" t="s">
        <v>2336</v>
      </c>
      <c r="B455" s="16" t="s">
        <v>985</v>
      </c>
      <c r="G455" s="17" t="s">
        <v>1761</v>
      </c>
    </row>
    <row r="456" spans="1:7" x14ac:dyDescent="0.25">
      <c r="A456" s="16" t="s">
        <v>2337</v>
      </c>
      <c r="B456" s="16" t="s">
        <v>986</v>
      </c>
      <c r="G456" s="17" t="s">
        <v>1762</v>
      </c>
    </row>
    <row r="457" spans="1:7" x14ac:dyDescent="0.25">
      <c r="A457" s="16" t="s">
        <v>2338</v>
      </c>
      <c r="B457" s="16" t="s">
        <v>987</v>
      </c>
      <c r="G457" s="17" t="s">
        <v>1763</v>
      </c>
    </row>
    <row r="458" spans="1:7" x14ac:dyDescent="0.25">
      <c r="A458" s="16" t="s">
        <v>2339</v>
      </c>
      <c r="B458" s="16" t="s">
        <v>923</v>
      </c>
      <c r="G458" s="17" t="s">
        <v>1764</v>
      </c>
    </row>
    <row r="459" spans="1:7" x14ac:dyDescent="0.25">
      <c r="A459" s="16" t="s">
        <v>2340</v>
      </c>
      <c r="B459" s="16" t="s">
        <v>988</v>
      </c>
      <c r="G459" s="17" t="s">
        <v>1765</v>
      </c>
    </row>
    <row r="460" spans="1:7" x14ac:dyDescent="0.25">
      <c r="A460" s="16" t="s">
        <v>2341</v>
      </c>
      <c r="B460" s="16" t="s">
        <v>990</v>
      </c>
      <c r="G460" s="17" t="s">
        <v>1766</v>
      </c>
    </row>
    <row r="461" spans="1:7" x14ac:dyDescent="0.25">
      <c r="A461" s="16" t="s">
        <v>2342</v>
      </c>
      <c r="B461" s="16" t="s">
        <v>991</v>
      </c>
      <c r="G461" s="17" t="s">
        <v>1767</v>
      </c>
    </row>
    <row r="462" spans="1:7" x14ac:dyDescent="0.25">
      <c r="A462" s="16" t="s">
        <v>2343</v>
      </c>
      <c r="B462" s="16" t="s">
        <v>992</v>
      </c>
      <c r="G462" s="17" t="s">
        <v>1768</v>
      </c>
    </row>
    <row r="463" spans="1:7" x14ac:dyDescent="0.25">
      <c r="A463" s="16" t="s">
        <v>2344</v>
      </c>
      <c r="B463" s="16" t="s">
        <v>993</v>
      </c>
      <c r="G463" s="17" t="s">
        <v>1769</v>
      </c>
    </row>
    <row r="464" spans="1:7" x14ac:dyDescent="0.25">
      <c r="A464" s="16" t="s">
        <v>2345</v>
      </c>
      <c r="B464" s="16" t="s">
        <v>994</v>
      </c>
      <c r="G464" s="17" t="s">
        <v>1770</v>
      </c>
    </row>
    <row r="465" spans="1:7" x14ac:dyDescent="0.25">
      <c r="A465" s="16" t="s">
        <v>2346</v>
      </c>
      <c r="B465" s="16" t="s">
        <v>995</v>
      </c>
      <c r="G465" s="17" t="s">
        <v>1771</v>
      </c>
    </row>
    <row r="466" spans="1:7" x14ac:dyDescent="0.25">
      <c r="A466" s="16" t="s">
        <v>2347</v>
      </c>
      <c r="B466" s="16" t="s">
        <v>996</v>
      </c>
      <c r="G466" s="17" t="s">
        <v>1772</v>
      </c>
    </row>
    <row r="467" spans="1:7" x14ac:dyDescent="0.25">
      <c r="A467" s="16" t="s">
        <v>2348</v>
      </c>
      <c r="B467" s="16" t="s">
        <v>997</v>
      </c>
      <c r="G467" s="17" t="s">
        <v>1773</v>
      </c>
    </row>
    <row r="468" spans="1:7" x14ac:dyDescent="0.25">
      <c r="A468" s="16" t="s">
        <v>2349</v>
      </c>
      <c r="B468" s="16" t="s">
        <v>924</v>
      </c>
      <c r="G468" s="17" t="s">
        <v>1774</v>
      </c>
    </row>
    <row r="469" spans="1:7" x14ac:dyDescent="0.25">
      <c r="A469" s="16" t="s">
        <v>2350</v>
      </c>
      <c r="B469" s="16" t="s">
        <v>998</v>
      </c>
      <c r="G469" s="17" t="s">
        <v>1775</v>
      </c>
    </row>
    <row r="470" spans="1:7" x14ac:dyDescent="0.25">
      <c r="A470" s="16" t="s">
        <v>2351</v>
      </c>
      <c r="B470" s="16" t="s">
        <v>999</v>
      </c>
      <c r="G470" s="17" t="s">
        <v>1776</v>
      </c>
    </row>
    <row r="471" spans="1:7" x14ac:dyDescent="0.25">
      <c r="A471" s="16" t="s">
        <v>2352</v>
      </c>
      <c r="B471" s="16" t="s">
        <v>1001</v>
      </c>
      <c r="G471" s="17" t="s">
        <v>1777</v>
      </c>
    </row>
    <row r="472" spans="1:7" x14ac:dyDescent="0.25">
      <c r="A472" s="16" t="s">
        <v>2353</v>
      </c>
      <c r="B472" s="16" t="s">
        <v>1002</v>
      </c>
      <c r="G472" s="17" t="s">
        <v>1778</v>
      </c>
    </row>
    <row r="473" spans="1:7" x14ac:dyDescent="0.25">
      <c r="A473" s="16" t="s">
        <v>2354</v>
      </c>
      <c r="B473" s="16" t="s">
        <v>1003</v>
      </c>
      <c r="G473" s="17" t="s">
        <v>1779</v>
      </c>
    </row>
    <row r="474" spans="1:7" x14ac:dyDescent="0.25">
      <c r="A474" s="16" t="s">
        <v>2355</v>
      </c>
      <c r="B474" s="16" t="s">
        <v>1004</v>
      </c>
      <c r="G474" s="17" t="s">
        <v>1780</v>
      </c>
    </row>
    <row r="475" spans="1:7" x14ac:dyDescent="0.25">
      <c r="A475" s="16" t="s">
        <v>2356</v>
      </c>
      <c r="B475" s="16" t="s">
        <v>1005</v>
      </c>
      <c r="G475" s="17" t="s">
        <v>1781</v>
      </c>
    </row>
    <row r="476" spans="1:7" x14ac:dyDescent="0.25">
      <c r="A476" s="16" t="s">
        <v>2357</v>
      </c>
      <c r="B476" s="16" t="s">
        <v>925</v>
      </c>
      <c r="G476" s="17" t="s">
        <v>1782</v>
      </c>
    </row>
    <row r="477" spans="1:7" x14ac:dyDescent="0.25">
      <c r="A477" s="16" t="s">
        <v>2358</v>
      </c>
      <c r="B477" s="16" t="s">
        <v>1024</v>
      </c>
      <c r="G477" s="17" t="s">
        <v>1783</v>
      </c>
    </row>
    <row r="478" spans="1:7" x14ac:dyDescent="0.25">
      <c r="A478" s="16" t="s">
        <v>2359</v>
      </c>
      <c r="B478" s="16" t="s">
        <v>1034</v>
      </c>
      <c r="G478" s="17" t="s">
        <v>1784</v>
      </c>
    </row>
    <row r="479" spans="1:7" x14ac:dyDescent="0.25">
      <c r="A479" s="16" t="s">
        <v>2360</v>
      </c>
      <c r="B479" s="16" t="s">
        <v>1131</v>
      </c>
      <c r="G479" s="17" t="s">
        <v>1785</v>
      </c>
    </row>
    <row r="480" spans="1:7" x14ac:dyDescent="0.25">
      <c r="A480" s="16" t="s">
        <v>2361</v>
      </c>
      <c r="B480" s="16" t="s">
        <v>1132</v>
      </c>
      <c r="G480" s="17" t="s">
        <v>1786</v>
      </c>
    </row>
    <row r="481" spans="1:7" x14ac:dyDescent="0.25">
      <c r="A481" s="16" t="s">
        <v>2362</v>
      </c>
      <c r="B481" s="16" t="s">
        <v>1133</v>
      </c>
      <c r="G481" s="17" t="s">
        <v>1787</v>
      </c>
    </row>
    <row r="482" spans="1:7" x14ac:dyDescent="0.25">
      <c r="A482" s="16" t="s">
        <v>2363</v>
      </c>
      <c r="B482" s="16" t="s">
        <v>1134</v>
      </c>
      <c r="G482" s="17" t="s">
        <v>1788</v>
      </c>
    </row>
    <row r="483" spans="1:7" x14ac:dyDescent="0.25">
      <c r="A483" s="16" t="s">
        <v>2364</v>
      </c>
      <c r="B483" s="16" t="s">
        <v>1135</v>
      </c>
      <c r="G483" s="17" t="s">
        <v>1789</v>
      </c>
    </row>
    <row r="484" spans="1:7" x14ac:dyDescent="0.25">
      <c r="A484" s="16" t="s">
        <v>2365</v>
      </c>
      <c r="B484" s="16" t="s">
        <v>1136</v>
      </c>
      <c r="G484" s="17" t="s">
        <v>1790</v>
      </c>
    </row>
    <row r="485" spans="1:7" x14ac:dyDescent="0.25">
      <c r="A485" s="16" t="s">
        <v>2366</v>
      </c>
      <c r="B485" s="16" t="s">
        <v>1137</v>
      </c>
      <c r="G485" s="17" t="s">
        <v>1791</v>
      </c>
    </row>
    <row r="486" spans="1:7" x14ac:dyDescent="0.25">
      <c r="A486" s="16" t="s">
        <v>2367</v>
      </c>
      <c r="B486" s="16" t="s">
        <v>1138</v>
      </c>
      <c r="G486" s="17" t="s">
        <v>1792</v>
      </c>
    </row>
    <row r="487" spans="1:7" x14ac:dyDescent="0.25">
      <c r="A487" s="16" t="s">
        <v>2368</v>
      </c>
      <c r="B487" s="16" t="s">
        <v>1139</v>
      </c>
      <c r="G487" s="17" t="s">
        <v>1793</v>
      </c>
    </row>
    <row r="488" spans="1:7" x14ac:dyDescent="0.25">
      <c r="A488" s="16" t="s">
        <v>2369</v>
      </c>
      <c r="B488" s="16" t="s">
        <v>1141</v>
      </c>
      <c r="G488" s="17" t="s">
        <v>1794</v>
      </c>
    </row>
    <row r="489" spans="1:7" x14ac:dyDescent="0.25">
      <c r="A489" s="16" t="s">
        <v>2370</v>
      </c>
      <c r="B489" s="16" t="s">
        <v>1035</v>
      </c>
      <c r="G489" s="17" t="s">
        <v>1795</v>
      </c>
    </row>
    <row r="490" spans="1:7" x14ac:dyDescent="0.25">
      <c r="A490" s="16" t="s">
        <v>2371</v>
      </c>
      <c r="B490" s="16" t="s">
        <v>1142</v>
      </c>
      <c r="G490" s="17" t="s">
        <v>1796</v>
      </c>
    </row>
    <row r="491" spans="1:7" x14ac:dyDescent="0.25">
      <c r="A491" s="16" t="s">
        <v>2372</v>
      </c>
      <c r="B491" s="16" t="s">
        <v>1143</v>
      </c>
      <c r="G491" s="17" t="s">
        <v>1797</v>
      </c>
    </row>
    <row r="492" spans="1:7" x14ac:dyDescent="0.25">
      <c r="A492" s="16" t="s">
        <v>2373</v>
      </c>
      <c r="B492" s="16" t="s">
        <v>1144</v>
      </c>
      <c r="G492" s="17" t="s">
        <v>1798</v>
      </c>
    </row>
    <row r="493" spans="1:7" x14ac:dyDescent="0.25">
      <c r="A493" s="16" t="s">
        <v>2374</v>
      </c>
      <c r="B493" s="16" t="s">
        <v>1145</v>
      </c>
      <c r="G493" s="17" t="s">
        <v>1799</v>
      </c>
    </row>
    <row r="494" spans="1:7" x14ac:dyDescent="0.25">
      <c r="A494" s="16" t="s">
        <v>2375</v>
      </c>
      <c r="B494" s="16" t="s">
        <v>1146</v>
      </c>
      <c r="G494" s="17" t="s">
        <v>1800</v>
      </c>
    </row>
    <row r="495" spans="1:7" x14ac:dyDescent="0.25">
      <c r="A495" s="16" t="s">
        <v>2376</v>
      </c>
      <c r="B495" s="16" t="s">
        <v>1147</v>
      </c>
      <c r="G495" s="17" t="s">
        <v>1801</v>
      </c>
    </row>
    <row r="496" spans="1:7" x14ac:dyDescent="0.25">
      <c r="A496" s="16" t="s">
        <v>2377</v>
      </c>
      <c r="B496" s="16" t="s">
        <v>1148</v>
      </c>
      <c r="G496" s="17" t="s">
        <v>1802</v>
      </c>
    </row>
    <row r="497" spans="1:7" x14ac:dyDescent="0.25">
      <c r="A497" s="16" t="s">
        <v>2378</v>
      </c>
      <c r="B497" s="16" t="s">
        <v>1149</v>
      </c>
      <c r="G497" s="17" t="s">
        <v>1803</v>
      </c>
    </row>
    <row r="498" spans="1:7" x14ac:dyDescent="0.25">
      <c r="A498" s="16" t="s">
        <v>2379</v>
      </c>
      <c r="B498" s="16" t="s">
        <v>1036</v>
      </c>
      <c r="G498" s="17" t="s">
        <v>1804</v>
      </c>
    </row>
    <row r="499" spans="1:7" x14ac:dyDescent="0.25">
      <c r="A499" s="16" t="s">
        <v>2380</v>
      </c>
      <c r="B499" s="16" t="s">
        <v>1150</v>
      </c>
      <c r="G499" s="17" t="s">
        <v>1805</v>
      </c>
    </row>
    <row r="500" spans="1:7" x14ac:dyDescent="0.25">
      <c r="A500" s="16" t="s">
        <v>2381</v>
      </c>
      <c r="B500" s="16" t="s">
        <v>1152</v>
      </c>
      <c r="G500" s="17" t="s">
        <v>1806</v>
      </c>
    </row>
    <row r="501" spans="1:7" x14ac:dyDescent="0.25">
      <c r="A501" s="16" t="s">
        <v>2382</v>
      </c>
      <c r="B501" s="16" t="s">
        <v>1153</v>
      </c>
      <c r="G501" s="17" t="s">
        <v>1807</v>
      </c>
    </row>
    <row r="502" spans="1:7" x14ac:dyDescent="0.25">
      <c r="A502" s="16" t="s">
        <v>2383</v>
      </c>
      <c r="B502" s="16" t="s">
        <v>1154</v>
      </c>
      <c r="G502" s="17" t="s">
        <v>1808</v>
      </c>
    </row>
    <row r="503" spans="1:7" x14ac:dyDescent="0.25">
      <c r="A503" s="16" t="s">
        <v>2384</v>
      </c>
      <c r="B503" s="16" t="s">
        <v>1155</v>
      </c>
      <c r="G503" s="17" t="s">
        <v>1809</v>
      </c>
    </row>
    <row r="504" spans="1:7" x14ac:dyDescent="0.25">
      <c r="A504" s="16" t="s">
        <v>2385</v>
      </c>
      <c r="B504" s="16" t="s">
        <v>1156</v>
      </c>
      <c r="G504" s="17" t="s">
        <v>1810</v>
      </c>
    </row>
    <row r="505" spans="1:7" x14ac:dyDescent="0.25">
      <c r="A505" s="16" t="s">
        <v>2386</v>
      </c>
      <c r="B505" s="16" t="s">
        <v>1157</v>
      </c>
      <c r="G505" s="17" t="s">
        <v>1811</v>
      </c>
    </row>
    <row r="506" spans="1:7" x14ac:dyDescent="0.25">
      <c r="A506" s="16" t="s">
        <v>2387</v>
      </c>
      <c r="B506" s="16" t="s">
        <v>1158</v>
      </c>
      <c r="G506" s="17" t="s">
        <v>1812</v>
      </c>
    </row>
    <row r="507" spans="1:7" x14ac:dyDescent="0.25">
      <c r="A507" s="16" t="s">
        <v>2388</v>
      </c>
      <c r="B507" s="16" t="s">
        <v>1037</v>
      </c>
      <c r="G507" s="17" t="s">
        <v>1813</v>
      </c>
    </row>
    <row r="508" spans="1:7" x14ac:dyDescent="0.25">
      <c r="A508" s="16" t="s">
        <v>2389</v>
      </c>
      <c r="B508" s="16" t="s">
        <v>1038</v>
      </c>
      <c r="G508" s="17" t="s">
        <v>1814</v>
      </c>
    </row>
    <row r="509" spans="1:7" x14ac:dyDescent="0.25">
      <c r="A509" s="16" t="s">
        <v>2390</v>
      </c>
      <c r="B509" s="16" t="s">
        <v>1039</v>
      </c>
      <c r="G509" s="17" t="s">
        <v>1815</v>
      </c>
    </row>
    <row r="510" spans="1:7" x14ac:dyDescent="0.25">
      <c r="A510" s="16" t="s">
        <v>2391</v>
      </c>
      <c r="B510" s="16" t="s">
        <v>1040</v>
      </c>
      <c r="G510" s="17" t="s">
        <v>1816</v>
      </c>
    </row>
    <row r="511" spans="1:7" x14ac:dyDescent="0.25">
      <c r="A511" s="16" t="s">
        <v>2392</v>
      </c>
      <c r="B511" s="16" t="s">
        <v>1041</v>
      </c>
      <c r="G511" s="17" t="s">
        <v>1817</v>
      </c>
    </row>
    <row r="512" spans="1:7" x14ac:dyDescent="0.25">
      <c r="A512" s="16" t="s">
        <v>2393</v>
      </c>
      <c r="B512" s="16" t="s">
        <v>1043</v>
      </c>
      <c r="G512" s="17" t="s">
        <v>1818</v>
      </c>
    </row>
    <row r="513" spans="1:7" x14ac:dyDescent="0.25">
      <c r="A513" s="16" t="s">
        <v>2394</v>
      </c>
      <c r="B513" s="16" t="s">
        <v>1044</v>
      </c>
      <c r="G513" s="17" t="s">
        <v>1819</v>
      </c>
    </row>
    <row r="514" spans="1:7" x14ac:dyDescent="0.25">
      <c r="A514" s="16" t="s">
        <v>2395</v>
      </c>
      <c r="B514" s="16" t="s">
        <v>1025</v>
      </c>
      <c r="G514" s="17" t="s">
        <v>1820</v>
      </c>
    </row>
    <row r="515" spans="1:7" x14ac:dyDescent="0.25">
      <c r="A515" s="16" t="s">
        <v>2396</v>
      </c>
      <c r="B515" s="16" t="s">
        <v>1045</v>
      </c>
      <c r="G515" s="17" t="s">
        <v>1821</v>
      </c>
    </row>
    <row r="516" spans="1:7" x14ac:dyDescent="0.25">
      <c r="A516" s="16" t="s">
        <v>2397</v>
      </c>
      <c r="B516" s="16" t="s">
        <v>1159</v>
      </c>
      <c r="G516" s="17" t="s">
        <v>1822</v>
      </c>
    </row>
    <row r="517" spans="1:7" x14ac:dyDescent="0.25">
      <c r="A517" s="16" t="s">
        <v>2398</v>
      </c>
      <c r="B517" s="16" t="s">
        <v>1160</v>
      </c>
      <c r="G517" s="17" t="s">
        <v>1823</v>
      </c>
    </row>
    <row r="518" spans="1:7" x14ac:dyDescent="0.25">
      <c r="A518" s="16" t="s">
        <v>2399</v>
      </c>
      <c r="B518" s="16" t="s">
        <v>1046</v>
      </c>
      <c r="G518" s="17" t="s">
        <v>1824</v>
      </c>
    </row>
    <row r="519" spans="1:7" x14ac:dyDescent="0.25">
      <c r="A519" s="16" t="s">
        <v>2400</v>
      </c>
      <c r="B519" s="16" t="s">
        <v>1047</v>
      </c>
      <c r="G519" s="17" t="s">
        <v>1825</v>
      </c>
    </row>
    <row r="520" spans="1:7" x14ac:dyDescent="0.25">
      <c r="A520" s="16" t="s">
        <v>2401</v>
      </c>
      <c r="B520" s="16" t="s">
        <v>1048</v>
      </c>
      <c r="G520" s="17" t="s">
        <v>1826</v>
      </c>
    </row>
    <row r="521" spans="1:7" x14ac:dyDescent="0.25">
      <c r="A521" s="16" t="s">
        <v>2402</v>
      </c>
      <c r="B521" s="16" t="s">
        <v>1049</v>
      </c>
      <c r="G521" s="17" t="s">
        <v>1827</v>
      </c>
    </row>
    <row r="522" spans="1:7" x14ac:dyDescent="0.25">
      <c r="A522" s="16" t="s">
        <v>2403</v>
      </c>
      <c r="B522" s="16" t="s">
        <v>1050</v>
      </c>
      <c r="G522" s="17" t="s">
        <v>1828</v>
      </c>
    </row>
    <row r="523" spans="1:7" x14ac:dyDescent="0.25">
      <c r="A523" s="16" t="s">
        <v>2404</v>
      </c>
      <c r="B523" s="16" t="s">
        <v>1051</v>
      </c>
      <c r="G523" s="17" t="s">
        <v>1829</v>
      </c>
    </row>
    <row r="524" spans="1:7" x14ac:dyDescent="0.25">
      <c r="A524" s="16" t="s">
        <v>2405</v>
      </c>
      <c r="B524" s="16" t="s">
        <v>1052</v>
      </c>
      <c r="G524" s="17" t="s">
        <v>1830</v>
      </c>
    </row>
    <row r="525" spans="1:7" x14ac:dyDescent="0.25">
      <c r="A525" s="16" t="s">
        <v>2406</v>
      </c>
      <c r="B525" s="16" t="s">
        <v>1053</v>
      </c>
      <c r="G525" s="17" t="s">
        <v>1831</v>
      </c>
    </row>
    <row r="526" spans="1:7" x14ac:dyDescent="0.25">
      <c r="A526" s="16" t="s">
        <v>2407</v>
      </c>
      <c r="B526" s="16" t="s">
        <v>1054</v>
      </c>
      <c r="G526" s="17" t="s">
        <v>1832</v>
      </c>
    </row>
    <row r="527" spans="1:7" x14ac:dyDescent="0.25">
      <c r="A527" s="16" t="s">
        <v>2408</v>
      </c>
      <c r="B527" s="16" t="s">
        <v>1026</v>
      </c>
      <c r="G527" s="17" t="s">
        <v>1833</v>
      </c>
    </row>
    <row r="528" spans="1:7" x14ac:dyDescent="0.25">
      <c r="A528" s="16" t="s">
        <v>2409</v>
      </c>
      <c r="B528" s="16" t="s">
        <v>1055</v>
      </c>
      <c r="G528" s="17" t="s">
        <v>1834</v>
      </c>
    </row>
    <row r="529" spans="1:7" x14ac:dyDescent="0.25">
      <c r="A529" s="16" t="s">
        <v>2410</v>
      </c>
      <c r="B529" s="16" t="s">
        <v>1056</v>
      </c>
      <c r="G529" s="17" t="s">
        <v>1835</v>
      </c>
    </row>
    <row r="530" spans="1:7" x14ac:dyDescent="0.25">
      <c r="A530" s="16" t="s">
        <v>2411</v>
      </c>
      <c r="B530" s="16" t="s">
        <v>1057</v>
      </c>
      <c r="G530" s="17" t="s">
        <v>1836</v>
      </c>
    </row>
    <row r="531" spans="1:7" x14ac:dyDescent="0.25">
      <c r="A531" s="16" t="s">
        <v>2412</v>
      </c>
      <c r="B531" s="16" t="s">
        <v>1058</v>
      </c>
      <c r="G531" s="17" t="s">
        <v>1837</v>
      </c>
    </row>
    <row r="532" spans="1:7" x14ac:dyDescent="0.25">
      <c r="A532" s="16" t="s">
        <v>2413</v>
      </c>
      <c r="B532" s="16" t="s">
        <v>1059</v>
      </c>
      <c r="G532" s="17" t="s">
        <v>1838</v>
      </c>
    </row>
    <row r="533" spans="1:7" x14ac:dyDescent="0.25">
      <c r="A533" s="16" t="s">
        <v>2414</v>
      </c>
      <c r="B533" s="16" t="s">
        <v>1060</v>
      </c>
      <c r="G533" s="17" t="s">
        <v>1839</v>
      </c>
    </row>
    <row r="534" spans="1:7" x14ac:dyDescent="0.25">
      <c r="A534" s="16" t="s">
        <v>2415</v>
      </c>
      <c r="B534" s="16" t="s">
        <v>1061</v>
      </c>
      <c r="G534" s="17" t="s">
        <v>1840</v>
      </c>
    </row>
    <row r="535" spans="1:7" x14ac:dyDescent="0.25">
      <c r="A535" s="16" t="s">
        <v>2416</v>
      </c>
      <c r="B535" s="16" t="s">
        <v>1062</v>
      </c>
      <c r="G535" s="17" t="s">
        <v>1841</v>
      </c>
    </row>
    <row r="536" spans="1:7" x14ac:dyDescent="0.25">
      <c r="A536" s="16" t="s">
        <v>2417</v>
      </c>
      <c r="B536" s="16" t="s">
        <v>1064</v>
      </c>
      <c r="G536" s="17" t="s">
        <v>1842</v>
      </c>
    </row>
    <row r="537" spans="1:7" x14ac:dyDescent="0.25">
      <c r="A537" s="16" t="s">
        <v>2418</v>
      </c>
      <c r="B537" s="16" t="s">
        <v>1065</v>
      </c>
      <c r="G537" s="17" t="s">
        <v>1843</v>
      </c>
    </row>
    <row r="538" spans="1:7" x14ac:dyDescent="0.25">
      <c r="A538" s="16" t="s">
        <v>2419</v>
      </c>
      <c r="B538" s="16" t="s">
        <v>1027</v>
      </c>
      <c r="G538" s="17" t="s">
        <v>1844</v>
      </c>
    </row>
    <row r="539" spans="1:7" x14ac:dyDescent="0.25">
      <c r="A539" s="16" t="s">
        <v>2420</v>
      </c>
      <c r="B539" s="16" t="s">
        <v>1066</v>
      </c>
      <c r="G539" s="17" t="s">
        <v>1845</v>
      </c>
    </row>
    <row r="540" spans="1:7" x14ac:dyDescent="0.25">
      <c r="A540" s="16" t="s">
        <v>2421</v>
      </c>
      <c r="B540" s="16" t="s">
        <v>1067</v>
      </c>
      <c r="G540" s="17" t="s">
        <v>1846</v>
      </c>
    </row>
    <row r="541" spans="1:7" x14ac:dyDescent="0.25">
      <c r="A541" s="16" t="s">
        <v>2422</v>
      </c>
      <c r="B541" s="16" t="s">
        <v>1068</v>
      </c>
      <c r="G541" s="17" t="s">
        <v>1847</v>
      </c>
    </row>
    <row r="542" spans="1:7" x14ac:dyDescent="0.25">
      <c r="A542" s="16" t="s">
        <v>2423</v>
      </c>
      <c r="B542" s="16" t="s">
        <v>1069</v>
      </c>
      <c r="G542" s="17" t="s">
        <v>1848</v>
      </c>
    </row>
    <row r="543" spans="1:7" x14ac:dyDescent="0.25">
      <c r="A543" s="16" t="s">
        <v>2424</v>
      </c>
      <c r="B543" s="16" t="s">
        <v>1070</v>
      </c>
      <c r="G543" s="17" t="s">
        <v>1849</v>
      </c>
    </row>
    <row r="544" spans="1:7" x14ac:dyDescent="0.25">
      <c r="A544" s="16" t="s">
        <v>2425</v>
      </c>
      <c r="B544" s="16" t="s">
        <v>1071</v>
      </c>
      <c r="G544" s="17" t="s">
        <v>1850</v>
      </c>
    </row>
    <row r="545" spans="1:7" x14ac:dyDescent="0.25">
      <c r="A545" s="16" t="s">
        <v>2426</v>
      </c>
      <c r="B545" s="16" t="s">
        <v>1072</v>
      </c>
      <c r="G545" s="17" t="s">
        <v>1851</v>
      </c>
    </row>
    <row r="546" spans="1:7" x14ac:dyDescent="0.25">
      <c r="A546" s="16" t="s">
        <v>2427</v>
      </c>
      <c r="B546" s="16" t="s">
        <v>1073</v>
      </c>
      <c r="G546" s="17" t="s">
        <v>1852</v>
      </c>
    </row>
    <row r="547" spans="1:7" x14ac:dyDescent="0.25">
      <c r="A547" s="16" t="s">
        <v>2428</v>
      </c>
      <c r="B547" s="16" t="s">
        <v>1075</v>
      </c>
      <c r="G547" s="17" t="s">
        <v>1853</v>
      </c>
    </row>
    <row r="548" spans="1:7" x14ac:dyDescent="0.25">
      <c r="A548" s="16" t="s">
        <v>2429</v>
      </c>
      <c r="B548" s="16" t="s">
        <v>1076</v>
      </c>
      <c r="G548" s="17" t="s">
        <v>1854</v>
      </c>
    </row>
    <row r="549" spans="1:7" x14ac:dyDescent="0.25">
      <c r="A549" s="16" t="s">
        <v>2430</v>
      </c>
      <c r="B549" s="16" t="s">
        <v>1028</v>
      </c>
      <c r="G549" s="17" t="s">
        <v>1855</v>
      </c>
    </row>
    <row r="550" spans="1:7" x14ac:dyDescent="0.25">
      <c r="A550" s="16" t="s">
        <v>2431</v>
      </c>
      <c r="B550" s="16" t="s">
        <v>1077</v>
      </c>
      <c r="G550" s="17" t="s">
        <v>1856</v>
      </c>
    </row>
    <row r="551" spans="1:7" x14ac:dyDescent="0.25">
      <c r="A551" s="16" t="s">
        <v>2432</v>
      </c>
      <c r="B551" s="16" t="s">
        <v>1078</v>
      </c>
      <c r="G551" s="17" t="s">
        <v>1857</v>
      </c>
    </row>
    <row r="552" spans="1:7" x14ac:dyDescent="0.25">
      <c r="A552" s="16" t="s">
        <v>2433</v>
      </c>
      <c r="B552" s="16" t="s">
        <v>1079</v>
      </c>
      <c r="G552" s="17" t="s">
        <v>1858</v>
      </c>
    </row>
    <row r="553" spans="1:7" x14ac:dyDescent="0.25">
      <c r="A553" s="16" t="s">
        <v>2434</v>
      </c>
      <c r="B553" s="16" t="s">
        <v>1080</v>
      </c>
      <c r="G553" s="17" t="s">
        <v>1859</v>
      </c>
    </row>
    <row r="554" spans="1:7" x14ac:dyDescent="0.25">
      <c r="A554" s="16" t="s">
        <v>2435</v>
      </c>
      <c r="B554" s="16" t="s">
        <v>1081</v>
      </c>
      <c r="G554" s="17" t="s">
        <v>1860</v>
      </c>
    </row>
    <row r="555" spans="1:7" x14ac:dyDescent="0.25">
      <c r="A555" s="16" t="s">
        <v>2436</v>
      </c>
      <c r="B555" s="16" t="s">
        <v>1082</v>
      </c>
      <c r="G555" s="17" t="s">
        <v>1861</v>
      </c>
    </row>
    <row r="556" spans="1:7" x14ac:dyDescent="0.25">
      <c r="A556" s="16" t="s">
        <v>2437</v>
      </c>
      <c r="B556" s="16" t="s">
        <v>1083</v>
      </c>
      <c r="G556" s="17" t="s">
        <v>1862</v>
      </c>
    </row>
    <row r="557" spans="1:7" x14ac:dyDescent="0.25">
      <c r="A557" s="16" t="s">
        <v>2438</v>
      </c>
      <c r="B557" s="16" t="s">
        <v>1084</v>
      </c>
      <c r="G557" s="17" t="s">
        <v>1863</v>
      </c>
    </row>
    <row r="558" spans="1:7" x14ac:dyDescent="0.25">
      <c r="A558" s="16" t="s">
        <v>2439</v>
      </c>
      <c r="B558" s="16" t="s">
        <v>1086</v>
      </c>
      <c r="G558" s="17" t="s">
        <v>1864</v>
      </c>
    </row>
    <row r="559" spans="1:7" x14ac:dyDescent="0.25">
      <c r="A559" s="16" t="s">
        <v>2440</v>
      </c>
      <c r="B559" s="16" t="s">
        <v>1087</v>
      </c>
      <c r="G559" s="17" t="s">
        <v>1865</v>
      </c>
    </row>
    <row r="560" spans="1:7" x14ac:dyDescent="0.25">
      <c r="A560" s="16" t="s">
        <v>2441</v>
      </c>
      <c r="B560" s="16" t="s">
        <v>1029</v>
      </c>
      <c r="G560" s="17" t="s">
        <v>1866</v>
      </c>
    </row>
    <row r="561" spans="1:7" x14ac:dyDescent="0.25">
      <c r="A561" s="16" t="s">
        <v>2442</v>
      </c>
      <c r="B561" s="16" t="s">
        <v>1088</v>
      </c>
      <c r="G561" s="17" t="s">
        <v>1867</v>
      </c>
    </row>
    <row r="562" spans="1:7" x14ac:dyDescent="0.25">
      <c r="A562" s="16" t="s">
        <v>2443</v>
      </c>
      <c r="B562" s="16" t="s">
        <v>1089</v>
      </c>
      <c r="G562" s="17" t="s">
        <v>1868</v>
      </c>
    </row>
    <row r="563" spans="1:7" x14ac:dyDescent="0.25">
      <c r="A563" s="16" t="s">
        <v>2444</v>
      </c>
      <c r="B563" s="16" t="s">
        <v>1090</v>
      </c>
      <c r="G563" s="17" t="s">
        <v>1869</v>
      </c>
    </row>
    <row r="564" spans="1:7" x14ac:dyDescent="0.25">
      <c r="A564" s="16" t="s">
        <v>2445</v>
      </c>
      <c r="B564" s="16" t="s">
        <v>1091</v>
      </c>
      <c r="G564" s="17" t="s">
        <v>1870</v>
      </c>
    </row>
    <row r="565" spans="1:7" x14ac:dyDescent="0.25">
      <c r="A565" s="16" t="s">
        <v>2446</v>
      </c>
      <c r="B565" s="16" t="s">
        <v>1092</v>
      </c>
      <c r="G565" s="17" t="s">
        <v>1871</v>
      </c>
    </row>
    <row r="566" spans="1:7" x14ac:dyDescent="0.25">
      <c r="A566" s="16" t="s">
        <v>2447</v>
      </c>
      <c r="B566" s="16" t="s">
        <v>1093</v>
      </c>
      <c r="G566" s="17" t="s">
        <v>1872</v>
      </c>
    </row>
    <row r="567" spans="1:7" x14ac:dyDescent="0.25">
      <c r="A567" s="16" t="s">
        <v>2448</v>
      </c>
      <c r="B567" s="16" t="s">
        <v>1094</v>
      </c>
      <c r="G567" s="17" t="s">
        <v>1873</v>
      </c>
    </row>
    <row r="568" spans="1:7" x14ac:dyDescent="0.25">
      <c r="A568" s="16" t="s">
        <v>2449</v>
      </c>
      <c r="B568" s="16" t="s">
        <v>1095</v>
      </c>
      <c r="G568" s="17" t="s">
        <v>1874</v>
      </c>
    </row>
    <row r="569" spans="1:7" x14ac:dyDescent="0.25">
      <c r="A569" s="16" t="s">
        <v>2450</v>
      </c>
      <c r="B569" s="16" t="s">
        <v>1097</v>
      </c>
      <c r="G569" s="17" t="s">
        <v>3551</v>
      </c>
    </row>
    <row r="570" spans="1:7" x14ac:dyDescent="0.25">
      <c r="A570" s="16" t="s">
        <v>2451</v>
      </c>
      <c r="B570" s="16" t="s">
        <v>1098</v>
      </c>
      <c r="G570" s="17" t="s">
        <v>3466</v>
      </c>
    </row>
    <row r="571" spans="1:7" x14ac:dyDescent="0.25">
      <c r="A571" s="16" t="s">
        <v>2452</v>
      </c>
      <c r="B571" s="16" t="s">
        <v>1030</v>
      </c>
      <c r="G571" s="17" t="s">
        <v>3687</v>
      </c>
    </row>
    <row r="572" spans="1:7" x14ac:dyDescent="0.25">
      <c r="A572" s="16" t="s">
        <v>2453</v>
      </c>
      <c r="B572" s="16" t="s">
        <v>1099</v>
      </c>
      <c r="G572" s="17" t="s">
        <v>3557</v>
      </c>
    </row>
    <row r="573" spans="1:7" x14ac:dyDescent="0.25">
      <c r="A573" s="16" t="s">
        <v>2454</v>
      </c>
      <c r="B573" s="16" t="s">
        <v>1100</v>
      </c>
      <c r="G573" s="17" t="s">
        <v>3531</v>
      </c>
    </row>
    <row r="574" spans="1:7" x14ac:dyDescent="0.25">
      <c r="A574" s="16" t="s">
        <v>2455</v>
      </c>
      <c r="B574" s="16" t="s">
        <v>1101</v>
      </c>
      <c r="G574" s="17" t="s">
        <v>3553</v>
      </c>
    </row>
    <row r="575" spans="1:7" x14ac:dyDescent="0.25">
      <c r="A575" s="16" t="s">
        <v>2456</v>
      </c>
      <c r="B575" s="16" t="s">
        <v>1102</v>
      </c>
      <c r="G575" s="17" t="s">
        <v>3472</v>
      </c>
    </row>
    <row r="576" spans="1:7" x14ac:dyDescent="0.25">
      <c r="A576" s="16" t="s">
        <v>2457</v>
      </c>
      <c r="B576" s="16" t="s">
        <v>1103</v>
      </c>
      <c r="G576" s="17" t="s">
        <v>3683</v>
      </c>
    </row>
    <row r="577" spans="1:7" x14ac:dyDescent="0.25">
      <c r="A577" s="16" t="s">
        <v>2458</v>
      </c>
      <c r="B577" s="16" t="s">
        <v>1104</v>
      </c>
      <c r="G577" s="17" t="s">
        <v>3501</v>
      </c>
    </row>
    <row r="578" spans="1:7" x14ac:dyDescent="0.25">
      <c r="A578" s="16" t="s">
        <v>2459</v>
      </c>
      <c r="B578" s="16" t="s">
        <v>1105</v>
      </c>
      <c r="G578" s="17" t="s">
        <v>3650</v>
      </c>
    </row>
    <row r="579" spans="1:7" x14ac:dyDescent="0.25">
      <c r="A579" s="16" t="s">
        <v>2460</v>
      </c>
      <c r="B579" s="16" t="s">
        <v>1106</v>
      </c>
      <c r="G579" s="17" t="s">
        <v>3648</v>
      </c>
    </row>
    <row r="580" spans="1:7" x14ac:dyDescent="0.25">
      <c r="A580" s="16" t="s">
        <v>2461</v>
      </c>
      <c r="B580" s="16" t="s">
        <v>1108</v>
      </c>
      <c r="G580" s="17" t="s">
        <v>3652</v>
      </c>
    </row>
    <row r="581" spans="1:7" x14ac:dyDescent="0.25">
      <c r="A581" s="16" t="s">
        <v>2462</v>
      </c>
      <c r="B581" s="16" t="s">
        <v>1109</v>
      </c>
      <c r="G581" s="17" t="s">
        <v>3671</v>
      </c>
    </row>
    <row r="582" spans="1:7" x14ac:dyDescent="0.25">
      <c r="A582" s="16" t="s">
        <v>2463</v>
      </c>
      <c r="B582" s="16" t="s">
        <v>1032</v>
      </c>
      <c r="G582" s="17" t="s">
        <v>3691</v>
      </c>
    </row>
    <row r="583" spans="1:7" x14ac:dyDescent="0.25">
      <c r="A583" s="16" t="s">
        <v>2464</v>
      </c>
      <c r="B583" s="16" t="s">
        <v>1110</v>
      </c>
      <c r="G583" s="17" t="s">
        <v>3547</v>
      </c>
    </row>
    <row r="584" spans="1:7" x14ac:dyDescent="0.25">
      <c r="A584" s="16" t="s">
        <v>2465</v>
      </c>
      <c r="B584" s="16" t="s">
        <v>1111</v>
      </c>
      <c r="G584" s="17" t="s">
        <v>3559</v>
      </c>
    </row>
    <row r="585" spans="1:7" x14ac:dyDescent="0.25">
      <c r="A585" s="16" t="s">
        <v>2466</v>
      </c>
      <c r="B585" s="16" t="s">
        <v>1112</v>
      </c>
      <c r="G585" s="17" t="s">
        <v>3549</v>
      </c>
    </row>
    <row r="586" spans="1:7" x14ac:dyDescent="0.25">
      <c r="A586" s="16" t="s">
        <v>2467</v>
      </c>
      <c r="B586" s="16" t="s">
        <v>1113</v>
      </c>
      <c r="G586" s="17" t="s">
        <v>3460</v>
      </c>
    </row>
    <row r="587" spans="1:7" x14ac:dyDescent="0.25">
      <c r="A587" s="16" t="s">
        <v>2468</v>
      </c>
      <c r="B587" s="16" t="s">
        <v>1114</v>
      </c>
      <c r="G587" s="17" t="s">
        <v>3638</v>
      </c>
    </row>
    <row r="588" spans="1:7" x14ac:dyDescent="0.25">
      <c r="A588" s="16" t="s">
        <v>2469</v>
      </c>
      <c r="B588" s="16" t="s">
        <v>1115</v>
      </c>
      <c r="G588" s="17" t="s">
        <v>3590</v>
      </c>
    </row>
    <row r="589" spans="1:7" x14ac:dyDescent="0.25">
      <c r="A589" s="16" t="s">
        <v>2470</v>
      </c>
      <c r="B589" s="16" t="s">
        <v>1116</v>
      </c>
      <c r="G589" s="17" t="s">
        <v>3588</v>
      </c>
    </row>
    <row r="590" spans="1:7" x14ac:dyDescent="0.25">
      <c r="A590" s="16" t="s">
        <v>2471</v>
      </c>
      <c r="B590" s="16" t="s">
        <v>1117</v>
      </c>
      <c r="G590" s="17" t="s">
        <v>3594</v>
      </c>
    </row>
    <row r="591" spans="1:7" x14ac:dyDescent="0.25">
      <c r="A591" s="16" t="s">
        <v>2472</v>
      </c>
      <c r="B591" s="16" t="s">
        <v>1119</v>
      </c>
      <c r="G591" s="17" t="s">
        <v>3577</v>
      </c>
    </row>
    <row r="592" spans="1:7" x14ac:dyDescent="0.25">
      <c r="A592" s="16" t="s">
        <v>2473</v>
      </c>
      <c r="B592" s="16" t="s">
        <v>1033</v>
      </c>
      <c r="G592" s="17" t="s">
        <v>3636</v>
      </c>
    </row>
    <row r="593" spans="1:7" x14ac:dyDescent="0.25">
      <c r="A593" s="16" t="s">
        <v>2474</v>
      </c>
      <c r="B593" s="16" t="s">
        <v>1120</v>
      </c>
      <c r="G593" s="17" t="s">
        <v>3629</v>
      </c>
    </row>
    <row r="594" spans="1:7" x14ac:dyDescent="0.25">
      <c r="A594" s="16" t="s">
        <v>2475</v>
      </c>
      <c r="B594" s="16" t="s">
        <v>1121</v>
      </c>
      <c r="G594" s="17" t="s">
        <v>3622</v>
      </c>
    </row>
    <row r="595" spans="1:7" x14ac:dyDescent="0.25">
      <c r="A595" s="16" t="s">
        <v>2476</v>
      </c>
      <c r="B595" s="16" t="s">
        <v>1122</v>
      </c>
      <c r="G595" s="17" t="s">
        <v>3639</v>
      </c>
    </row>
    <row r="596" spans="1:7" x14ac:dyDescent="0.25">
      <c r="A596" s="16" t="s">
        <v>2477</v>
      </c>
      <c r="B596" s="16" t="s">
        <v>1123</v>
      </c>
      <c r="G596" s="17" t="s">
        <v>3662</v>
      </c>
    </row>
    <row r="597" spans="1:7" x14ac:dyDescent="0.25">
      <c r="A597" s="16" t="s">
        <v>2478</v>
      </c>
      <c r="B597" s="16" t="s">
        <v>1124</v>
      </c>
      <c r="G597" s="17" t="s">
        <v>3664</v>
      </c>
    </row>
    <row r="598" spans="1:7" x14ac:dyDescent="0.25">
      <c r="A598" s="16" t="s">
        <v>2479</v>
      </c>
      <c r="B598" s="16" t="s">
        <v>1125</v>
      </c>
      <c r="G598" s="17" t="s">
        <v>3660</v>
      </c>
    </row>
    <row r="599" spans="1:7" x14ac:dyDescent="0.25">
      <c r="A599" s="16" t="s">
        <v>2480</v>
      </c>
      <c r="B599" s="16" t="s">
        <v>1126</v>
      </c>
      <c r="G599" s="17" t="s">
        <v>3434</v>
      </c>
    </row>
    <row r="600" spans="1:7" x14ac:dyDescent="0.25">
      <c r="A600" s="16" t="s">
        <v>2481</v>
      </c>
      <c r="B600" s="16" t="s">
        <v>1127</v>
      </c>
      <c r="G600" s="17" t="s">
        <v>3717</v>
      </c>
    </row>
    <row r="601" spans="1:7" x14ac:dyDescent="0.25">
      <c r="A601" s="16" t="s">
        <v>2482</v>
      </c>
      <c r="B601" s="16" t="s">
        <v>1128</v>
      </c>
      <c r="G601" s="17" t="s">
        <v>3420</v>
      </c>
    </row>
    <row r="602" spans="1:7" x14ac:dyDescent="0.25">
      <c r="A602" s="16" t="s">
        <v>2483</v>
      </c>
      <c r="B602" s="16" t="s">
        <v>1130</v>
      </c>
      <c r="G602" s="17" t="s">
        <v>3417</v>
      </c>
    </row>
    <row r="603" spans="1:7" x14ac:dyDescent="0.25">
      <c r="A603" s="16" t="s">
        <v>156</v>
      </c>
      <c r="B603" s="16" t="s">
        <v>156</v>
      </c>
      <c r="G603" s="17" t="s">
        <v>3455</v>
      </c>
    </row>
    <row r="604" spans="1:7" x14ac:dyDescent="0.25">
      <c r="A604" s="16" t="s">
        <v>2484</v>
      </c>
      <c r="B604" s="16" t="s">
        <v>418</v>
      </c>
      <c r="G604" s="17" t="s">
        <v>3657</v>
      </c>
    </row>
    <row r="605" spans="1:7" x14ac:dyDescent="0.25">
      <c r="A605" s="16" t="s">
        <v>2485</v>
      </c>
      <c r="B605" s="16" t="s">
        <v>428</v>
      </c>
      <c r="G605" s="17" t="s">
        <v>3469</v>
      </c>
    </row>
    <row r="606" spans="1:7" x14ac:dyDescent="0.25">
      <c r="A606" s="16" t="s">
        <v>2486</v>
      </c>
      <c r="B606" s="16" t="s">
        <v>515</v>
      </c>
      <c r="G606" s="17" t="s">
        <v>3715</v>
      </c>
    </row>
    <row r="607" spans="1:7" x14ac:dyDescent="0.25">
      <c r="A607" s="16" t="s">
        <v>2487</v>
      </c>
      <c r="B607" s="16" t="s">
        <v>516</v>
      </c>
      <c r="G607" s="17" t="s">
        <v>3449</v>
      </c>
    </row>
    <row r="608" spans="1:7" x14ac:dyDescent="0.25">
      <c r="A608" s="16" t="s">
        <v>2488</v>
      </c>
      <c r="B608" s="16" t="s">
        <v>517</v>
      </c>
      <c r="G608" s="17" t="s">
        <v>3470</v>
      </c>
    </row>
    <row r="609" spans="1:7" x14ac:dyDescent="0.25">
      <c r="A609" s="16" t="s">
        <v>2489</v>
      </c>
      <c r="B609" s="16" t="s">
        <v>518</v>
      </c>
      <c r="G609" s="17" t="s">
        <v>3471</v>
      </c>
    </row>
    <row r="610" spans="1:7" x14ac:dyDescent="0.25">
      <c r="A610" s="16" t="s">
        <v>2490</v>
      </c>
      <c r="B610" s="16" t="s">
        <v>520</v>
      </c>
      <c r="G610" s="17" t="s">
        <v>3658</v>
      </c>
    </row>
    <row r="611" spans="1:7" x14ac:dyDescent="0.25">
      <c r="A611" s="16" t="s">
        <v>2491</v>
      </c>
      <c r="B611" s="16" t="s">
        <v>521</v>
      </c>
      <c r="G611" s="17" t="s">
        <v>3722</v>
      </c>
    </row>
    <row r="612" spans="1:7" x14ac:dyDescent="0.25">
      <c r="A612" s="16" t="s">
        <v>2492</v>
      </c>
      <c r="B612" s="16" t="s">
        <v>522</v>
      </c>
      <c r="G612" s="17" t="s">
        <v>3584</v>
      </c>
    </row>
    <row r="613" spans="1:7" x14ac:dyDescent="0.25">
      <c r="A613" s="16" t="s">
        <v>2493</v>
      </c>
      <c r="B613" s="16" t="s">
        <v>523</v>
      </c>
      <c r="G613" s="17" t="s">
        <v>3563</v>
      </c>
    </row>
    <row r="614" spans="1:7" x14ac:dyDescent="0.25">
      <c r="A614" s="16" t="s">
        <v>2494</v>
      </c>
      <c r="B614" s="16" t="s">
        <v>524</v>
      </c>
      <c r="G614" s="17" t="s">
        <v>3561</v>
      </c>
    </row>
    <row r="615" spans="1:7" x14ac:dyDescent="0.25">
      <c r="A615" s="16" t="s">
        <v>2495</v>
      </c>
      <c r="B615" s="16" t="s">
        <v>429</v>
      </c>
      <c r="G615" s="17" t="s">
        <v>3433</v>
      </c>
    </row>
    <row r="616" spans="1:7" x14ac:dyDescent="0.25">
      <c r="A616" s="16" t="s">
        <v>2496</v>
      </c>
      <c r="B616" s="16" t="s">
        <v>525</v>
      </c>
      <c r="G616" s="17" t="s">
        <v>3428</v>
      </c>
    </row>
    <row r="617" spans="1:7" x14ac:dyDescent="0.25">
      <c r="A617" s="16" t="s">
        <v>2497</v>
      </c>
      <c r="B617" s="16" t="s">
        <v>526</v>
      </c>
      <c r="G617" s="17" t="s">
        <v>3427</v>
      </c>
    </row>
    <row r="618" spans="1:7" x14ac:dyDescent="0.25">
      <c r="A618" s="16" t="s">
        <v>2498</v>
      </c>
      <c r="B618" s="16" t="s">
        <v>527</v>
      </c>
      <c r="G618" s="17" t="s">
        <v>3419</v>
      </c>
    </row>
    <row r="619" spans="1:7" x14ac:dyDescent="0.25">
      <c r="A619" s="16" t="s">
        <v>2499</v>
      </c>
      <c r="B619" s="16" t="s">
        <v>528</v>
      </c>
      <c r="G619" s="17" t="s">
        <v>3633</v>
      </c>
    </row>
    <row r="620" spans="1:7" x14ac:dyDescent="0.25">
      <c r="A620" s="16" t="s">
        <v>2500</v>
      </c>
      <c r="B620" s="16" t="s">
        <v>529</v>
      </c>
      <c r="G620" s="17" t="s">
        <v>3635</v>
      </c>
    </row>
    <row r="621" spans="1:7" x14ac:dyDescent="0.25">
      <c r="A621" s="16" t="s">
        <v>2501</v>
      </c>
      <c r="B621" s="16" t="s">
        <v>530</v>
      </c>
      <c r="G621" s="17" t="s">
        <v>3446</v>
      </c>
    </row>
    <row r="622" spans="1:7" x14ac:dyDescent="0.25">
      <c r="A622" s="16" t="s">
        <v>2502</v>
      </c>
      <c r="B622" s="16" t="s">
        <v>531</v>
      </c>
      <c r="G622" s="17" t="s">
        <v>3448</v>
      </c>
    </row>
    <row r="623" spans="1:7" x14ac:dyDescent="0.25">
      <c r="A623" s="16" t="s">
        <v>2503</v>
      </c>
      <c r="B623" s="16" t="s">
        <v>532</v>
      </c>
      <c r="G623" s="17" t="s">
        <v>3467</v>
      </c>
    </row>
    <row r="624" spans="1:7" x14ac:dyDescent="0.25">
      <c r="A624" s="16" t="s">
        <v>2504</v>
      </c>
      <c r="B624" s="16" t="s">
        <v>533</v>
      </c>
      <c r="G624" s="17" t="s">
        <v>3412</v>
      </c>
    </row>
    <row r="625" spans="1:7" x14ac:dyDescent="0.25">
      <c r="A625" s="16" t="s">
        <v>2505</v>
      </c>
      <c r="B625" s="16" t="s">
        <v>534</v>
      </c>
      <c r="G625" s="17" t="s">
        <v>3429</v>
      </c>
    </row>
    <row r="626" spans="1:7" x14ac:dyDescent="0.25">
      <c r="A626" s="16" t="s">
        <v>2506</v>
      </c>
      <c r="B626" s="16" t="s">
        <v>430</v>
      </c>
      <c r="G626" s="17" t="s">
        <v>3422</v>
      </c>
    </row>
    <row r="627" spans="1:7" x14ac:dyDescent="0.25">
      <c r="A627" s="16" t="s">
        <v>2507</v>
      </c>
      <c r="B627" s="16" t="s">
        <v>535</v>
      </c>
      <c r="G627" s="17" t="s">
        <v>3453</v>
      </c>
    </row>
    <row r="628" spans="1:7" x14ac:dyDescent="0.25">
      <c r="A628" s="16" t="s">
        <v>2508</v>
      </c>
      <c r="B628" s="16" t="s">
        <v>536</v>
      </c>
      <c r="G628" s="17" t="s">
        <v>3457</v>
      </c>
    </row>
    <row r="629" spans="1:7" x14ac:dyDescent="0.25">
      <c r="A629" s="16" t="s">
        <v>2509</v>
      </c>
      <c r="B629" s="16" t="s">
        <v>537</v>
      </c>
      <c r="G629" s="17" t="s">
        <v>3454</v>
      </c>
    </row>
    <row r="630" spans="1:7" x14ac:dyDescent="0.25">
      <c r="A630" s="16" t="s">
        <v>2510</v>
      </c>
      <c r="B630" s="16" t="s">
        <v>538</v>
      </c>
      <c r="G630" s="17" t="s">
        <v>3631</v>
      </c>
    </row>
    <row r="631" spans="1:7" x14ac:dyDescent="0.25">
      <c r="A631" s="16" t="s">
        <v>2511</v>
      </c>
      <c r="B631" s="16" t="s">
        <v>539</v>
      </c>
      <c r="G631" s="17" t="s">
        <v>3641</v>
      </c>
    </row>
    <row r="632" spans="1:7" x14ac:dyDescent="0.25">
      <c r="A632" s="16" t="s">
        <v>2512</v>
      </c>
      <c r="B632" s="16" t="s">
        <v>540</v>
      </c>
      <c r="G632" s="17" t="s">
        <v>3621</v>
      </c>
    </row>
    <row r="633" spans="1:7" x14ac:dyDescent="0.25">
      <c r="A633" s="16" t="s">
        <v>2513</v>
      </c>
      <c r="B633" s="16" t="s">
        <v>541</v>
      </c>
      <c r="G633" s="17" t="s">
        <v>3644</v>
      </c>
    </row>
    <row r="634" spans="1:7" x14ac:dyDescent="0.25">
      <c r="A634" s="16" t="s">
        <v>2514</v>
      </c>
      <c r="B634" s="16" t="s">
        <v>542</v>
      </c>
      <c r="G634" s="17" t="s">
        <v>3695</v>
      </c>
    </row>
    <row r="635" spans="1:7" x14ac:dyDescent="0.25">
      <c r="A635" s="16" t="s">
        <v>2515</v>
      </c>
      <c r="B635" s="16" t="s">
        <v>543</v>
      </c>
      <c r="G635" s="17" t="s">
        <v>3624</v>
      </c>
    </row>
    <row r="636" spans="1:7" x14ac:dyDescent="0.25">
      <c r="A636" s="16" t="s">
        <v>2516</v>
      </c>
      <c r="B636" s="16" t="s">
        <v>431</v>
      </c>
      <c r="G636" s="17" t="s">
        <v>3617</v>
      </c>
    </row>
    <row r="637" spans="1:7" x14ac:dyDescent="0.25">
      <c r="A637" s="16" t="s">
        <v>2517</v>
      </c>
      <c r="B637" s="16" t="s">
        <v>544</v>
      </c>
      <c r="G637" s="17" t="s">
        <v>3619</v>
      </c>
    </row>
    <row r="638" spans="1:7" x14ac:dyDescent="0.25">
      <c r="A638" s="16" t="s">
        <v>2518</v>
      </c>
      <c r="B638" s="16" t="s">
        <v>545</v>
      </c>
      <c r="G638" s="17" t="s">
        <v>3626</v>
      </c>
    </row>
    <row r="639" spans="1:7" x14ac:dyDescent="0.25">
      <c r="A639" s="16" t="s">
        <v>2519</v>
      </c>
      <c r="B639" s="16" t="s">
        <v>546</v>
      </c>
      <c r="G639" s="17" t="s">
        <v>3628</v>
      </c>
    </row>
    <row r="640" spans="1:7" x14ac:dyDescent="0.25">
      <c r="A640" s="16" t="s">
        <v>2520</v>
      </c>
      <c r="B640" s="16" t="s">
        <v>547</v>
      </c>
      <c r="G640" s="17" t="s">
        <v>3614</v>
      </c>
    </row>
    <row r="641" spans="1:7" x14ac:dyDescent="0.25">
      <c r="A641" s="16" t="s">
        <v>2521</v>
      </c>
      <c r="B641" s="16" t="s">
        <v>548</v>
      </c>
      <c r="G641" s="17" t="s">
        <v>3459</v>
      </c>
    </row>
    <row r="642" spans="1:7" x14ac:dyDescent="0.25">
      <c r="A642" s="16" t="s">
        <v>2522</v>
      </c>
      <c r="B642" s="16" t="s">
        <v>549</v>
      </c>
      <c r="G642" s="17" t="s">
        <v>3654</v>
      </c>
    </row>
    <row r="643" spans="1:7" x14ac:dyDescent="0.25">
      <c r="A643" s="16" t="s">
        <v>2523</v>
      </c>
      <c r="B643" s="16" t="s">
        <v>550</v>
      </c>
      <c r="G643" s="17" t="s">
        <v>3581</v>
      </c>
    </row>
    <row r="644" spans="1:7" x14ac:dyDescent="0.25">
      <c r="A644" s="16" t="s">
        <v>2524</v>
      </c>
      <c r="B644" s="16" t="s">
        <v>551</v>
      </c>
      <c r="G644" s="17" t="s">
        <v>3579</v>
      </c>
    </row>
    <row r="645" spans="1:7" x14ac:dyDescent="0.25">
      <c r="A645" s="16" t="s">
        <v>2525</v>
      </c>
      <c r="B645" s="16" t="s">
        <v>433</v>
      </c>
      <c r="G645" s="17" t="s">
        <v>3586</v>
      </c>
    </row>
    <row r="646" spans="1:7" x14ac:dyDescent="0.25">
      <c r="A646" s="16" t="s">
        <v>2526</v>
      </c>
      <c r="B646" s="16" t="s">
        <v>552</v>
      </c>
      <c r="G646" s="17" t="s">
        <v>3543</v>
      </c>
    </row>
    <row r="647" spans="1:7" x14ac:dyDescent="0.25">
      <c r="A647" s="16" t="s">
        <v>2527</v>
      </c>
      <c r="B647" s="16" t="s">
        <v>553</v>
      </c>
      <c r="G647" s="17" t="s">
        <v>3540</v>
      </c>
    </row>
    <row r="648" spans="1:7" x14ac:dyDescent="0.25">
      <c r="A648" s="16" t="s">
        <v>2528</v>
      </c>
      <c r="B648" s="16" t="s">
        <v>555</v>
      </c>
      <c r="G648" s="17" t="s">
        <v>3570</v>
      </c>
    </row>
    <row r="649" spans="1:7" x14ac:dyDescent="0.25">
      <c r="A649" s="16" t="s">
        <v>2529</v>
      </c>
      <c r="B649" s="16" t="s">
        <v>556</v>
      </c>
      <c r="G649" s="17" t="s">
        <v>3493</v>
      </c>
    </row>
    <row r="650" spans="1:7" x14ac:dyDescent="0.25">
      <c r="A650" s="16" t="s">
        <v>2530</v>
      </c>
      <c r="B650" s="16" t="s">
        <v>557</v>
      </c>
      <c r="G650" s="17" t="s">
        <v>3567</v>
      </c>
    </row>
    <row r="651" spans="1:7" x14ac:dyDescent="0.25">
      <c r="A651" s="16" t="s">
        <v>2531</v>
      </c>
      <c r="B651" s="16" t="s">
        <v>558</v>
      </c>
      <c r="G651" s="17" t="s">
        <v>3675</v>
      </c>
    </row>
    <row r="652" spans="1:7" x14ac:dyDescent="0.25">
      <c r="A652" s="16" t="s">
        <v>2532</v>
      </c>
      <c r="B652" s="16" t="s">
        <v>559</v>
      </c>
      <c r="G652" s="17" t="s">
        <v>3565</v>
      </c>
    </row>
    <row r="653" spans="1:7" x14ac:dyDescent="0.25">
      <c r="A653" s="16" t="s">
        <v>2533</v>
      </c>
      <c r="B653" s="16" t="s">
        <v>434</v>
      </c>
      <c r="G653" s="17" t="s">
        <v>3408</v>
      </c>
    </row>
    <row r="654" spans="1:7" x14ac:dyDescent="0.25">
      <c r="A654" s="16" t="s">
        <v>2534</v>
      </c>
      <c r="B654" s="16" t="s">
        <v>560</v>
      </c>
      <c r="G654" s="17" t="s">
        <v>3535</v>
      </c>
    </row>
    <row r="655" spans="1:7" x14ac:dyDescent="0.25">
      <c r="A655" s="16" t="s">
        <v>2535</v>
      </c>
      <c r="B655" s="16" t="s">
        <v>561</v>
      </c>
      <c r="G655" s="17" t="s">
        <v>3572</v>
      </c>
    </row>
    <row r="656" spans="1:7" x14ac:dyDescent="0.25">
      <c r="A656" s="16" t="s">
        <v>2536</v>
      </c>
      <c r="B656" s="16" t="s">
        <v>562</v>
      </c>
      <c r="G656" s="17" t="s">
        <v>3538</v>
      </c>
    </row>
    <row r="657" spans="1:7" x14ac:dyDescent="0.25">
      <c r="A657" s="16" t="s">
        <v>2537</v>
      </c>
      <c r="B657" s="16" t="s">
        <v>564</v>
      </c>
      <c r="G657" s="17" t="s">
        <v>3574</v>
      </c>
    </row>
    <row r="658" spans="1:7" x14ac:dyDescent="0.25">
      <c r="A658" s="16" t="s">
        <v>2538</v>
      </c>
      <c r="B658" s="16" t="s">
        <v>565</v>
      </c>
      <c r="G658" s="17" t="s">
        <v>3423</v>
      </c>
    </row>
    <row r="659" spans="1:7" x14ac:dyDescent="0.25">
      <c r="A659" s="16" t="s">
        <v>2539</v>
      </c>
      <c r="B659" s="16" t="s">
        <v>435</v>
      </c>
      <c r="G659" s="17" t="s">
        <v>3416</v>
      </c>
    </row>
    <row r="660" spans="1:7" x14ac:dyDescent="0.25">
      <c r="A660" s="16" t="s">
        <v>2540</v>
      </c>
      <c r="B660" s="16" t="s">
        <v>436</v>
      </c>
      <c r="G660" s="17" t="s">
        <v>3670</v>
      </c>
    </row>
    <row r="661" spans="1:7" x14ac:dyDescent="0.25">
      <c r="A661" s="16" t="s">
        <v>2541</v>
      </c>
      <c r="B661" s="16" t="s">
        <v>437</v>
      </c>
      <c r="G661" s="17" t="s">
        <v>3721</v>
      </c>
    </row>
    <row r="662" spans="1:7" x14ac:dyDescent="0.25">
      <c r="A662" s="16" t="s">
        <v>2542</v>
      </c>
      <c r="B662" s="16" t="s">
        <v>438</v>
      </c>
      <c r="G662" s="17" t="s">
        <v>3723</v>
      </c>
    </row>
    <row r="663" spans="1:7" x14ac:dyDescent="0.25">
      <c r="A663" s="16" t="s">
        <v>2543</v>
      </c>
      <c r="B663" s="16" t="s">
        <v>419</v>
      </c>
      <c r="G663" s="17" t="s">
        <v>3724</v>
      </c>
    </row>
    <row r="664" spans="1:7" x14ac:dyDescent="0.25">
      <c r="A664" s="16" t="s">
        <v>2544</v>
      </c>
      <c r="B664" s="16" t="s">
        <v>439</v>
      </c>
      <c r="G664" s="17" t="s">
        <v>3499</v>
      </c>
    </row>
    <row r="665" spans="1:7" x14ac:dyDescent="0.25">
      <c r="A665" s="16" t="s">
        <v>2545</v>
      </c>
      <c r="B665" s="16" t="s">
        <v>440</v>
      </c>
      <c r="G665" s="17" t="s">
        <v>3611</v>
      </c>
    </row>
    <row r="666" spans="1:7" x14ac:dyDescent="0.25">
      <c r="A666" s="16" t="s">
        <v>2546</v>
      </c>
      <c r="B666" s="16" t="s">
        <v>441</v>
      </c>
      <c r="G666" s="17" t="s">
        <v>3689</v>
      </c>
    </row>
    <row r="667" spans="1:7" x14ac:dyDescent="0.25">
      <c r="A667" s="16" t="s">
        <v>2547</v>
      </c>
      <c r="B667" s="16" t="s">
        <v>442</v>
      </c>
      <c r="G667" s="17" t="s">
        <v>3431</v>
      </c>
    </row>
    <row r="668" spans="1:7" x14ac:dyDescent="0.25">
      <c r="A668" s="16" t="s">
        <v>2548</v>
      </c>
      <c r="B668" s="16" t="s">
        <v>443</v>
      </c>
      <c r="G668" s="17" t="s">
        <v>3713</v>
      </c>
    </row>
    <row r="669" spans="1:7" x14ac:dyDescent="0.25">
      <c r="A669" s="16" t="s">
        <v>2549</v>
      </c>
      <c r="B669" s="16" t="s">
        <v>444</v>
      </c>
      <c r="G669" s="17" t="s">
        <v>3409</v>
      </c>
    </row>
    <row r="670" spans="1:7" x14ac:dyDescent="0.25">
      <c r="A670" s="16" t="s">
        <v>2550</v>
      </c>
      <c r="B670" s="16" t="s">
        <v>445</v>
      </c>
      <c r="G670" s="17" t="s">
        <v>3725</v>
      </c>
    </row>
    <row r="671" spans="1:7" x14ac:dyDescent="0.25">
      <c r="A671" s="16" t="s">
        <v>2551</v>
      </c>
      <c r="B671" s="16" t="s">
        <v>446</v>
      </c>
      <c r="G671" s="17" t="s">
        <v>3726</v>
      </c>
    </row>
    <row r="672" spans="1:7" x14ac:dyDescent="0.25">
      <c r="A672" s="16" t="s">
        <v>2552</v>
      </c>
      <c r="B672" s="16" t="s">
        <v>447</v>
      </c>
      <c r="G672" s="17" t="s">
        <v>3437</v>
      </c>
    </row>
    <row r="673" spans="1:7" x14ac:dyDescent="0.25">
      <c r="A673" s="16" t="s">
        <v>2553</v>
      </c>
      <c r="B673" s="16" t="s">
        <v>448</v>
      </c>
      <c r="G673" s="17" t="s">
        <v>3413</v>
      </c>
    </row>
    <row r="674" spans="1:7" x14ac:dyDescent="0.25">
      <c r="A674" s="16" t="s">
        <v>2554</v>
      </c>
      <c r="B674" s="16" t="s">
        <v>420</v>
      </c>
      <c r="G674" s="17" t="s">
        <v>3436</v>
      </c>
    </row>
    <row r="675" spans="1:7" x14ac:dyDescent="0.25">
      <c r="A675" s="16" t="s">
        <v>2555</v>
      </c>
      <c r="B675" s="16" t="s">
        <v>449</v>
      </c>
      <c r="G675" s="17" t="s">
        <v>3489</v>
      </c>
    </row>
    <row r="676" spans="1:7" x14ac:dyDescent="0.25">
      <c r="A676" s="16" t="s">
        <v>2556</v>
      </c>
      <c r="B676" s="16" t="s">
        <v>450</v>
      </c>
      <c r="G676" s="17" t="s">
        <v>3685</v>
      </c>
    </row>
    <row r="677" spans="1:7" x14ac:dyDescent="0.25">
      <c r="A677" s="16" t="s">
        <v>2557</v>
      </c>
      <c r="B677" s="16" t="s">
        <v>452</v>
      </c>
      <c r="G677" s="17" t="s">
        <v>3555</v>
      </c>
    </row>
    <row r="678" spans="1:7" x14ac:dyDescent="0.25">
      <c r="A678" s="16" t="s">
        <v>2558</v>
      </c>
      <c r="B678" s="16" t="s">
        <v>453</v>
      </c>
      <c r="G678" s="17" t="s">
        <v>3426</v>
      </c>
    </row>
    <row r="679" spans="1:7" x14ac:dyDescent="0.25">
      <c r="A679" s="16" t="s">
        <v>2559</v>
      </c>
      <c r="B679" s="16" t="s">
        <v>454</v>
      </c>
      <c r="G679" s="17" t="s">
        <v>3421</v>
      </c>
    </row>
    <row r="680" spans="1:7" x14ac:dyDescent="0.25">
      <c r="A680" s="16" t="s">
        <v>2560</v>
      </c>
      <c r="B680" s="16" t="s">
        <v>455</v>
      </c>
      <c r="G680" s="17" t="s">
        <v>3503</v>
      </c>
    </row>
    <row r="681" spans="1:7" x14ac:dyDescent="0.25">
      <c r="A681" s="16" t="s">
        <v>2561</v>
      </c>
      <c r="B681" s="16" t="s">
        <v>456</v>
      </c>
      <c r="G681" s="17" t="s">
        <v>3435</v>
      </c>
    </row>
    <row r="682" spans="1:7" x14ac:dyDescent="0.25">
      <c r="A682" s="16" t="s">
        <v>2562</v>
      </c>
      <c r="B682" s="16" t="s">
        <v>457</v>
      </c>
      <c r="G682" s="17" t="s">
        <v>3497</v>
      </c>
    </row>
    <row r="683" spans="1:7" x14ac:dyDescent="0.25">
      <c r="A683" s="16" t="s">
        <v>2563</v>
      </c>
      <c r="B683" s="16" t="s">
        <v>458</v>
      </c>
      <c r="G683" s="17" t="s">
        <v>3642</v>
      </c>
    </row>
    <row r="684" spans="1:7" x14ac:dyDescent="0.25">
      <c r="A684" s="16" t="s">
        <v>2564</v>
      </c>
      <c r="B684" s="16" t="s">
        <v>459</v>
      </c>
      <c r="G684" s="17" t="s">
        <v>3411</v>
      </c>
    </row>
    <row r="685" spans="1:7" x14ac:dyDescent="0.25">
      <c r="A685" s="16" t="s">
        <v>2565</v>
      </c>
      <c r="B685" s="16" t="s">
        <v>421</v>
      </c>
      <c r="G685" s="17" t="s">
        <v>3464</v>
      </c>
    </row>
    <row r="686" spans="1:7" x14ac:dyDescent="0.25">
      <c r="A686" s="16" t="s">
        <v>2566</v>
      </c>
      <c r="B686" s="16" t="s">
        <v>460</v>
      </c>
      <c r="G686" s="17" t="s">
        <v>3445</v>
      </c>
    </row>
    <row r="687" spans="1:7" x14ac:dyDescent="0.25">
      <c r="A687" s="16" t="s">
        <v>2567</v>
      </c>
      <c r="B687" s="16" t="s">
        <v>461</v>
      </c>
      <c r="G687" s="17" t="s">
        <v>3465</v>
      </c>
    </row>
    <row r="688" spans="1:7" x14ac:dyDescent="0.25">
      <c r="A688" s="16" t="s">
        <v>2568</v>
      </c>
      <c r="B688" s="16" t="s">
        <v>462</v>
      </c>
      <c r="G688" s="17" t="s">
        <v>3677</v>
      </c>
    </row>
    <row r="689" spans="1:7" x14ac:dyDescent="0.25">
      <c r="A689" s="16" t="s">
        <v>2569</v>
      </c>
      <c r="B689" s="16" t="s">
        <v>463</v>
      </c>
      <c r="G689" s="17" t="s">
        <v>3727</v>
      </c>
    </row>
    <row r="690" spans="1:7" x14ac:dyDescent="0.25">
      <c r="A690" s="16" t="s">
        <v>2570</v>
      </c>
      <c r="B690" s="16" t="s">
        <v>464</v>
      </c>
      <c r="G690" s="17" t="s">
        <v>3693</v>
      </c>
    </row>
    <row r="691" spans="1:7" x14ac:dyDescent="0.25">
      <c r="A691" s="16" t="s">
        <v>2571</v>
      </c>
      <c r="B691" s="16" t="s">
        <v>465</v>
      </c>
      <c r="G691" s="17" t="s">
        <v>3576</v>
      </c>
    </row>
    <row r="692" spans="1:7" x14ac:dyDescent="0.25">
      <c r="A692" s="16" t="s">
        <v>2572</v>
      </c>
      <c r="B692" s="16" t="s">
        <v>466</v>
      </c>
      <c r="G692" s="17" t="s">
        <v>3544</v>
      </c>
    </row>
    <row r="693" spans="1:7" x14ac:dyDescent="0.25">
      <c r="A693" s="16" t="s">
        <v>2573</v>
      </c>
      <c r="B693" s="16" t="s">
        <v>467</v>
      </c>
      <c r="G693" s="17" t="s">
        <v>3585</v>
      </c>
    </row>
    <row r="694" spans="1:7" x14ac:dyDescent="0.25">
      <c r="A694" s="16" t="s">
        <v>2574</v>
      </c>
      <c r="B694" s="16" t="s">
        <v>468</v>
      </c>
      <c r="G694" s="17" t="s">
        <v>3496</v>
      </c>
    </row>
    <row r="695" spans="1:7" x14ac:dyDescent="0.25">
      <c r="A695" s="16" t="s">
        <v>2575</v>
      </c>
      <c r="B695" s="16" t="s">
        <v>469</v>
      </c>
      <c r="G695" s="17" t="s">
        <v>3607</v>
      </c>
    </row>
    <row r="696" spans="1:7" x14ac:dyDescent="0.25">
      <c r="A696" s="16" t="s">
        <v>2576</v>
      </c>
      <c r="B696" s="16" t="s">
        <v>423</v>
      </c>
      <c r="G696" s="17" t="s">
        <v>3568</v>
      </c>
    </row>
    <row r="697" spans="1:7" x14ac:dyDescent="0.25">
      <c r="A697" s="16" t="s">
        <v>2577</v>
      </c>
      <c r="B697" s="16" t="s">
        <v>470</v>
      </c>
      <c r="G697" s="17" t="s">
        <v>3461</v>
      </c>
    </row>
    <row r="698" spans="1:7" x14ac:dyDescent="0.25">
      <c r="A698" s="16" t="s">
        <v>2578</v>
      </c>
      <c r="B698" s="16" t="s">
        <v>471</v>
      </c>
      <c r="G698" s="17" t="s">
        <v>3592</v>
      </c>
    </row>
    <row r="699" spans="1:7" x14ac:dyDescent="0.25">
      <c r="A699" s="16" t="s">
        <v>2579</v>
      </c>
      <c r="B699" s="16" t="s">
        <v>472</v>
      </c>
      <c r="G699" s="17" t="s">
        <v>3520</v>
      </c>
    </row>
    <row r="700" spans="1:7" x14ac:dyDescent="0.25">
      <c r="A700" s="16" t="s">
        <v>2580</v>
      </c>
      <c r="B700" s="16" t="s">
        <v>473</v>
      </c>
      <c r="G700" s="17" t="s">
        <v>3709</v>
      </c>
    </row>
    <row r="701" spans="1:7" x14ac:dyDescent="0.25">
      <c r="A701" s="16" t="s">
        <v>2581</v>
      </c>
      <c r="B701" s="16" t="s">
        <v>474</v>
      </c>
      <c r="G701" s="17" t="s">
        <v>3606</v>
      </c>
    </row>
    <row r="702" spans="1:7" x14ac:dyDescent="0.25">
      <c r="A702" s="16" t="s">
        <v>2582</v>
      </c>
      <c r="B702" s="16" t="s">
        <v>475</v>
      </c>
      <c r="G702" s="17" t="s">
        <v>3597</v>
      </c>
    </row>
    <row r="703" spans="1:7" x14ac:dyDescent="0.25">
      <c r="A703" s="16" t="s">
        <v>2583</v>
      </c>
      <c r="B703" s="16" t="s">
        <v>476</v>
      </c>
      <c r="G703" s="17" t="s">
        <v>3507</v>
      </c>
    </row>
    <row r="704" spans="1:7" x14ac:dyDescent="0.25">
      <c r="A704" s="16" t="s">
        <v>2584</v>
      </c>
      <c r="B704" s="16" t="s">
        <v>477</v>
      </c>
      <c r="G704" s="17" t="s">
        <v>3703</v>
      </c>
    </row>
    <row r="705" spans="1:7" x14ac:dyDescent="0.25">
      <c r="A705" s="16" t="s">
        <v>2585</v>
      </c>
      <c r="B705" s="16" t="s">
        <v>424</v>
      </c>
      <c r="G705" s="17" t="s">
        <v>3513</v>
      </c>
    </row>
    <row r="706" spans="1:7" x14ac:dyDescent="0.25">
      <c r="A706" s="16" t="s">
        <v>2586</v>
      </c>
      <c r="B706" s="16" t="s">
        <v>478</v>
      </c>
      <c r="G706" s="17" t="s">
        <v>3482</v>
      </c>
    </row>
    <row r="707" spans="1:7" x14ac:dyDescent="0.25">
      <c r="A707" s="16" t="s">
        <v>2587</v>
      </c>
      <c r="B707" s="16" t="s">
        <v>480</v>
      </c>
      <c r="G707" s="17" t="s">
        <v>3526</v>
      </c>
    </row>
    <row r="708" spans="1:7" x14ac:dyDescent="0.25">
      <c r="A708" s="16" t="s">
        <v>2588</v>
      </c>
      <c r="B708" s="16" t="s">
        <v>481</v>
      </c>
      <c r="G708" s="17" t="s">
        <v>3514</v>
      </c>
    </row>
    <row r="709" spans="1:7" x14ac:dyDescent="0.25">
      <c r="A709" s="16" t="s">
        <v>2589</v>
      </c>
      <c r="B709" s="16" t="s">
        <v>482</v>
      </c>
      <c r="G709" s="17" t="s">
        <v>3533</v>
      </c>
    </row>
    <row r="710" spans="1:7" x14ac:dyDescent="0.25">
      <c r="A710" s="16" t="s">
        <v>2590</v>
      </c>
      <c r="B710" s="16" t="s">
        <v>483</v>
      </c>
      <c r="G710" s="17" t="s">
        <v>3655</v>
      </c>
    </row>
    <row r="711" spans="1:7" x14ac:dyDescent="0.25">
      <c r="A711" s="16" t="s">
        <v>2591</v>
      </c>
      <c r="B711" s="16" t="s">
        <v>484</v>
      </c>
      <c r="G711" s="17" t="s">
        <v>3518</v>
      </c>
    </row>
    <row r="712" spans="1:7" x14ac:dyDescent="0.25">
      <c r="A712" s="16" t="s">
        <v>2592</v>
      </c>
      <c r="B712" s="16" t="s">
        <v>425</v>
      </c>
      <c r="G712" s="17" t="s">
        <v>3707</v>
      </c>
    </row>
    <row r="713" spans="1:7" x14ac:dyDescent="0.25">
      <c r="A713" s="16" t="s">
        <v>2593</v>
      </c>
      <c r="B713" s="16" t="s">
        <v>485</v>
      </c>
      <c r="G713" s="17" t="s">
        <v>3604</v>
      </c>
    </row>
    <row r="714" spans="1:7" x14ac:dyDescent="0.25">
      <c r="A714" s="16" t="s">
        <v>2594</v>
      </c>
      <c r="B714" s="16" t="s">
        <v>486</v>
      </c>
      <c r="G714" s="17" t="s">
        <v>3599</v>
      </c>
    </row>
    <row r="715" spans="1:7" x14ac:dyDescent="0.25">
      <c r="A715" s="16" t="s">
        <v>2595</v>
      </c>
      <c r="B715" s="16" t="s">
        <v>488</v>
      </c>
      <c r="G715" s="17" t="s">
        <v>3486</v>
      </c>
    </row>
    <row r="716" spans="1:7" x14ac:dyDescent="0.25">
      <c r="A716" s="16" t="s">
        <v>2596</v>
      </c>
      <c r="B716" s="16" t="s">
        <v>489</v>
      </c>
      <c r="G716" s="17" t="s">
        <v>3505</v>
      </c>
    </row>
    <row r="717" spans="1:7" x14ac:dyDescent="0.25">
      <c r="A717" s="16" t="s">
        <v>2597</v>
      </c>
      <c r="B717" s="16" t="s">
        <v>490</v>
      </c>
      <c r="G717" s="17" t="s">
        <v>3701</v>
      </c>
    </row>
    <row r="718" spans="1:7" x14ac:dyDescent="0.25">
      <c r="A718" s="16" t="s">
        <v>2598</v>
      </c>
      <c r="B718" s="16" t="s">
        <v>491</v>
      </c>
      <c r="G718" s="17" t="s">
        <v>3511</v>
      </c>
    </row>
    <row r="719" spans="1:7" x14ac:dyDescent="0.25">
      <c r="A719" s="16" t="s">
        <v>2599</v>
      </c>
      <c r="B719" s="16" t="s">
        <v>492</v>
      </c>
      <c r="G719" s="17" t="s">
        <v>3524</v>
      </c>
    </row>
    <row r="720" spans="1:7" x14ac:dyDescent="0.25">
      <c r="A720" s="16" t="s">
        <v>2600</v>
      </c>
      <c r="B720" s="16" t="s">
        <v>493</v>
      </c>
      <c r="G720" s="17" t="s">
        <v>3529</v>
      </c>
    </row>
    <row r="721" spans="1:7" x14ac:dyDescent="0.25">
      <c r="A721" s="16" t="s">
        <v>2601</v>
      </c>
      <c r="B721" s="16" t="s">
        <v>494</v>
      </c>
      <c r="G721" s="17" t="s">
        <v>3473</v>
      </c>
    </row>
    <row r="722" spans="1:7" x14ac:dyDescent="0.25">
      <c r="A722" s="16" t="s">
        <v>2602</v>
      </c>
      <c r="B722" s="16" t="s">
        <v>426</v>
      </c>
      <c r="G722" s="17" t="s">
        <v>3536</v>
      </c>
    </row>
    <row r="723" spans="1:7" x14ac:dyDescent="0.25">
      <c r="A723" s="16" t="s">
        <v>2603</v>
      </c>
      <c r="B723" s="16" t="s">
        <v>495</v>
      </c>
      <c r="G723" s="17" t="s">
        <v>3487</v>
      </c>
    </row>
    <row r="724" spans="1:7" x14ac:dyDescent="0.25">
      <c r="A724" s="16" t="s">
        <v>2604</v>
      </c>
      <c r="B724" s="16" t="s">
        <v>496</v>
      </c>
      <c r="G724" s="17" t="s">
        <v>3462</v>
      </c>
    </row>
    <row r="725" spans="1:7" x14ac:dyDescent="0.25">
      <c r="A725" s="16" t="s">
        <v>2605</v>
      </c>
      <c r="B725" s="16" t="s">
        <v>497</v>
      </c>
      <c r="G725" s="17" t="s">
        <v>3424</v>
      </c>
    </row>
    <row r="726" spans="1:7" x14ac:dyDescent="0.25">
      <c r="A726" s="16" t="s">
        <v>2606</v>
      </c>
      <c r="B726" s="16" t="s">
        <v>498</v>
      </c>
      <c r="G726" s="17" t="s">
        <v>3575</v>
      </c>
    </row>
    <row r="727" spans="1:7" x14ac:dyDescent="0.25">
      <c r="A727" s="16" t="s">
        <v>2607</v>
      </c>
      <c r="B727" s="16" t="s">
        <v>499</v>
      </c>
      <c r="G727" s="17" t="s">
        <v>3582</v>
      </c>
    </row>
    <row r="728" spans="1:7" x14ac:dyDescent="0.25">
      <c r="A728" s="16" t="s">
        <v>2608</v>
      </c>
      <c r="B728" s="16" t="s">
        <v>500</v>
      </c>
      <c r="G728" s="17" t="s">
        <v>3432</v>
      </c>
    </row>
    <row r="729" spans="1:7" x14ac:dyDescent="0.25">
      <c r="A729" s="16" t="s">
        <v>2609</v>
      </c>
      <c r="B729" s="16" t="s">
        <v>501</v>
      </c>
      <c r="G729" s="17" t="s">
        <v>3440</v>
      </c>
    </row>
    <row r="730" spans="1:7" x14ac:dyDescent="0.25">
      <c r="A730" s="16" t="s">
        <v>2610</v>
      </c>
      <c r="B730" s="16" t="s">
        <v>502</v>
      </c>
      <c r="G730" s="17" t="s">
        <v>3443</v>
      </c>
    </row>
    <row r="731" spans="1:7" x14ac:dyDescent="0.25">
      <c r="A731" s="16" t="s">
        <v>2611</v>
      </c>
      <c r="B731" s="16" t="s">
        <v>503</v>
      </c>
      <c r="G731" s="17" t="s">
        <v>3656</v>
      </c>
    </row>
    <row r="732" spans="1:7" x14ac:dyDescent="0.25">
      <c r="A732" s="16" t="s">
        <v>2612</v>
      </c>
      <c r="B732" s="16" t="s">
        <v>427</v>
      </c>
      <c r="G732" s="17" t="s">
        <v>3477</v>
      </c>
    </row>
    <row r="733" spans="1:7" x14ac:dyDescent="0.25">
      <c r="A733" s="16" t="s">
        <v>2613</v>
      </c>
      <c r="B733" s="16" t="s">
        <v>504</v>
      </c>
      <c r="G733" s="17" t="s">
        <v>3475</v>
      </c>
    </row>
    <row r="734" spans="1:7" x14ac:dyDescent="0.25">
      <c r="A734" s="16" t="s">
        <v>2614</v>
      </c>
      <c r="B734" s="16" t="s">
        <v>505</v>
      </c>
      <c r="G734" s="17" t="s">
        <v>3484</v>
      </c>
    </row>
    <row r="735" spans="1:7" x14ac:dyDescent="0.25">
      <c r="A735" s="16" t="s">
        <v>2615</v>
      </c>
      <c r="B735" s="16" t="s">
        <v>506</v>
      </c>
      <c r="G735" s="17" t="s">
        <v>3479</v>
      </c>
    </row>
    <row r="736" spans="1:7" x14ac:dyDescent="0.25">
      <c r="A736" s="16" t="s">
        <v>2616</v>
      </c>
      <c r="B736" s="16" t="s">
        <v>507</v>
      </c>
      <c r="G736" s="17" t="s">
        <v>3697</v>
      </c>
    </row>
    <row r="737" spans="1:7" x14ac:dyDescent="0.25">
      <c r="A737" s="16" t="s">
        <v>2617</v>
      </c>
      <c r="B737" s="16" t="s">
        <v>509</v>
      </c>
      <c r="G737" s="17" t="s">
        <v>3668</v>
      </c>
    </row>
    <row r="738" spans="1:7" x14ac:dyDescent="0.25">
      <c r="A738" s="16" t="s">
        <v>2618</v>
      </c>
      <c r="B738" s="16" t="s">
        <v>510</v>
      </c>
      <c r="G738" s="17" t="s">
        <v>3481</v>
      </c>
    </row>
    <row r="739" spans="1:7" x14ac:dyDescent="0.25">
      <c r="A739" s="16" t="s">
        <v>2619</v>
      </c>
      <c r="B739" s="16" t="s">
        <v>511</v>
      </c>
      <c r="G739" s="17" t="s">
        <v>3415</v>
      </c>
    </row>
    <row r="740" spans="1:7" x14ac:dyDescent="0.25">
      <c r="A740" s="16" t="s">
        <v>2620</v>
      </c>
      <c r="B740" s="16" t="s">
        <v>512</v>
      </c>
      <c r="G740" s="17" t="s">
        <v>3456</v>
      </c>
    </row>
    <row r="741" spans="1:7" x14ac:dyDescent="0.25">
      <c r="A741" s="16" t="s">
        <v>2621</v>
      </c>
      <c r="B741" s="16" t="s">
        <v>513</v>
      </c>
      <c r="G741" s="17" t="s">
        <v>3463</v>
      </c>
    </row>
    <row r="742" spans="1:7" x14ac:dyDescent="0.25">
      <c r="A742" s="16" t="s">
        <v>2622</v>
      </c>
      <c r="B742" s="16" t="s">
        <v>514</v>
      </c>
      <c r="G742" s="17" t="s">
        <v>3491</v>
      </c>
    </row>
    <row r="743" spans="1:7" x14ac:dyDescent="0.25">
      <c r="A743" s="16" t="s">
        <v>2623</v>
      </c>
      <c r="B743" s="16" t="s">
        <v>566</v>
      </c>
      <c r="G743" s="17" t="s">
        <v>3673</v>
      </c>
    </row>
    <row r="744" spans="1:7" x14ac:dyDescent="0.25">
      <c r="A744" s="16" t="s">
        <v>2624</v>
      </c>
      <c r="B744" s="16" t="s">
        <v>575</v>
      </c>
      <c r="G744" s="17" t="s">
        <v>3719</v>
      </c>
    </row>
    <row r="745" spans="1:7" x14ac:dyDescent="0.25">
      <c r="A745" s="16" t="s">
        <v>2625</v>
      </c>
      <c r="B745" s="16" t="s">
        <v>576</v>
      </c>
      <c r="G745" s="17" t="s">
        <v>3646</v>
      </c>
    </row>
    <row r="746" spans="1:7" x14ac:dyDescent="0.25">
      <c r="A746" s="16" t="s">
        <v>2626</v>
      </c>
      <c r="B746" s="16" t="s">
        <v>577</v>
      </c>
      <c r="G746" s="17" t="s">
        <v>3666</v>
      </c>
    </row>
    <row r="747" spans="1:7" x14ac:dyDescent="0.25">
      <c r="A747" s="16" t="s">
        <v>2627</v>
      </c>
      <c r="B747" s="16" t="s">
        <v>578</v>
      </c>
      <c r="G747" s="17" t="s">
        <v>3410</v>
      </c>
    </row>
    <row r="748" spans="1:7" x14ac:dyDescent="0.25">
      <c r="A748" s="16" t="s">
        <v>2628</v>
      </c>
      <c r="B748" s="16" t="s">
        <v>579</v>
      </c>
      <c r="G748" s="17" t="s">
        <v>3414</v>
      </c>
    </row>
    <row r="749" spans="1:7" x14ac:dyDescent="0.25">
      <c r="A749" s="16" t="s">
        <v>2629</v>
      </c>
      <c r="B749" s="16" t="s">
        <v>580</v>
      </c>
      <c r="G749" s="17" t="s">
        <v>3438</v>
      </c>
    </row>
    <row r="750" spans="1:7" x14ac:dyDescent="0.25">
      <c r="A750" s="16" t="s">
        <v>2630</v>
      </c>
      <c r="B750" s="16" t="s">
        <v>581</v>
      </c>
      <c r="G750" s="17" t="s">
        <v>3447</v>
      </c>
    </row>
    <row r="751" spans="1:7" x14ac:dyDescent="0.25">
      <c r="A751" s="16" t="s">
        <v>2631</v>
      </c>
      <c r="B751" s="16" t="s">
        <v>582</v>
      </c>
      <c r="G751" s="17" t="s">
        <v>3468</v>
      </c>
    </row>
    <row r="752" spans="1:7" x14ac:dyDescent="0.25">
      <c r="A752" s="16" t="s">
        <v>2632</v>
      </c>
      <c r="B752" s="16" t="s">
        <v>584</v>
      </c>
      <c r="G752" s="17" t="s">
        <v>3450</v>
      </c>
    </row>
    <row r="753" spans="1:7" x14ac:dyDescent="0.25">
      <c r="A753" s="16" t="s">
        <v>2633</v>
      </c>
      <c r="B753" s="16" t="s">
        <v>585</v>
      </c>
      <c r="G753" s="17" t="s">
        <v>3452</v>
      </c>
    </row>
    <row r="754" spans="1:7" x14ac:dyDescent="0.25">
      <c r="A754" s="16" t="s">
        <v>2634</v>
      </c>
      <c r="B754" s="16" t="s">
        <v>567</v>
      </c>
      <c r="G754" s="17" t="s">
        <v>3425</v>
      </c>
    </row>
    <row r="755" spans="1:7" x14ac:dyDescent="0.25">
      <c r="A755" s="16" t="s">
        <v>2635</v>
      </c>
      <c r="B755" s="16" t="s">
        <v>586</v>
      </c>
      <c r="G755" s="17" t="s">
        <v>3451</v>
      </c>
    </row>
    <row r="756" spans="1:7" x14ac:dyDescent="0.25">
      <c r="A756" s="16" t="s">
        <v>2636</v>
      </c>
      <c r="B756" s="16" t="s">
        <v>587</v>
      </c>
      <c r="G756" s="17" t="s">
        <v>3458</v>
      </c>
    </row>
    <row r="757" spans="1:7" x14ac:dyDescent="0.25">
      <c r="A757" s="16" t="s">
        <v>2637</v>
      </c>
      <c r="B757" s="16" t="s">
        <v>588</v>
      </c>
      <c r="G757" s="17" t="s">
        <v>3418</v>
      </c>
    </row>
    <row r="758" spans="1:7" x14ac:dyDescent="0.25">
      <c r="A758" s="16" t="s">
        <v>2638</v>
      </c>
      <c r="B758" s="16" t="s">
        <v>589</v>
      </c>
      <c r="G758" s="17" t="s">
        <v>3430</v>
      </c>
    </row>
    <row r="759" spans="1:7" x14ac:dyDescent="0.25">
      <c r="A759" s="16" t="s">
        <v>2639</v>
      </c>
      <c r="B759" s="16" t="s">
        <v>590</v>
      </c>
      <c r="G759" s="17" t="s">
        <v>3532</v>
      </c>
    </row>
    <row r="760" spans="1:7" x14ac:dyDescent="0.25">
      <c r="A760" s="16" t="s">
        <v>2640</v>
      </c>
      <c r="B760" s="16" t="s">
        <v>591</v>
      </c>
      <c r="G760" s="17" t="s">
        <v>3541</v>
      </c>
    </row>
    <row r="761" spans="1:7" x14ac:dyDescent="0.25">
      <c r="A761" s="16" t="s">
        <v>2641</v>
      </c>
      <c r="B761" s="16" t="s">
        <v>592</v>
      </c>
      <c r="G761" s="17" t="s">
        <v>3522</v>
      </c>
    </row>
    <row r="762" spans="1:7" x14ac:dyDescent="0.25">
      <c r="A762" s="16" t="s">
        <v>2642</v>
      </c>
      <c r="B762" s="16" t="s">
        <v>593</v>
      </c>
      <c r="G762" s="17" t="s">
        <v>3711</v>
      </c>
    </row>
    <row r="763" spans="1:7" x14ac:dyDescent="0.25">
      <c r="A763" s="16" t="s">
        <v>2643</v>
      </c>
      <c r="B763" s="16" t="s">
        <v>595</v>
      </c>
      <c r="G763" s="17" t="s">
        <v>3609</v>
      </c>
    </row>
    <row r="764" spans="1:7" x14ac:dyDescent="0.25">
      <c r="A764" s="16" t="s">
        <v>2644</v>
      </c>
      <c r="B764" s="16" t="s">
        <v>596</v>
      </c>
      <c r="G764" s="17" t="s">
        <v>3601</v>
      </c>
    </row>
    <row r="765" spans="1:7" x14ac:dyDescent="0.25">
      <c r="A765" s="16" t="s">
        <v>2645</v>
      </c>
      <c r="B765" s="16" t="s">
        <v>568</v>
      </c>
      <c r="G765" s="17" t="s">
        <v>3488</v>
      </c>
    </row>
    <row r="766" spans="1:7" x14ac:dyDescent="0.25">
      <c r="A766" s="16" t="s">
        <v>2646</v>
      </c>
      <c r="B766" s="16" t="s">
        <v>597</v>
      </c>
      <c r="G766" s="17" t="s">
        <v>3509</v>
      </c>
    </row>
    <row r="767" spans="1:7" x14ac:dyDescent="0.25">
      <c r="A767" s="16" t="s">
        <v>2647</v>
      </c>
      <c r="B767" s="16" t="s">
        <v>598</v>
      </c>
      <c r="G767" s="17" t="s">
        <v>3705</v>
      </c>
    </row>
    <row r="768" spans="1:7" x14ac:dyDescent="0.25">
      <c r="A768" s="16" t="s">
        <v>2648</v>
      </c>
      <c r="B768" s="16" t="s">
        <v>599</v>
      </c>
      <c r="G768" s="17" t="s">
        <v>3516</v>
      </c>
    </row>
    <row r="769" spans="1:7" x14ac:dyDescent="0.25">
      <c r="A769" s="16" t="s">
        <v>2649</v>
      </c>
      <c r="B769" s="16" t="s">
        <v>600</v>
      </c>
      <c r="G769" s="17" t="s">
        <v>3485</v>
      </c>
    </row>
    <row r="770" spans="1:7" x14ac:dyDescent="0.25">
      <c r="A770" s="16" t="s">
        <v>2650</v>
      </c>
      <c r="B770" s="16" t="s">
        <v>601</v>
      </c>
      <c r="G770" s="17" t="s">
        <v>3528</v>
      </c>
    </row>
    <row r="771" spans="1:7" x14ac:dyDescent="0.25">
      <c r="A771" s="16" t="s">
        <v>2651</v>
      </c>
      <c r="B771" s="16" t="s">
        <v>602</v>
      </c>
      <c r="G771" s="17" t="s">
        <v>1875</v>
      </c>
    </row>
    <row r="772" spans="1:7" x14ac:dyDescent="0.25">
      <c r="A772" s="16" t="s">
        <v>2652</v>
      </c>
      <c r="B772" s="16" t="s">
        <v>603</v>
      </c>
      <c r="G772" s="17" t="s">
        <v>1876</v>
      </c>
    </row>
    <row r="773" spans="1:7" x14ac:dyDescent="0.25">
      <c r="A773" s="16" t="s">
        <v>2653</v>
      </c>
      <c r="B773" s="16" t="s">
        <v>604</v>
      </c>
      <c r="G773" s="17" t="s">
        <v>1877</v>
      </c>
    </row>
    <row r="774" spans="1:7" x14ac:dyDescent="0.25">
      <c r="A774" s="16" t="s">
        <v>2654</v>
      </c>
      <c r="B774" s="16" t="s">
        <v>606</v>
      </c>
      <c r="G774" s="17" t="s">
        <v>1878</v>
      </c>
    </row>
    <row r="775" spans="1:7" x14ac:dyDescent="0.25">
      <c r="A775" s="16" t="s">
        <v>2655</v>
      </c>
      <c r="B775" s="16" t="s">
        <v>569</v>
      </c>
      <c r="G775" s="17" t="s">
        <v>1665</v>
      </c>
    </row>
    <row r="776" spans="1:7" x14ac:dyDescent="0.25">
      <c r="A776" s="16" t="s">
        <v>2656</v>
      </c>
      <c r="B776" s="16" t="s">
        <v>607</v>
      </c>
      <c r="G776" s="17" t="s">
        <v>1879</v>
      </c>
    </row>
    <row r="777" spans="1:7" x14ac:dyDescent="0.25">
      <c r="A777" s="16" t="s">
        <v>2657</v>
      </c>
      <c r="B777" s="16" t="s">
        <v>608</v>
      </c>
      <c r="G777" s="17" t="s">
        <v>1880</v>
      </c>
    </row>
    <row r="778" spans="1:7" x14ac:dyDescent="0.25">
      <c r="A778" s="16" t="s">
        <v>2658</v>
      </c>
      <c r="B778" s="16" t="s">
        <v>609</v>
      </c>
      <c r="G778" s="17" t="s">
        <v>1881</v>
      </c>
    </row>
    <row r="779" spans="1:7" x14ac:dyDescent="0.25">
      <c r="A779" s="16" t="s">
        <v>2659</v>
      </c>
      <c r="B779" s="16" t="s">
        <v>610</v>
      </c>
      <c r="G779" s="17" t="s">
        <v>1882</v>
      </c>
    </row>
    <row r="780" spans="1:7" x14ac:dyDescent="0.25">
      <c r="A780" s="16" t="s">
        <v>2660</v>
      </c>
      <c r="B780" s="16" t="s">
        <v>611</v>
      </c>
      <c r="G780" s="17" t="s">
        <v>1883</v>
      </c>
    </row>
    <row r="781" spans="1:7" x14ac:dyDescent="0.25">
      <c r="A781" s="16" t="s">
        <v>2661</v>
      </c>
      <c r="B781" s="16" t="s">
        <v>612</v>
      </c>
      <c r="G781" s="17" t="s">
        <v>1884</v>
      </c>
    </row>
    <row r="782" spans="1:7" x14ac:dyDescent="0.25">
      <c r="A782" s="16" t="s">
        <v>2662</v>
      </c>
      <c r="B782" s="16" t="s">
        <v>613</v>
      </c>
      <c r="G782" s="17" t="s">
        <v>1885</v>
      </c>
    </row>
    <row r="783" spans="1:7" x14ac:dyDescent="0.25">
      <c r="A783" s="16" t="s">
        <v>2663</v>
      </c>
      <c r="B783" s="16" t="s">
        <v>614</v>
      </c>
      <c r="G783" s="17" t="s">
        <v>1886</v>
      </c>
    </row>
    <row r="784" spans="1:7" x14ac:dyDescent="0.25">
      <c r="A784" s="16" t="s">
        <v>2664</v>
      </c>
      <c r="B784" s="16" t="s">
        <v>615</v>
      </c>
      <c r="G784" s="17" t="s">
        <v>1887</v>
      </c>
    </row>
    <row r="785" spans="1:7" x14ac:dyDescent="0.25">
      <c r="A785" s="16" t="s">
        <v>2665</v>
      </c>
      <c r="B785" s="16" t="s">
        <v>616</v>
      </c>
      <c r="G785" s="17" t="s">
        <v>1888</v>
      </c>
    </row>
    <row r="786" spans="1:7" x14ac:dyDescent="0.25">
      <c r="A786" s="16" t="s">
        <v>2666</v>
      </c>
      <c r="B786" s="16" t="s">
        <v>617</v>
      </c>
      <c r="G786" s="17" t="s">
        <v>1889</v>
      </c>
    </row>
    <row r="787" spans="1:7" x14ac:dyDescent="0.25">
      <c r="A787" s="16" t="s">
        <v>2667</v>
      </c>
      <c r="B787" s="16" t="s">
        <v>618</v>
      </c>
      <c r="G787" s="17" t="s">
        <v>1890</v>
      </c>
    </row>
    <row r="788" spans="1:7" x14ac:dyDescent="0.25">
      <c r="A788" s="16" t="s">
        <v>2668</v>
      </c>
      <c r="B788" s="16" t="s">
        <v>619</v>
      </c>
      <c r="G788" s="17" t="s">
        <v>1891</v>
      </c>
    </row>
    <row r="789" spans="1:7" x14ac:dyDescent="0.25">
      <c r="A789" s="16" t="s">
        <v>2669</v>
      </c>
      <c r="B789" s="16" t="s">
        <v>620</v>
      </c>
      <c r="G789" s="17" t="s">
        <v>1892</v>
      </c>
    </row>
    <row r="790" spans="1:7" x14ac:dyDescent="0.25">
      <c r="A790" s="16" t="s">
        <v>2670</v>
      </c>
      <c r="B790" s="16" t="s">
        <v>621</v>
      </c>
      <c r="G790" s="17" t="s">
        <v>1915</v>
      </c>
    </row>
    <row r="791" spans="1:7" x14ac:dyDescent="0.25">
      <c r="A791" s="16" t="s">
        <v>2671</v>
      </c>
      <c r="B791" s="16" t="s">
        <v>622</v>
      </c>
      <c r="G791" s="17" t="s">
        <v>1916</v>
      </c>
    </row>
    <row r="792" spans="1:7" x14ac:dyDescent="0.25">
      <c r="A792" s="16" t="s">
        <v>2672</v>
      </c>
      <c r="B792" s="16" t="s">
        <v>623</v>
      </c>
      <c r="G792" s="17" t="s">
        <v>1917</v>
      </c>
    </row>
    <row r="793" spans="1:7" x14ac:dyDescent="0.25">
      <c r="A793" s="16" t="s">
        <v>2673</v>
      </c>
      <c r="B793" s="16" t="s">
        <v>624</v>
      </c>
      <c r="G793" s="17" t="s">
        <v>1893</v>
      </c>
    </row>
    <row r="794" spans="1:7" x14ac:dyDescent="0.25">
      <c r="A794" s="16" t="s">
        <v>2674</v>
      </c>
      <c r="B794" s="16" t="s">
        <v>625</v>
      </c>
      <c r="G794" s="17" t="s">
        <v>1918</v>
      </c>
    </row>
    <row r="795" spans="1:7" x14ac:dyDescent="0.25">
      <c r="A795" s="16" t="s">
        <v>2675</v>
      </c>
      <c r="B795" s="16" t="s">
        <v>570</v>
      </c>
      <c r="G795" s="17" t="s">
        <v>1919</v>
      </c>
    </row>
    <row r="796" spans="1:7" x14ac:dyDescent="0.25">
      <c r="A796" s="16" t="s">
        <v>2676</v>
      </c>
      <c r="B796" s="16" t="s">
        <v>626</v>
      </c>
      <c r="G796" s="17" t="s">
        <v>1920</v>
      </c>
    </row>
    <row r="797" spans="1:7" x14ac:dyDescent="0.25">
      <c r="A797" s="16" t="s">
        <v>2677</v>
      </c>
      <c r="B797" s="16" t="s">
        <v>627</v>
      </c>
      <c r="G797" s="17" t="s">
        <v>1894</v>
      </c>
    </row>
    <row r="798" spans="1:7" x14ac:dyDescent="0.25">
      <c r="A798" s="16" t="s">
        <v>2678</v>
      </c>
      <c r="B798" s="16" t="s">
        <v>628</v>
      </c>
      <c r="G798" s="17" t="s">
        <v>1895</v>
      </c>
    </row>
    <row r="799" spans="1:7" x14ac:dyDescent="0.25">
      <c r="A799" s="16" t="s">
        <v>2679</v>
      </c>
      <c r="B799" s="16" t="s">
        <v>629</v>
      </c>
      <c r="G799" s="17" t="s">
        <v>1896</v>
      </c>
    </row>
    <row r="800" spans="1:7" x14ac:dyDescent="0.25">
      <c r="A800" s="16" t="s">
        <v>2680</v>
      </c>
      <c r="B800" s="16" t="s">
        <v>630</v>
      </c>
      <c r="G800" s="17" t="s">
        <v>1897</v>
      </c>
    </row>
    <row r="801" spans="1:7" x14ac:dyDescent="0.25">
      <c r="A801" s="16" t="s">
        <v>2681</v>
      </c>
      <c r="B801" s="16" t="s">
        <v>631</v>
      </c>
      <c r="G801" s="17" t="s">
        <v>1898</v>
      </c>
    </row>
    <row r="802" spans="1:7" x14ac:dyDescent="0.25">
      <c r="A802" s="16" t="s">
        <v>2682</v>
      </c>
      <c r="B802" s="16" t="s">
        <v>632</v>
      </c>
      <c r="G802" s="17" t="s">
        <v>1899</v>
      </c>
    </row>
    <row r="803" spans="1:7" x14ac:dyDescent="0.25">
      <c r="A803" s="16" t="s">
        <v>2683</v>
      </c>
      <c r="B803" s="16" t="s">
        <v>571</v>
      </c>
      <c r="G803" s="17" t="s">
        <v>1900</v>
      </c>
    </row>
    <row r="804" spans="1:7" x14ac:dyDescent="0.25">
      <c r="A804" s="16" t="s">
        <v>2684</v>
      </c>
      <c r="B804" s="16" t="s">
        <v>633</v>
      </c>
      <c r="G804" s="17" t="s">
        <v>1901</v>
      </c>
    </row>
    <row r="805" spans="1:7" x14ac:dyDescent="0.25">
      <c r="A805" s="16" t="s">
        <v>2685</v>
      </c>
      <c r="B805" s="16" t="s">
        <v>634</v>
      </c>
      <c r="G805" s="17" t="s">
        <v>1902</v>
      </c>
    </row>
    <row r="806" spans="1:7" x14ac:dyDescent="0.25">
      <c r="A806" s="16" t="s">
        <v>2686</v>
      </c>
      <c r="B806" s="16" t="s">
        <v>636</v>
      </c>
      <c r="G806" s="17" t="s">
        <v>1903</v>
      </c>
    </row>
    <row r="807" spans="1:7" x14ac:dyDescent="0.25">
      <c r="A807" s="16" t="s">
        <v>2687</v>
      </c>
      <c r="B807" s="16" t="s">
        <v>637</v>
      </c>
      <c r="G807" s="17" t="s">
        <v>1921</v>
      </c>
    </row>
    <row r="808" spans="1:7" x14ac:dyDescent="0.25">
      <c r="A808" s="16" t="s">
        <v>2688</v>
      </c>
      <c r="B808" s="16" t="s">
        <v>638</v>
      </c>
      <c r="G808" s="17" t="s">
        <v>1904</v>
      </c>
    </row>
    <row r="809" spans="1:7" x14ac:dyDescent="0.25">
      <c r="A809" s="16" t="s">
        <v>2689</v>
      </c>
      <c r="B809" s="16" t="s">
        <v>573</v>
      </c>
      <c r="G809" s="17" t="s">
        <v>1905</v>
      </c>
    </row>
    <row r="810" spans="1:7" x14ac:dyDescent="0.25">
      <c r="A810" s="16" t="s">
        <v>2690</v>
      </c>
      <c r="B810" s="16" t="s">
        <v>639</v>
      </c>
      <c r="G810" s="17" t="s">
        <v>1906</v>
      </c>
    </row>
    <row r="811" spans="1:7" x14ac:dyDescent="0.25">
      <c r="A811" s="16" t="s">
        <v>2691</v>
      </c>
      <c r="B811" s="16" t="s">
        <v>640</v>
      </c>
      <c r="G811" s="17" t="s">
        <v>1907</v>
      </c>
    </row>
    <row r="812" spans="1:7" x14ac:dyDescent="0.25">
      <c r="A812" s="16" t="s">
        <v>2692</v>
      </c>
      <c r="B812" s="16" t="s">
        <v>641</v>
      </c>
      <c r="G812" s="17" t="s">
        <v>1908</v>
      </c>
    </row>
    <row r="813" spans="1:7" x14ac:dyDescent="0.25">
      <c r="A813" s="16" t="s">
        <v>2693</v>
      </c>
      <c r="B813" s="16" t="s">
        <v>642</v>
      </c>
      <c r="G813" s="17" t="s">
        <v>1909</v>
      </c>
    </row>
    <row r="814" spans="1:7" x14ac:dyDescent="0.25">
      <c r="A814" s="16" t="s">
        <v>2694</v>
      </c>
      <c r="B814" s="16" t="s">
        <v>643</v>
      </c>
      <c r="G814" s="17" t="s">
        <v>1910</v>
      </c>
    </row>
    <row r="815" spans="1:7" x14ac:dyDescent="0.25">
      <c r="A815" s="16" t="s">
        <v>2695</v>
      </c>
      <c r="B815" s="16" t="s">
        <v>574</v>
      </c>
      <c r="G815" s="17" t="s">
        <v>1911</v>
      </c>
    </row>
    <row r="816" spans="1:7" x14ac:dyDescent="0.25">
      <c r="A816" s="16" t="s">
        <v>2696</v>
      </c>
      <c r="B816" s="16" t="s">
        <v>646</v>
      </c>
      <c r="G816" s="17" t="s">
        <v>1912</v>
      </c>
    </row>
    <row r="817" spans="1:7" x14ac:dyDescent="0.25">
      <c r="A817" s="16" t="s">
        <v>2697</v>
      </c>
      <c r="B817" s="16" t="s">
        <v>654</v>
      </c>
      <c r="G817" s="17" t="s">
        <v>1913</v>
      </c>
    </row>
    <row r="818" spans="1:7" x14ac:dyDescent="0.25">
      <c r="A818" s="16" t="s">
        <v>2698</v>
      </c>
      <c r="B818" s="16" t="s">
        <v>656</v>
      </c>
      <c r="G818" s="17" t="s">
        <v>3728</v>
      </c>
    </row>
    <row r="819" spans="1:7" x14ac:dyDescent="0.25">
      <c r="A819" s="16" t="s">
        <v>2699</v>
      </c>
      <c r="B819" s="16" t="s">
        <v>657</v>
      </c>
    </row>
    <row r="820" spans="1:7" x14ac:dyDescent="0.25">
      <c r="A820" s="16" t="s">
        <v>2700</v>
      </c>
      <c r="B820" s="16" t="s">
        <v>658</v>
      </c>
    </row>
    <row r="821" spans="1:7" x14ac:dyDescent="0.25">
      <c r="A821" s="16" t="s">
        <v>2701</v>
      </c>
      <c r="B821" s="16" t="s">
        <v>659</v>
      </c>
    </row>
    <row r="822" spans="1:7" x14ac:dyDescent="0.25">
      <c r="A822" s="16" t="s">
        <v>2702</v>
      </c>
      <c r="B822" s="16" t="s">
        <v>660</v>
      </c>
    </row>
    <row r="823" spans="1:7" x14ac:dyDescent="0.25">
      <c r="A823" s="16" t="s">
        <v>2703</v>
      </c>
      <c r="B823" s="16" t="s">
        <v>661</v>
      </c>
    </row>
    <row r="824" spans="1:7" x14ac:dyDescent="0.25">
      <c r="A824" s="16" t="s">
        <v>2704</v>
      </c>
      <c r="B824" s="16" t="s">
        <v>662</v>
      </c>
    </row>
    <row r="825" spans="1:7" x14ac:dyDescent="0.25">
      <c r="A825" s="16" t="s">
        <v>2705</v>
      </c>
      <c r="B825" s="16" t="s">
        <v>663</v>
      </c>
    </row>
    <row r="826" spans="1:7" x14ac:dyDescent="0.25">
      <c r="A826" s="16" t="s">
        <v>2706</v>
      </c>
      <c r="B826" s="16" t="s">
        <v>664</v>
      </c>
    </row>
    <row r="827" spans="1:7" x14ac:dyDescent="0.25">
      <c r="A827" s="16" t="s">
        <v>2707</v>
      </c>
      <c r="B827" s="16" t="s">
        <v>647</v>
      </c>
    </row>
    <row r="828" spans="1:7" x14ac:dyDescent="0.25">
      <c r="A828" s="16" t="s">
        <v>2708</v>
      </c>
      <c r="B828" s="16" t="s">
        <v>665</v>
      </c>
    </row>
    <row r="829" spans="1:7" x14ac:dyDescent="0.25">
      <c r="A829" s="16" t="s">
        <v>2709</v>
      </c>
      <c r="B829" s="16" t="s">
        <v>667</v>
      </c>
    </row>
    <row r="830" spans="1:7" x14ac:dyDescent="0.25">
      <c r="A830" s="16" t="s">
        <v>2710</v>
      </c>
      <c r="B830" s="16" t="s">
        <v>668</v>
      </c>
    </row>
    <row r="831" spans="1:7" x14ac:dyDescent="0.25">
      <c r="A831" s="16" t="s">
        <v>2711</v>
      </c>
      <c r="B831" s="16" t="s">
        <v>669</v>
      </c>
    </row>
    <row r="832" spans="1:7" x14ac:dyDescent="0.25">
      <c r="A832" s="16" t="s">
        <v>2712</v>
      </c>
      <c r="B832" s="16" t="s">
        <v>670</v>
      </c>
    </row>
    <row r="833" spans="1:2" x14ac:dyDescent="0.25">
      <c r="A833" s="16" t="s">
        <v>2713</v>
      </c>
      <c r="B833" s="16" t="s">
        <v>671</v>
      </c>
    </row>
    <row r="834" spans="1:2" x14ac:dyDescent="0.25">
      <c r="A834" s="16" t="s">
        <v>2714</v>
      </c>
      <c r="B834" s="16" t="s">
        <v>672</v>
      </c>
    </row>
    <row r="835" spans="1:2" x14ac:dyDescent="0.25">
      <c r="A835" s="16" t="s">
        <v>2715</v>
      </c>
      <c r="B835" s="16" t="s">
        <v>673</v>
      </c>
    </row>
    <row r="836" spans="1:2" x14ac:dyDescent="0.25">
      <c r="A836" s="16" t="s">
        <v>2716</v>
      </c>
      <c r="B836" s="16" t="s">
        <v>674</v>
      </c>
    </row>
    <row r="837" spans="1:2" x14ac:dyDescent="0.25">
      <c r="A837" s="16" t="s">
        <v>2717</v>
      </c>
      <c r="B837" s="16" t="s">
        <v>675</v>
      </c>
    </row>
    <row r="838" spans="1:2" x14ac:dyDescent="0.25">
      <c r="A838" s="16" t="s">
        <v>2718</v>
      </c>
      <c r="B838" s="16" t="s">
        <v>648</v>
      </c>
    </row>
    <row r="839" spans="1:2" x14ac:dyDescent="0.25">
      <c r="A839" s="16" t="s">
        <v>2719</v>
      </c>
      <c r="B839" s="16" t="s">
        <v>677</v>
      </c>
    </row>
    <row r="840" spans="1:2" x14ac:dyDescent="0.25">
      <c r="A840" s="16" t="s">
        <v>2720</v>
      </c>
      <c r="B840" s="16" t="s">
        <v>678</v>
      </c>
    </row>
    <row r="841" spans="1:2" x14ac:dyDescent="0.25">
      <c r="A841" s="16" t="s">
        <v>2721</v>
      </c>
      <c r="B841" s="16" t="s">
        <v>679</v>
      </c>
    </row>
    <row r="842" spans="1:2" x14ac:dyDescent="0.25">
      <c r="A842" s="16" t="s">
        <v>2722</v>
      </c>
      <c r="B842" s="16" t="s">
        <v>680</v>
      </c>
    </row>
    <row r="843" spans="1:2" x14ac:dyDescent="0.25">
      <c r="A843" s="16" t="s">
        <v>2723</v>
      </c>
      <c r="B843" s="16" t="s">
        <v>681</v>
      </c>
    </row>
    <row r="844" spans="1:2" x14ac:dyDescent="0.25">
      <c r="A844" s="16" t="s">
        <v>2724</v>
      </c>
      <c r="B844" s="16" t="s">
        <v>682</v>
      </c>
    </row>
    <row r="845" spans="1:2" x14ac:dyDescent="0.25">
      <c r="A845" s="16" t="s">
        <v>2725</v>
      </c>
      <c r="B845" s="16" t="s">
        <v>683</v>
      </c>
    </row>
    <row r="846" spans="1:2" x14ac:dyDescent="0.25">
      <c r="A846" s="16" t="s">
        <v>2726</v>
      </c>
      <c r="B846" s="16" t="s">
        <v>684</v>
      </c>
    </row>
    <row r="847" spans="1:2" x14ac:dyDescent="0.25">
      <c r="A847" s="16" t="s">
        <v>2727</v>
      </c>
      <c r="B847" s="16" t="s">
        <v>685</v>
      </c>
    </row>
    <row r="848" spans="1:2" x14ac:dyDescent="0.25">
      <c r="A848" s="16" t="s">
        <v>2728</v>
      </c>
      <c r="B848" s="16" t="s">
        <v>649</v>
      </c>
    </row>
    <row r="849" spans="1:2" x14ac:dyDescent="0.25">
      <c r="A849" s="16" t="s">
        <v>2729</v>
      </c>
      <c r="B849" s="16" t="s">
        <v>687</v>
      </c>
    </row>
    <row r="850" spans="1:2" x14ac:dyDescent="0.25">
      <c r="A850" s="16" t="s">
        <v>2730</v>
      </c>
      <c r="B850" s="16" t="s">
        <v>688</v>
      </c>
    </row>
    <row r="851" spans="1:2" x14ac:dyDescent="0.25">
      <c r="A851" s="16" t="s">
        <v>2731</v>
      </c>
      <c r="B851" s="16" t="s">
        <v>689</v>
      </c>
    </row>
    <row r="852" spans="1:2" x14ac:dyDescent="0.25">
      <c r="A852" s="16" t="s">
        <v>2732</v>
      </c>
      <c r="B852" s="16" t="s">
        <v>690</v>
      </c>
    </row>
    <row r="853" spans="1:2" x14ac:dyDescent="0.25">
      <c r="A853" s="16" t="s">
        <v>2733</v>
      </c>
      <c r="B853" s="16" t="s">
        <v>691</v>
      </c>
    </row>
    <row r="854" spans="1:2" x14ac:dyDescent="0.25">
      <c r="A854" s="16" t="s">
        <v>2734</v>
      </c>
      <c r="B854" s="16" t="s">
        <v>692</v>
      </c>
    </row>
    <row r="855" spans="1:2" x14ac:dyDescent="0.25">
      <c r="A855" s="16" t="s">
        <v>2735</v>
      </c>
      <c r="B855" s="16" t="s">
        <v>693</v>
      </c>
    </row>
    <row r="856" spans="1:2" x14ac:dyDescent="0.25">
      <c r="A856" s="16" t="s">
        <v>2736</v>
      </c>
      <c r="B856" s="16" t="s">
        <v>694</v>
      </c>
    </row>
    <row r="857" spans="1:2" x14ac:dyDescent="0.25">
      <c r="A857" s="16" t="s">
        <v>2737</v>
      </c>
      <c r="B857" s="16" t="s">
        <v>695</v>
      </c>
    </row>
    <row r="858" spans="1:2" x14ac:dyDescent="0.25">
      <c r="A858" s="16" t="s">
        <v>2738</v>
      </c>
      <c r="B858" s="16" t="s">
        <v>696</v>
      </c>
    </row>
    <row r="859" spans="1:2" x14ac:dyDescent="0.25">
      <c r="A859" s="16" t="s">
        <v>2739</v>
      </c>
      <c r="B859" s="16" t="s">
        <v>650</v>
      </c>
    </row>
    <row r="860" spans="1:2" x14ac:dyDescent="0.25">
      <c r="A860" s="16" t="s">
        <v>2740</v>
      </c>
      <c r="B860" s="16" t="s">
        <v>697</v>
      </c>
    </row>
    <row r="861" spans="1:2" x14ac:dyDescent="0.25">
      <c r="A861" s="16" t="s">
        <v>2741</v>
      </c>
      <c r="B861" s="16" t="s">
        <v>698</v>
      </c>
    </row>
    <row r="862" spans="1:2" x14ac:dyDescent="0.25">
      <c r="A862" s="16" t="s">
        <v>2742</v>
      </c>
      <c r="B862" s="16" t="s">
        <v>699</v>
      </c>
    </row>
    <row r="863" spans="1:2" x14ac:dyDescent="0.25">
      <c r="A863" s="16" t="s">
        <v>2743</v>
      </c>
      <c r="B863" s="16" t="s">
        <v>700</v>
      </c>
    </row>
    <row r="864" spans="1:2" x14ac:dyDescent="0.25">
      <c r="A864" s="16" t="s">
        <v>2744</v>
      </c>
      <c r="B864" s="16" t="s">
        <v>701</v>
      </c>
    </row>
    <row r="865" spans="1:2" x14ac:dyDescent="0.25">
      <c r="A865" s="16" t="s">
        <v>2745</v>
      </c>
      <c r="B865" s="16" t="s">
        <v>702</v>
      </c>
    </row>
    <row r="866" spans="1:2" x14ac:dyDescent="0.25">
      <c r="A866" s="16" t="s">
        <v>2746</v>
      </c>
      <c r="B866" s="16" t="s">
        <v>703</v>
      </c>
    </row>
    <row r="867" spans="1:2" x14ac:dyDescent="0.25">
      <c r="A867" s="16" t="s">
        <v>2747</v>
      </c>
      <c r="B867" s="16" t="s">
        <v>704</v>
      </c>
    </row>
    <row r="868" spans="1:2" x14ac:dyDescent="0.25">
      <c r="A868" s="16" t="s">
        <v>2748</v>
      </c>
      <c r="B868" s="16" t="s">
        <v>705</v>
      </c>
    </row>
    <row r="869" spans="1:2" x14ac:dyDescent="0.25">
      <c r="A869" s="16" t="s">
        <v>2749</v>
      </c>
      <c r="B869" s="16" t="s">
        <v>707</v>
      </c>
    </row>
    <row r="870" spans="1:2" x14ac:dyDescent="0.25">
      <c r="A870" s="16" t="s">
        <v>2750</v>
      </c>
      <c r="B870" s="16" t="s">
        <v>651</v>
      </c>
    </row>
    <row r="871" spans="1:2" x14ac:dyDescent="0.25">
      <c r="A871" s="16" t="s">
        <v>2751</v>
      </c>
      <c r="B871" s="16" t="s">
        <v>708</v>
      </c>
    </row>
    <row r="872" spans="1:2" x14ac:dyDescent="0.25">
      <c r="A872" s="16" t="s">
        <v>2752</v>
      </c>
      <c r="B872" s="16" t="s">
        <v>710</v>
      </c>
    </row>
    <row r="873" spans="1:2" x14ac:dyDescent="0.25">
      <c r="A873" s="16" t="s">
        <v>2753</v>
      </c>
      <c r="B873" s="16" t="s">
        <v>711</v>
      </c>
    </row>
    <row r="874" spans="1:2" x14ac:dyDescent="0.25">
      <c r="A874" s="16" t="s">
        <v>2754</v>
      </c>
      <c r="B874" s="16" t="s">
        <v>712</v>
      </c>
    </row>
    <row r="875" spans="1:2" x14ac:dyDescent="0.25">
      <c r="A875" s="16" t="s">
        <v>2755</v>
      </c>
      <c r="B875" s="16" t="s">
        <v>713</v>
      </c>
    </row>
    <row r="876" spans="1:2" x14ac:dyDescent="0.25">
      <c r="A876" s="16" t="s">
        <v>2756</v>
      </c>
      <c r="B876" s="16" t="s">
        <v>714</v>
      </c>
    </row>
    <row r="877" spans="1:2" x14ac:dyDescent="0.25">
      <c r="A877" s="16" t="s">
        <v>2757</v>
      </c>
      <c r="B877" s="16" t="s">
        <v>715</v>
      </c>
    </row>
    <row r="878" spans="1:2" x14ac:dyDescent="0.25">
      <c r="A878" s="16" t="s">
        <v>2758</v>
      </c>
      <c r="B878" s="16" t="s">
        <v>717</v>
      </c>
    </row>
    <row r="879" spans="1:2" x14ac:dyDescent="0.25">
      <c r="A879" s="16" t="s">
        <v>2759</v>
      </c>
      <c r="B879" s="16" t="s">
        <v>652</v>
      </c>
    </row>
    <row r="880" spans="1:2" x14ac:dyDescent="0.25">
      <c r="A880" s="16" t="s">
        <v>2760</v>
      </c>
      <c r="B880" s="16" t="s">
        <v>718</v>
      </c>
    </row>
    <row r="881" spans="1:2" x14ac:dyDescent="0.25">
      <c r="A881" s="16" t="s">
        <v>2761</v>
      </c>
      <c r="B881" s="16" t="s">
        <v>721</v>
      </c>
    </row>
    <row r="882" spans="1:2" x14ac:dyDescent="0.25">
      <c r="A882" s="16" t="s">
        <v>2762</v>
      </c>
      <c r="B882" s="16" t="s">
        <v>722</v>
      </c>
    </row>
    <row r="883" spans="1:2" x14ac:dyDescent="0.25">
      <c r="A883" s="16" t="s">
        <v>2763</v>
      </c>
      <c r="B883" s="16" t="s">
        <v>724</v>
      </c>
    </row>
    <row r="884" spans="1:2" x14ac:dyDescent="0.25">
      <c r="A884" s="16" t="s">
        <v>2764</v>
      </c>
      <c r="B884" s="16" t="s">
        <v>725</v>
      </c>
    </row>
    <row r="885" spans="1:2" x14ac:dyDescent="0.25">
      <c r="A885" s="16" t="s">
        <v>2765</v>
      </c>
      <c r="B885" s="16" t="s">
        <v>726</v>
      </c>
    </row>
    <row r="886" spans="1:2" x14ac:dyDescent="0.25">
      <c r="A886" s="16" t="s">
        <v>2766</v>
      </c>
      <c r="B886" s="16" t="s">
        <v>653</v>
      </c>
    </row>
    <row r="887" spans="1:2" x14ac:dyDescent="0.25">
      <c r="A887" s="16" t="s">
        <v>2767</v>
      </c>
      <c r="B887" s="16" t="s">
        <v>729</v>
      </c>
    </row>
    <row r="888" spans="1:2" x14ac:dyDescent="0.25">
      <c r="A888" s="16" t="s">
        <v>2768</v>
      </c>
      <c r="B888" s="16" t="s">
        <v>731</v>
      </c>
    </row>
    <row r="889" spans="1:2" x14ac:dyDescent="0.25">
      <c r="A889" s="16" t="s">
        <v>2769</v>
      </c>
      <c r="B889" s="16" t="s">
        <v>732</v>
      </c>
    </row>
    <row r="890" spans="1:2" x14ac:dyDescent="0.25">
      <c r="A890" s="16" t="s">
        <v>2770</v>
      </c>
      <c r="B890" s="16" t="s">
        <v>733</v>
      </c>
    </row>
    <row r="891" spans="1:2" x14ac:dyDescent="0.25">
      <c r="A891" s="16" t="s">
        <v>2771</v>
      </c>
      <c r="B891" s="16" t="s">
        <v>734</v>
      </c>
    </row>
    <row r="892" spans="1:2" x14ac:dyDescent="0.25">
      <c r="A892" s="16" t="s">
        <v>2772</v>
      </c>
      <c r="B892" s="16" t="s">
        <v>735</v>
      </c>
    </row>
    <row r="893" spans="1:2" x14ac:dyDescent="0.25">
      <c r="A893" s="16" t="s">
        <v>2773</v>
      </c>
      <c r="B893" s="16" t="s">
        <v>737</v>
      </c>
    </row>
    <row r="894" spans="1:2" x14ac:dyDescent="0.25">
      <c r="A894" s="16" t="s">
        <v>2774</v>
      </c>
      <c r="B894" s="16" t="s">
        <v>62</v>
      </c>
    </row>
    <row r="895" spans="1:2" x14ac:dyDescent="0.25">
      <c r="A895" s="16" t="s">
        <v>2775</v>
      </c>
      <c r="B895" s="16" t="s">
        <v>738</v>
      </c>
    </row>
    <row r="896" spans="1:2" x14ac:dyDescent="0.25">
      <c r="A896" s="16" t="s">
        <v>2776</v>
      </c>
      <c r="B896" s="16" t="s">
        <v>747</v>
      </c>
    </row>
    <row r="897" spans="1:2" x14ac:dyDescent="0.25">
      <c r="A897" s="16" t="s">
        <v>2777</v>
      </c>
      <c r="B897" s="16" t="s">
        <v>748</v>
      </c>
    </row>
    <row r="898" spans="1:2" x14ac:dyDescent="0.25">
      <c r="A898" s="16" t="s">
        <v>2778</v>
      </c>
      <c r="B898" s="16" t="s">
        <v>749</v>
      </c>
    </row>
    <row r="899" spans="1:2" x14ac:dyDescent="0.25">
      <c r="A899" s="16" t="s">
        <v>2779</v>
      </c>
      <c r="B899" s="16" t="s">
        <v>750</v>
      </c>
    </row>
    <row r="900" spans="1:2" x14ac:dyDescent="0.25">
      <c r="A900" s="16" t="s">
        <v>2780</v>
      </c>
      <c r="B900" s="16" t="s">
        <v>751</v>
      </c>
    </row>
    <row r="901" spans="1:2" x14ac:dyDescent="0.25">
      <c r="A901" s="16" t="s">
        <v>2781</v>
      </c>
      <c r="B901" s="16" t="s">
        <v>752</v>
      </c>
    </row>
    <row r="902" spans="1:2" x14ac:dyDescent="0.25">
      <c r="A902" s="16" t="s">
        <v>2782</v>
      </c>
      <c r="B902" s="16" t="s">
        <v>753</v>
      </c>
    </row>
    <row r="903" spans="1:2" x14ac:dyDescent="0.25">
      <c r="A903" s="16" t="s">
        <v>2783</v>
      </c>
      <c r="B903" s="16" t="s">
        <v>754</v>
      </c>
    </row>
    <row r="904" spans="1:2" x14ac:dyDescent="0.25">
      <c r="A904" s="16" t="s">
        <v>2784</v>
      </c>
      <c r="B904" s="16" t="s">
        <v>755</v>
      </c>
    </row>
    <row r="905" spans="1:2" x14ac:dyDescent="0.25">
      <c r="A905" s="16" t="s">
        <v>2785</v>
      </c>
      <c r="B905" s="16" t="s">
        <v>739</v>
      </c>
    </row>
    <row r="906" spans="1:2" x14ac:dyDescent="0.25">
      <c r="A906" s="16" t="s">
        <v>2786</v>
      </c>
      <c r="B906" s="16" t="s">
        <v>756</v>
      </c>
    </row>
    <row r="907" spans="1:2" x14ac:dyDescent="0.25">
      <c r="A907" s="16" t="s">
        <v>2787</v>
      </c>
      <c r="B907" s="16" t="s">
        <v>757</v>
      </c>
    </row>
    <row r="908" spans="1:2" x14ac:dyDescent="0.25">
      <c r="A908" s="16" t="s">
        <v>2788</v>
      </c>
      <c r="B908" s="16" t="s">
        <v>758</v>
      </c>
    </row>
    <row r="909" spans="1:2" x14ac:dyDescent="0.25">
      <c r="A909" s="16" t="s">
        <v>2789</v>
      </c>
      <c r="B909" s="16" t="s">
        <v>759</v>
      </c>
    </row>
    <row r="910" spans="1:2" x14ac:dyDescent="0.25">
      <c r="A910" s="16" t="s">
        <v>2790</v>
      </c>
      <c r="B910" s="16" t="s">
        <v>760</v>
      </c>
    </row>
    <row r="911" spans="1:2" x14ac:dyDescent="0.25">
      <c r="A911" s="16" t="s">
        <v>2791</v>
      </c>
      <c r="B911" s="16" t="s">
        <v>761</v>
      </c>
    </row>
    <row r="912" spans="1:2" x14ac:dyDescent="0.25">
      <c r="A912" s="16" t="s">
        <v>2792</v>
      </c>
      <c r="B912" s="16" t="s">
        <v>762</v>
      </c>
    </row>
    <row r="913" spans="1:2" x14ac:dyDescent="0.25">
      <c r="A913" s="16" t="s">
        <v>2793</v>
      </c>
      <c r="B913" s="16" t="s">
        <v>763</v>
      </c>
    </row>
    <row r="914" spans="1:2" x14ac:dyDescent="0.25">
      <c r="A914" s="16" t="s">
        <v>2794</v>
      </c>
      <c r="B914" s="16" t="s">
        <v>764</v>
      </c>
    </row>
    <row r="915" spans="1:2" x14ac:dyDescent="0.25">
      <c r="A915" s="16" t="s">
        <v>2795</v>
      </c>
      <c r="B915" s="16" t="s">
        <v>740</v>
      </c>
    </row>
    <row r="916" spans="1:2" x14ac:dyDescent="0.25">
      <c r="A916" s="16" t="s">
        <v>2796</v>
      </c>
      <c r="B916" s="16" t="s">
        <v>765</v>
      </c>
    </row>
    <row r="917" spans="1:2" x14ac:dyDescent="0.25">
      <c r="A917" s="16" t="s">
        <v>2797</v>
      </c>
      <c r="B917" s="16" t="s">
        <v>766</v>
      </c>
    </row>
    <row r="918" spans="1:2" x14ac:dyDescent="0.25">
      <c r="A918" s="16" t="s">
        <v>2798</v>
      </c>
      <c r="B918" s="16" t="s">
        <v>767</v>
      </c>
    </row>
    <row r="919" spans="1:2" x14ac:dyDescent="0.25">
      <c r="A919" s="16" t="s">
        <v>2799</v>
      </c>
      <c r="B919" s="16" t="s">
        <v>768</v>
      </c>
    </row>
    <row r="920" spans="1:2" x14ac:dyDescent="0.25">
      <c r="A920" s="16" t="s">
        <v>2800</v>
      </c>
      <c r="B920" s="16" t="s">
        <v>769</v>
      </c>
    </row>
    <row r="921" spans="1:2" x14ac:dyDescent="0.25">
      <c r="A921" s="16" t="s">
        <v>2801</v>
      </c>
      <c r="B921" s="16" t="s">
        <v>770</v>
      </c>
    </row>
    <row r="922" spans="1:2" x14ac:dyDescent="0.25">
      <c r="A922" s="16" t="s">
        <v>2802</v>
      </c>
      <c r="B922" s="16" t="s">
        <v>771</v>
      </c>
    </row>
    <row r="923" spans="1:2" x14ac:dyDescent="0.25">
      <c r="A923" s="16" t="s">
        <v>2803</v>
      </c>
      <c r="B923" s="16" t="s">
        <v>772</v>
      </c>
    </row>
    <row r="924" spans="1:2" x14ac:dyDescent="0.25">
      <c r="A924" s="16" t="s">
        <v>2804</v>
      </c>
      <c r="B924" s="16" t="s">
        <v>773</v>
      </c>
    </row>
    <row r="925" spans="1:2" x14ac:dyDescent="0.25">
      <c r="A925" s="16" t="s">
        <v>2805</v>
      </c>
      <c r="B925" s="16" t="s">
        <v>774</v>
      </c>
    </row>
    <row r="926" spans="1:2" x14ac:dyDescent="0.25">
      <c r="A926" s="16" t="s">
        <v>2806</v>
      </c>
      <c r="B926" s="16" t="s">
        <v>741</v>
      </c>
    </row>
    <row r="927" spans="1:2" x14ac:dyDescent="0.25">
      <c r="A927" s="16" t="s">
        <v>2807</v>
      </c>
      <c r="B927" s="16" t="s">
        <v>775</v>
      </c>
    </row>
    <row r="928" spans="1:2" x14ac:dyDescent="0.25">
      <c r="A928" s="16" t="s">
        <v>2808</v>
      </c>
      <c r="B928" s="16" t="s">
        <v>776</v>
      </c>
    </row>
    <row r="929" spans="1:2" x14ac:dyDescent="0.25">
      <c r="A929" s="16" t="s">
        <v>2809</v>
      </c>
      <c r="B929" s="16" t="s">
        <v>777</v>
      </c>
    </row>
    <row r="930" spans="1:2" x14ac:dyDescent="0.25">
      <c r="A930" s="16" t="s">
        <v>2810</v>
      </c>
      <c r="B930" s="16" t="s">
        <v>778</v>
      </c>
    </row>
    <row r="931" spans="1:2" x14ac:dyDescent="0.25">
      <c r="A931" s="16" t="s">
        <v>2811</v>
      </c>
      <c r="B931" s="16" t="s">
        <v>779</v>
      </c>
    </row>
    <row r="932" spans="1:2" x14ac:dyDescent="0.25">
      <c r="A932" s="16" t="s">
        <v>2812</v>
      </c>
      <c r="B932" s="16" t="s">
        <v>780</v>
      </c>
    </row>
    <row r="933" spans="1:2" x14ac:dyDescent="0.25">
      <c r="A933" s="16" t="s">
        <v>2813</v>
      </c>
      <c r="B933" s="16" t="s">
        <v>781</v>
      </c>
    </row>
    <row r="934" spans="1:2" x14ac:dyDescent="0.25">
      <c r="A934" s="16" t="s">
        <v>2814</v>
      </c>
      <c r="B934" s="16" t="s">
        <v>782</v>
      </c>
    </row>
    <row r="935" spans="1:2" x14ac:dyDescent="0.25">
      <c r="A935" s="16" t="s">
        <v>2815</v>
      </c>
      <c r="B935" s="16" t="s">
        <v>742</v>
      </c>
    </row>
    <row r="936" spans="1:2" x14ac:dyDescent="0.25">
      <c r="A936" s="16" t="s">
        <v>2816</v>
      </c>
      <c r="B936" s="16" t="s">
        <v>783</v>
      </c>
    </row>
    <row r="937" spans="1:2" x14ac:dyDescent="0.25">
      <c r="A937" s="16" t="s">
        <v>2817</v>
      </c>
      <c r="B937" s="16" t="s">
        <v>784</v>
      </c>
    </row>
    <row r="938" spans="1:2" x14ac:dyDescent="0.25">
      <c r="A938" s="16" t="s">
        <v>2818</v>
      </c>
      <c r="B938" s="16" t="s">
        <v>785</v>
      </c>
    </row>
    <row r="939" spans="1:2" x14ac:dyDescent="0.25">
      <c r="A939" s="16" t="s">
        <v>2819</v>
      </c>
      <c r="B939" s="16" t="s">
        <v>786</v>
      </c>
    </row>
    <row r="940" spans="1:2" x14ac:dyDescent="0.25">
      <c r="A940" s="16" t="s">
        <v>2820</v>
      </c>
      <c r="B940" s="16" t="s">
        <v>787</v>
      </c>
    </row>
    <row r="941" spans="1:2" x14ac:dyDescent="0.25">
      <c r="A941" s="16" t="s">
        <v>2821</v>
      </c>
      <c r="B941" s="16" t="s">
        <v>788</v>
      </c>
    </row>
    <row r="942" spans="1:2" x14ac:dyDescent="0.25">
      <c r="A942" s="16" t="s">
        <v>2822</v>
      </c>
      <c r="B942" s="16" t="s">
        <v>789</v>
      </c>
    </row>
    <row r="943" spans="1:2" x14ac:dyDescent="0.25">
      <c r="A943" s="16" t="s">
        <v>2823</v>
      </c>
      <c r="B943" s="16" t="s">
        <v>790</v>
      </c>
    </row>
    <row r="944" spans="1:2" x14ac:dyDescent="0.25">
      <c r="A944" s="16" t="s">
        <v>2824</v>
      </c>
      <c r="B944" s="16" t="s">
        <v>791</v>
      </c>
    </row>
    <row r="945" spans="1:2" x14ac:dyDescent="0.25">
      <c r="A945" s="16" t="s">
        <v>2825</v>
      </c>
      <c r="B945" s="16" t="s">
        <v>743</v>
      </c>
    </row>
    <row r="946" spans="1:2" x14ac:dyDescent="0.25">
      <c r="A946" s="16" t="s">
        <v>2826</v>
      </c>
      <c r="B946" s="16" t="s">
        <v>792</v>
      </c>
    </row>
    <row r="947" spans="1:2" x14ac:dyDescent="0.25">
      <c r="A947" s="16" t="s">
        <v>2827</v>
      </c>
      <c r="B947" s="16" t="s">
        <v>744</v>
      </c>
    </row>
    <row r="948" spans="1:2" x14ac:dyDescent="0.25">
      <c r="A948" s="16" t="s">
        <v>2828</v>
      </c>
      <c r="B948" s="16" t="s">
        <v>745</v>
      </c>
    </row>
    <row r="949" spans="1:2" x14ac:dyDescent="0.25">
      <c r="A949" s="16" t="s">
        <v>2829</v>
      </c>
      <c r="B949" s="16" t="s">
        <v>746</v>
      </c>
    </row>
    <row r="950" spans="1:2" x14ac:dyDescent="0.25">
      <c r="A950" s="16" t="s">
        <v>2830</v>
      </c>
      <c r="B950" s="16" t="s">
        <v>1162</v>
      </c>
    </row>
    <row r="951" spans="1:2" x14ac:dyDescent="0.25">
      <c r="A951" s="16" t="s">
        <v>2831</v>
      </c>
      <c r="B951" s="16" t="s">
        <v>1171</v>
      </c>
    </row>
    <row r="952" spans="1:2" x14ac:dyDescent="0.25">
      <c r="A952" s="16" t="s">
        <v>2832</v>
      </c>
      <c r="B952" s="16" t="s">
        <v>1237</v>
      </c>
    </row>
    <row r="953" spans="1:2" x14ac:dyDescent="0.25">
      <c r="A953" s="16" t="s">
        <v>2833</v>
      </c>
      <c r="B953" s="16" t="s">
        <v>1239</v>
      </c>
    </row>
    <row r="954" spans="1:2" x14ac:dyDescent="0.25">
      <c r="A954" s="16" t="s">
        <v>2834</v>
      </c>
      <c r="B954" s="16" t="s">
        <v>1240</v>
      </c>
    </row>
    <row r="955" spans="1:2" x14ac:dyDescent="0.25">
      <c r="A955" s="16" t="s">
        <v>2835</v>
      </c>
      <c r="B955" s="16" t="s">
        <v>1241</v>
      </c>
    </row>
    <row r="956" spans="1:2" x14ac:dyDescent="0.25">
      <c r="A956" s="16" t="s">
        <v>2836</v>
      </c>
      <c r="B956" s="16" t="s">
        <v>1242</v>
      </c>
    </row>
    <row r="957" spans="1:2" x14ac:dyDescent="0.25">
      <c r="A957" s="16" t="s">
        <v>2837</v>
      </c>
      <c r="B957" s="16" t="s">
        <v>1243</v>
      </c>
    </row>
    <row r="958" spans="1:2" x14ac:dyDescent="0.25">
      <c r="A958" s="16" t="s">
        <v>2838</v>
      </c>
      <c r="B958" s="16" t="s">
        <v>1244</v>
      </c>
    </row>
    <row r="959" spans="1:2" x14ac:dyDescent="0.25">
      <c r="A959" s="16" t="s">
        <v>2839</v>
      </c>
      <c r="B959" s="16" t="s">
        <v>1245</v>
      </c>
    </row>
    <row r="960" spans="1:2" x14ac:dyDescent="0.25">
      <c r="A960" s="16" t="s">
        <v>2840</v>
      </c>
      <c r="B960" s="16" t="s">
        <v>1246</v>
      </c>
    </row>
    <row r="961" spans="1:2" x14ac:dyDescent="0.25">
      <c r="A961" s="16" t="s">
        <v>2841</v>
      </c>
      <c r="B961" s="16" t="s">
        <v>1173</v>
      </c>
    </row>
    <row r="962" spans="1:2" x14ac:dyDescent="0.25">
      <c r="A962" s="16" t="s">
        <v>2842</v>
      </c>
      <c r="B962" s="16" t="s">
        <v>1247</v>
      </c>
    </row>
    <row r="963" spans="1:2" x14ac:dyDescent="0.25">
      <c r="A963" s="16" t="s">
        <v>2843</v>
      </c>
      <c r="B963" s="16" t="s">
        <v>1248</v>
      </c>
    </row>
    <row r="964" spans="1:2" x14ac:dyDescent="0.25">
      <c r="A964" s="16" t="s">
        <v>2844</v>
      </c>
      <c r="B964" s="16" t="s">
        <v>1250</v>
      </c>
    </row>
    <row r="965" spans="1:2" x14ac:dyDescent="0.25">
      <c r="A965" s="16" t="s">
        <v>2845</v>
      </c>
      <c r="B965" s="16" t="s">
        <v>1251</v>
      </c>
    </row>
    <row r="966" spans="1:2" x14ac:dyDescent="0.25">
      <c r="A966" s="16" t="s">
        <v>2846</v>
      </c>
      <c r="B966" s="16" t="s">
        <v>1252</v>
      </c>
    </row>
    <row r="967" spans="1:2" x14ac:dyDescent="0.25">
      <c r="A967" s="16" t="s">
        <v>2847</v>
      </c>
      <c r="B967" s="16" t="s">
        <v>1253</v>
      </c>
    </row>
    <row r="968" spans="1:2" x14ac:dyDescent="0.25">
      <c r="A968" s="16" t="s">
        <v>2848</v>
      </c>
      <c r="B968" s="16" t="s">
        <v>1254</v>
      </c>
    </row>
    <row r="969" spans="1:2" x14ac:dyDescent="0.25">
      <c r="A969" s="16" t="s">
        <v>2849</v>
      </c>
      <c r="B969" s="16" t="s">
        <v>1255</v>
      </c>
    </row>
    <row r="970" spans="1:2" x14ac:dyDescent="0.25">
      <c r="A970" s="16" t="s">
        <v>2850</v>
      </c>
      <c r="B970" s="16" t="s">
        <v>1256</v>
      </c>
    </row>
    <row r="971" spans="1:2" x14ac:dyDescent="0.25">
      <c r="A971" s="16" t="s">
        <v>2851</v>
      </c>
      <c r="B971" s="16" t="s">
        <v>1257</v>
      </c>
    </row>
    <row r="972" spans="1:2" x14ac:dyDescent="0.25">
      <c r="A972" s="16" t="s">
        <v>2852</v>
      </c>
      <c r="B972" s="16" t="s">
        <v>1174</v>
      </c>
    </row>
    <row r="973" spans="1:2" x14ac:dyDescent="0.25">
      <c r="A973" s="16" t="s">
        <v>2853</v>
      </c>
      <c r="B973" s="16" t="s">
        <v>1258</v>
      </c>
    </row>
    <row r="974" spans="1:2" x14ac:dyDescent="0.25">
      <c r="A974" s="16" t="s">
        <v>2854</v>
      </c>
      <c r="B974" s="16" t="s">
        <v>1259</v>
      </c>
    </row>
    <row r="975" spans="1:2" x14ac:dyDescent="0.25">
      <c r="A975" s="16" t="s">
        <v>2855</v>
      </c>
      <c r="B975" s="16" t="s">
        <v>1260</v>
      </c>
    </row>
    <row r="976" spans="1:2" x14ac:dyDescent="0.25">
      <c r="A976" s="16" t="s">
        <v>2856</v>
      </c>
      <c r="B976" s="16" t="s">
        <v>1261</v>
      </c>
    </row>
    <row r="977" spans="1:2" x14ac:dyDescent="0.25">
      <c r="A977" s="16" t="s">
        <v>2857</v>
      </c>
      <c r="B977" s="16" t="s">
        <v>1262</v>
      </c>
    </row>
    <row r="978" spans="1:2" x14ac:dyDescent="0.25">
      <c r="A978" s="16" t="s">
        <v>2858</v>
      </c>
      <c r="B978" s="16" t="s">
        <v>1263</v>
      </c>
    </row>
    <row r="979" spans="1:2" x14ac:dyDescent="0.25">
      <c r="A979" s="16" t="s">
        <v>2859</v>
      </c>
      <c r="B979" s="16" t="s">
        <v>1264</v>
      </c>
    </row>
    <row r="980" spans="1:2" x14ac:dyDescent="0.25">
      <c r="A980" s="16" t="s">
        <v>2860</v>
      </c>
      <c r="B980" s="16" t="s">
        <v>1265</v>
      </c>
    </row>
    <row r="981" spans="1:2" x14ac:dyDescent="0.25">
      <c r="A981" s="16" t="s">
        <v>2861</v>
      </c>
      <c r="B981" s="16" t="s">
        <v>1266</v>
      </c>
    </row>
    <row r="982" spans="1:2" x14ac:dyDescent="0.25">
      <c r="A982" s="16" t="s">
        <v>2862</v>
      </c>
      <c r="B982" s="16" t="s">
        <v>1175</v>
      </c>
    </row>
    <row r="983" spans="1:2" x14ac:dyDescent="0.25">
      <c r="A983" s="16" t="s">
        <v>2863</v>
      </c>
      <c r="B983" s="16" t="s">
        <v>1267</v>
      </c>
    </row>
    <row r="984" spans="1:2" x14ac:dyDescent="0.25">
      <c r="A984" s="16" t="s">
        <v>2864</v>
      </c>
      <c r="B984" s="16" t="s">
        <v>1268</v>
      </c>
    </row>
    <row r="985" spans="1:2" x14ac:dyDescent="0.25">
      <c r="A985" s="16" t="s">
        <v>2865</v>
      </c>
      <c r="B985" s="16" t="s">
        <v>1270</v>
      </c>
    </row>
    <row r="986" spans="1:2" x14ac:dyDescent="0.25">
      <c r="A986" s="16" t="s">
        <v>2866</v>
      </c>
      <c r="B986" s="16" t="s">
        <v>1271</v>
      </c>
    </row>
    <row r="987" spans="1:2" x14ac:dyDescent="0.25">
      <c r="A987" s="16" t="s">
        <v>2867</v>
      </c>
      <c r="B987" s="16" t="s">
        <v>1272</v>
      </c>
    </row>
    <row r="988" spans="1:2" x14ac:dyDescent="0.25">
      <c r="A988" s="16" t="s">
        <v>2868</v>
      </c>
      <c r="B988" s="16" t="s">
        <v>1273</v>
      </c>
    </row>
    <row r="989" spans="1:2" x14ac:dyDescent="0.25">
      <c r="A989" s="16" t="s">
        <v>2869</v>
      </c>
      <c r="B989" s="16" t="s">
        <v>1274</v>
      </c>
    </row>
    <row r="990" spans="1:2" x14ac:dyDescent="0.25">
      <c r="A990" s="16" t="s">
        <v>2870</v>
      </c>
      <c r="B990" s="16" t="s">
        <v>1275</v>
      </c>
    </row>
    <row r="991" spans="1:2" x14ac:dyDescent="0.25">
      <c r="A991" s="16" t="s">
        <v>2871</v>
      </c>
      <c r="B991" s="16" t="s">
        <v>1276</v>
      </c>
    </row>
    <row r="992" spans="1:2" x14ac:dyDescent="0.25">
      <c r="A992" s="16" t="s">
        <v>2872</v>
      </c>
      <c r="B992" s="16" t="s">
        <v>1277</v>
      </c>
    </row>
    <row r="993" spans="1:2" x14ac:dyDescent="0.25">
      <c r="A993" s="16" t="s">
        <v>2873</v>
      </c>
      <c r="B993" s="16" t="s">
        <v>1176</v>
      </c>
    </row>
    <row r="994" spans="1:2" x14ac:dyDescent="0.25">
      <c r="A994" s="16" t="s">
        <v>2874</v>
      </c>
      <c r="B994" s="16" t="s">
        <v>1278</v>
      </c>
    </row>
    <row r="995" spans="1:2" x14ac:dyDescent="0.25">
      <c r="A995" s="16" t="s">
        <v>2875</v>
      </c>
      <c r="B995" s="16" t="s">
        <v>1279</v>
      </c>
    </row>
    <row r="996" spans="1:2" x14ac:dyDescent="0.25">
      <c r="A996" s="16" t="s">
        <v>2876</v>
      </c>
      <c r="B996" s="16" t="s">
        <v>1280</v>
      </c>
    </row>
    <row r="997" spans="1:2" x14ac:dyDescent="0.25">
      <c r="A997" s="16" t="s">
        <v>2877</v>
      </c>
      <c r="B997" s="16" t="s">
        <v>1281</v>
      </c>
    </row>
    <row r="998" spans="1:2" x14ac:dyDescent="0.25">
      <c r="A998" s="16" t="s">
        <v>2878</v>
      </c>
      <c r="B998" s="16" t="s">
        <v>1282</v>
      </c>
    </row>
    <row r="999" spans="1:2" x14ac:dyDescent="0.25">
      <c r="A999" s="16" t="s">
        <v>2879</v>
      </c>
      <c r="B999" s="16" t="s">
        <v>1283</v>
      </c>
    </row>
    <row r="1000" spans="1:2" x14ac:dyDescent="0.25">
      <c r="A1000" s="16" t="s">
        <v>2880</v>
      </c>
      <c r="B1000" s="16" t="s">
        <v>1284</v>
      </c>
    </row>
    <row r="1001" spans="1:2" x14ac:dyDescent="0.25">
      <c r="A1001" s="16" t="s">
        <v>2881</v>
      </c>
      <c r="B1001" s="16" t="s">
        <v>1285</v>
      </c>
    </row>
    <row r="1002" spans="1:2" x14ac:dyDescent="0.25">
      <c r="A1002" s="16" t="s">
        <v>2882</v>
      </c>
      <c r="B1002" s="16" t="s">
        <v>1286</v>
      </c>
    </row>
    <row r="1003" spans="1:2" x14ac:dyDescent="0.25">
      <c r="A1003" s="16" t="s">
        <v>2883</v>
      </c>
      <c r="B1003" s="16" t="s">
        <v>1177</v>
      </c>
    </row>
    <row r="1004" spans="1:2" x14ac:dyDescent="0.25">
      <c r="A1004" s="16" t="s">
        <v>2884</v>
      </c>
      <c r="B1004" s="16" t="s">
        <v>1287</v>
      </c>
    </row>
    <row r="1005" spans="1:2" x14ac:dyDescent="0.25">
      <c r="A1005" s="16" t="s">
        <v>2885</v>
      </c>
      <c r="B1005" s="16" t="s">
        <v>1288</v>
      </c>
    </row>
    <row r="1006" spans="1:2" x14ac:dyDescent="0.25">
      <c r="A1006" s="16" t="s">
        <v>2886</v>
      </c>
      <c r="B1006" s="16" t="s">
        <v>1289</v>
      </c>
    </row>
    <row r="1007" spans="1:2" x14ac:dyDescent="0.25">
      <c r="A1007" s="16" t="s">
        <v>2887</v>
      </c>
      <c r="B1007" s="16" t="s">
        <v>1290</v>
      </c>
    </row>
    <row r="1008" spans="1:2" x14ac:dyDescent="0.25">
      <c r="A1008" s="16" t="s">
        <v>2888</v>
      </c>
      <c r="B1008" s="16" t="s">
        <v>1291</v>
      </c>
    </row>
    <row r="1009" spans="1:2" x14ac:dyDescent="0.25">
      <c r="A1009" s="16" t="s">
        <v>2889</v>
      </c>
      <c r="B1009" s="16" t="s">
        <v>1292</v>
      </c>
    </row>
    <row r="1010" spans="1:2" x14ac:dyDescent="0.25">
      <c r="A1010" s="16" t="s">
        <v>2890</v>
      </c>
      <c r="B1010" s="16" t="s">
        <v>1293</v>
      </c>
    </row>
    <row r="1011" spans="1:2" x14ac:dyDescent="0.25">
      <c r="A1011" s="16" t="s">
        <v>2891</v>
      </c>
      <c r="B1011" s="16" t="s">
        <v>1178</v>
      </c>
    </row>
    <row r="1012" spans="1:2" x14ac:dyDescent="0.25">
      <c r="A1012" s="16" t="s">
        <v>2892</v>
      </c>
      <c r="B1012" s="16" t="s">
        <v>1294</v>
      </c>
    </row>
    <row r="1013" spans="1:2" x14ac:dyDescent="0.25">
      <c r="A1013" s="16" t="s">
        <v>2893</v>
      </c>
      <c r="B1013" s="16" t="s">
        <v>1295</v>
      </c>
    </row>
    <row r="1014" spans="1:2" x14ac:dyDescent="0.25">
      <c r="A1014" s="16" t="s">
        <v>2894</v>
      </c>
      <c r="B1014" s="16" t="s">
        <v>1296</v>
      </c>
    </row>
    <row r="1015" spans="1:2" x14ac:dyDescent="0.25">
      <c r="A1015" s="16" t="s">
        <v>2895</v>
      </c>
      <c r="B1015" s="16" t="s">
        <v>1297</v>
      </c>
    </row>
    <row r="1016" spans="1:2" x14ac:dyDescent="0.25">
      <c r="A1016" s="16" t="s">
        <v>2896</v>
      </c>
      <c r="B1016" s="16" t="s">
        <v>1299</v>
      </c>
    </row>
    <row r="1017" spans="1:2" x14ac:dyDescent="0.25">
      <c r="A1017" s="16" t="s">
        <v>2897</v>
      </c>
      <c r="B1017" s="16" t="s">
        <v>1300</v>
      </c>
    </row>
    <row r="1018" spans="1:2" x14ac:dyDescent="0.25">
      <c r="A1018" s="16" t="s">
        <v>2898</v>
      </c>
      <c r="B1018" s="16" t="s">
        <v>1301</v>
      </c>
    </row>
    <row r="1019" spans="1:2" x14ac:dyDescent="0.25">
      <c r="A1019" s="16" t="s">
        <v>2899</v>
      </c>
      <c r="B1019" s="16" t="s">
        <v>1302</v>
      </c>
    </row>
    <row r="1020" spans="1:2" x14ac:dyDescent="0.25">
      <c r="A1020" s="16" t="s">
        <v>2900</v>
      </c>
      <c r="B1020" s="16" t="s">
        <v>1303</v>
      </c>
    </row>
    <row r="1021" spans="1:2" x14ac:dyDescent="0.25">
      <c r="A1021" s="16" t="s">
        <v>2901</v>
      </c>
      <c r="B1021" s="16" t="s">
        <v>1179</v>
      </c>
    </row>
    <row r="1022" spans="1:2" x14ac:dyDescent="0.25">
      <c r="A1022" s="16" t="s">
        <v>2902</v>
      </c>
      <c r="B1022" s="16" t="s">
        <v>1304</v>
      </c>
    </row>
    <row r="1023" spans="1:2" x14ac:dyDescent="0.25">
      <c r="A1023" s="16" t="s">
        <v>2903</v>
      </c>
      <c r="B1023" s="16" t="s">
        <v>1180</v>
      </c>
    </row>
    <row r="1024" spans="1:2" x14ac:dyDescent="0.25">
      <c r="A1024" s="16" t="s">
        <v>2904</v>
      </c>
      <c r="B1024" s="16" t="s">
        <v>1163</v>
      </c>
    </row>
    <row r="1025" spans="1:2" x14ac:dyDescent="0.25">
      <c r="A1025" s="16" t="s">
        <v>2905</v>
      </c>
      <c r="B1025" s="16" t="s">
        <v>1181</v>
      </c>
    </row>
    <row r="1026" spans="1:2" x14ac:dyDescent="0.25">
      <c r="A1026" s="16" t="s">
        <v>2906</v>
      </c>
      <c r="B1026" s="16" t="s">
        <v>1182</v>
      </c>
    </row>
    <row r="1027" spans="1:2" x14ac:dyDescent="0.25">
      <c r="A1027" s="16" t="s">
        <v>2907</v>
      </c>
      <c r="B1027" s="16" t="s">
        <v>1184</v>
      </c>
    </row>
    <row r="1028" spans="1:2" x14ac:dyDescent="0.25">
      <c r="A1028" s="16" t="s">
        <v>2908</v>
      </c>
      <c r="B1028" s="16" t="s">
        <v>1185</v>
      </c>
    </row>
    <row r="1029" spans="1:2" x14ac:dyDescent="0.25">
      <c r="A1029" s="16" t="s">
        <v>2909</v>
      </c>
      <c r="B1029" s="16" t="s">
        <v>1164</v>
      </c>
    </row>
    <row r="1030" spans="1:2" x14ac:dyDescent="0.25">
      <c r="A1030" s="16" t="s">
        <v>2910</v>
      </c>
      <c r="B1030" s="16" t="s">
        <v>1186</v>
      </c>
    </row>
    <row r="1031" spans="1:2" x14ac:dyDescent="0.25">
      <c r="A1031" s="16" t="s">
        <v>2911</v>
      </c>
      <c r="B1031" s="16" t="s">
        <v>1187</v>
      </c>
    </row>
    <row r="1032" spans="1:2" x14ac:dyDescent="0.25">
      <c r="A1032" s="16" t="s">
        <v>2912</v>
      </c>
      <c r="B1032" s="16" t="s">
        <v>1188</v>
      </c>
    </row>
    <row r="1033" spans="1:2" x14ac:dyDescent="0.25">
      <c r="A1033" s="16" t="s">
        <v>2913</v>
      </c>
      <c r="B1033" s="16" t="s">
        <v>1189</v>
      </c>
    </row>
    <row r="1034" spans="1:2" x14ac:dyDescent="0.25">
      <c r="A1034" s="16" t="s">
        <v>2914</v>
      </c>
      <c r="B1034" s="16" t="s">
        <v>1165</v>
      </c>
    </row>
    <row r="1035" spans="1:2" x14ac:dyDescent="0.25">
      <c r="A1035" s="16" t="s">
        <v>2915</v>
      </c>
      <c r="B1035" s="16" t="s">
        <v>1190</v>
      </c>
    </row>
    <row r="1036" spans="1:2" x14ac:dyDescent="0.25">
      <c r="A1036" s="16" t="s">
        <v>2916</v>
      </c>
      <c r="B1036" s="16" t="s">
        <v>1191</v>
      </c>
    </row>
    <row r="1037" spans="1:2" x14ac:dyDescent="0.25">
      <c r="A1037" s="16" t="s">
        <v>2917</v>
      </c>
      <c r="B1037" s="16" t="s">
        <v>1166</v>
      </c>
    </row>
    <row r="1038" spans="1:2" x14ac:dyDescent="0.25">
      <c r="A1038" s="16" t="s">
        <v>2918</v>
      </c>
      <c r="B1038" s="16" t="s">
        <v>1192</v>
      </c>
    </row>
    <row r="1039" spans="1:2" x14ac:dyDescent="0.25">
      <c r="A1039" s="16" t="s">
        <v>2919</v>
      </c>
      <c r="B1039" s="16" t="s">
        <v>1193</v>
      </c>
    </row>
    <row r="1040" spans="1:2" x14ac:dyDescent="0.25">
      <c r="A1040" s="16" t="s">
        <v>2920</v>
      </c>
      <c r="B1040" s="16" t="s">
        <v>1195</v>
      </c>
    </row>
    <row r="1041" spans="1:2" x14ac:dyDescent="0.25">
      <c r="A1041" s="16" t="s">
        <v>2921</v>
      </c>
      <c r="B1041" s="16" t="s">
        <v>1196</v>
      </c>
    </row>
    <row r="1042" spans="1:2" x14ac:dyDescent="0.25">
      <c r="A1042" s="16" t="s">
        <v>2922</v>
      </c>
      <c r="B1042" s="16" t="s">
        <v>1197</v>
      </c>
    </row>
    <row r="1043" spans="1:2" x14ac:dyDescent="0.25">
      <c r="A1043" s="16" t="s">
        <v>2923</v>
      </c>
      <c r="B1043" s="16" t="s">
        <v>1167</v>
      </c>
    </row>
    <row r="1044" spans="1:2" x14ac:dyDescent="0.25">
      <c r="A1044" s="16" t="s">
        <v>2924</v>
      </c>
      <c r="B1044" s="16" t="s">
        <v>1198</v>
      </c>
    </row>
    <row r="1045" spans="1:2" x14ac:dyDescent="0.25">
      <c r="A1045" s="16" t="s">
        <v>2925</v>
      </c>
      <c r="B1045" s="16" t="s">
        <v>1199</v>
      </c>
    </row>
    <row r="1046" spans="1:2" x14ac:dyDescent="0.25">
      <c r="A1046" s="16" t="s">
        <v>2926</v>
      </c>
      <c r="B1046" s="16" t="s">
        <v>1200</v>
      </c>
    </row>
    <row r="1047" spans="1:2" x14ac:dyDescent="0.25">
      <c r="A1047" s="16" t="s">
        <v>2927</v>
      </c>
      <c r="B1047" s="16" t="s">
        <v>1201</v>
      </c>
    </row>
    <row r="1048" spans="1:2" x14ac:dyDescent="0.25">
      <c r="A1048" s="16" t="s">
        <v>2928</v>
      </c>
      <c r="B1048" s="16" t="s">
        <v>1202</v>
      </c>
    </row>
    <row r="1049" spans="1:2" x14ac:dyDescent="0.25">
      <c r="A1049" s="16" t="s">
        <v>2929</v>
      </c>
      <c r="B1049" s="16" t="s">
        <v>1203</v>
      </c>
    </row>
    <row r="1050" spans="1:2" x14ac:dyDescent="0.25">
      <c r="A1050" s="16" t="s">
        <v>2930</v>
      </c>
      <c r="B1050" s="16" t="s">
        <v>1168</v>
      </c>
    </row>
    <row r="1051" spans="1:2" x14ac:dyDescent="0.25">
      <c r="A1051" s="16" t="s">
        <v>2931</v>
      </c>
      <c r="B1051" s="16" t="s">
        <v>1204</v>
      </c>
    </row>
    <row r="1052" spans="1:2" x14ac:dyDescent="0.25">
      <c r="A1052" s="16" t="s">
        <v>2932</v>
      </c>
      <c r="B1052" s="16" t="s">
        <v>1206</v>
      </c>
    </row>
    <row r="1053" spans="1:2" x14ac:dyDescent="0.25">
      <c r="A1053" s="16" t="s">
        <v>2933</v>
      </c>
      <c r="B1053" s="16" t="s">
        <v>1207</v>
      </c>
    </row>
    <row r="1054" spans="1:2" x14ac:dyDescent="0.25">
      <c r="A1054" s="16" t="s">
        <v>2934</v>
      </c>
      <c r="B1054" s="16" t="s">
        <v>1208</v>
      </c>
    </row>
    <row r="1055" spans="1:2" x14ac:dyDescent="0.25">
      <c r="A1055" s="16" t="s">
        <v>2935</v>
      </c>
      <c r="B1055" s="16" t="s">
        <v>1209</v>
      </c>
    </row>
    <row r="1056" spans="1:2" x14ac:dyDescent="0.25">
      <c r="A1056" s="16" t="s">
        <v>2936</v>
      </c>
      <c r="B1056" s="16" t="s">
        <v>1210</v>
      </c>
    </row>
    <row r="1057" spans="1:2" x14ac:dyDescent="0.25">
      <c r="A1057" s="16" t="s">
        <v>2937</v>
      </c>
      <c r="B1057" s="16" t="s">
        <v>1211</v>
      </c>
    </row>
    <row r="1058" spans="1:2" x14ac:dyDescent="0.25">
      <c r="A1058" s="16" t="s">
        <v>2938</v>
      </c>
      <c r="B1058" s="16" t="s">
        <v>1212</v>
      </c>
    </row>
    <row r="1059" spans="1:2" x14ac:dyDescent="0.25">
      <c r="A1059" s="16" t="s">
        <v>2939</v>
      </c>
      <c r="B1059" s="16" t="s">
        <v>1213</v>
      </c>
    </row>
    <row r="1060" spans="1:2" x14ac:dyDescent="0.25">
      <c r="A1060" s="16" t="s">
        <v>2940</v>
      </c>
      <c r="B1060" s="16" t="s">
        <v>1214</v>
      </c>
    </row>
    <row r="1061" spans="1:2" x14ac:dyDescent="0.25">
      <c r="A1061" s="16" t="s">
        <v>2941</v>
      </c>
      <c r="B1061" s="16" t="s">
        <v>1169</v>
      </c>
    </row>
    <row r="1062" spans="1:2" x14ac:dyDescent="0.25">
      <c r="A1062" s="16" t="s">
        <v>2942</v>
      </c>
      <c r="B1062" s="16" t="s">
        <v>1215</v>
      </c>
    </row>
    <row r="1063" spans="1:2" x14ac:dyDescent="0.25">
      <c r="A1063" s="16" t="s">
        <v>2943</v>
      </c>
      <c r="B1063" s="16" t="s">
        <v>1217</v>
      </c>
    </row>
    <row r="1064" spans="1:2" x14ac:dyDescent="0.25">
      <c r="A1064" s="16" t="s">
        <v>2944</v>
      </c>
      <c r="B1064" s="16" t="s">
        <v>1218</v>
      </c>
    </row>
    <row r="1065" spans="1:2" x14ac:dyDescent="0.25">
      <c r="A1065" s="16" t="s">
        <v>2945</v>
      </c>
      <c r="B1065" s="16" t="s">
        <v>1219</v>
      </c>
    </row>
    <row r="1066" spans="1:2" x14ac:dyDescent="0.25">
      <c r="A1066" s="16" t="s">
        <v>2946</v>
      </c>
      <c r="B1066" s="16" t="s">
        <v>1220</v>
      </c>
    </row>
    <row r="1067" spans="1:2" x14ac:dyDescent="0.25">
      <c r="A1067" s="16" t="s">
        <v>2947</v>
      </c>
      <c r="B1067" s="16" t="s">
        <v>1221</v>
      </c>
    </row>
    <row r="1068" spans="1:2" x14ac:dyDescent="0.25">
      <c r="A1068" s="16" t="s">
        <v>2948</v>
      </c>
      <c r="B1068" s="16" t="s">
        <v>1222</v>
      </c>
    </row>
    <row r="1069" spans="1:2" x14ac:dyDescent="0.25">
      <c r="A1069" s="16" t="s">
        <v>2949</v>
      </c>
      <c r="B1069" s="16" t="s">
        <v>1223</v>
      </c>
    </row>
    <row r="1070" spans="1:2" x14ac:dyDescent="0.25">
      <c r="A1070" s="16" t="s">
        <v>2950</v>
      </c>
      <c r="B1070" s="16" t="s">
        <v>1224</v>
      </c>
    </row>
    <row r="1071" spans="1:2" x14ac:dyDescent="0.25">
      <c r="A1071" s="16" t="s">
        <v>2951</v>
      </c>
      <c r="B1071" s="16" t="s">
        <v>1225</v>
      </c>
    </row>
    <row r="1072" spans="1:2" x14ac:dyDescent="0.25">
      <c r="A1072" s="16" t="s">
        <v>2952</v>
      </c>
      <c r="B1072" s="16" t="s">
        <v>1170</v>
      </c>
    </row>
    <row r="1073" spans="1:2" x14ac:dyDescent="0.25">
      <c r="A1073" s="16" t="s">
        <v>2953</v>
      </c>
      <c r="B1073" s="16" t="s">
        <v>1226</v>
      </c>
    </row>
    <row r="1074" spans="1:2" x14ac:dyDescent="0.25">
      <c r="A1074" s="16" t="s">
        <v>2954</v>
      </c>
      <c r="B1074" s="16" t="s">
        <v>1228</v>
      </c>
    </row>
    <row r="1075" spans="1:2" x14ac:dyDescent="0.25">
      <c r="A1075" s="16" t="s">
        <v>2955</v>
      </c>
      <c r="B1075" s="16" t="s">
        <v>1229</v>
      </c>
    </row>
    <row r="1076" spans="1:2" x14ac:dyDescent="0.25">
      <c r="A1076" s="16" t="s">
        <v>2956</v>
      </c>
      <c r="B1076" s="16" t="s">
        <v>1230</v>
      </c>
    </row>
    <row r="1077" spans="1:2" x14ac:dyDescent="0.25">
      <c r="A1077" s="16" t="s">
        <v>2957</v>
      </c>
      <c r="B1077" s="16" t="s">
        <v>1231</v>
      </c>
    </row>
    <row r="1078" spans="1:2" x14ac:dyDescent="0.25">
      <c r="A1078" s="16" t="s">
        <v>2958</v>
      </c>
      <c r="B1078" s="16" t="s">
        <v>1232</v>
      </c>
    </row>
    <row r="1079" spans="1:2" x14ac:dyDescent="0.25">
      <c r="A1079" s="16" t="s">
        <v>2959</v>
      </c>
      <c r="B1079" s="16" t="s">
        <v>1233</v>
      </c>
    </row>
    <row r="1080" spans="1:2" x14ac:dyDescent="0.25">
      <c r="A1080" s="16" t="s">
        <v>2960</v>
      </c>
      <c r="B1080" s="16" t="s">
        <v>1234</v>
      </c>
    </row>
    <row r="1081" spans="1:2" x14ac:dyDescent="0.25">
      <c r="A1081" s="16" t="s">
        <v>2961</v>
      </c>
      <c r="B1081" s="16" t="s">
        <v>1235</v>
      </c>
    </row>
    <row r="1082" spans="1:2" x14ac:dyDescent="0.25">
      <c r="A1082" s="16" t="s">
        <v>2962</v>
      </c>
      <c r="B1082" s="16" t="s">
        <v>1236</v>
      </c>
    </row>
    <row r="1083" spans="1:2" x14ac:dyDescent="0.25">
      <c r="A1083" s="16" t="s">
        <v>2963</v>
      </c>
      <c r="B1083" s="16" t="s">
        <v>1305</v>
      </c>
    </row>
    <row r="1084" spans="1:2" x14ac:dyDescent="0.25">
      <c r="A1084" s="16" t="s">
        <v>2964</v>
      </c>
      <c r="B1084" s="16" t="s">
        <v>1315</v>
      </c>
    </row>
    <row r="1085" spans="1:2" x14ac:dyDescent="0.25">
      <c r="A1085" s="16" t="s">
        <v>2965</v>
      </c>
      <c r="B1085" s="16" t="s">
        <v>1316</v>
      </c>
    </row>
    <row r="1086" spans="1:2" x14ac:dyDescent="0.25">
      <c r="A1086" s="16" t="s">
        <v>2966</v>
      </c>
      <c r="B1086" s="16" t="s">
        <v>1317</v>
      </c>
    </row>
    <row r="1087" spans="1:2" x14ac:dyDescent="0.25">
      <c r="A1087" s="16" t="s">
        <v>2967</v>
      </c>
      <c r="B1087" s="16" t="s">
        <v>1318</v>
      </c>
    </row>
    <row r="1088" spans="1:2" x14ac:dyDescent="0.25">
      <c r="A1088" s="16" t="s">
        <v>2968</v>
      </c>
      <c r="B1088" s="16" t="s">
        <v>1319</v>
      </c>
    </row>
    <row r="1089" spans="1:2" x14ac:dyDescent="0.25">
      <c r="A1089" s="16" t="s">
        <v>2969</v>
      </c>
      <c r="B1089" s="16" t="s">
        <v>1321</v>
      </c>
    </row>
    <row r="1090" spans="1:2" x14ac:dyDescent="0.25">
      <c r="A1090" s="16" t="s">
        <v>2970</v>
      </c>
      <c r="B1090" s="16" t="s">
        <v>1322</v>
      </c>
    </row>
    <row r="1091" spans="1:2" x14ac:dyDescent="0.25">
      <c r="A1091" s="16" t="s">
        <v>2971</v>
      </c>
      <c r="B1091" s="16" t="s">
        <v>1323</v>
      </c>
    </row>
    <row r="1092" spans="1:2" x14ac:dyDescent="0.25">
      <c r="A1092" s="16" t="s">
        <v>2972</v>
      </c>
      <c r="B1092" s="16" t="s">
        <v>1324</v>
      </c>
    </row>
    <row r="1093" spans="1:2" x14ac:dyDescent="0.25">
      <c r="A1093" s="16" t="s">
        <v>2973</v>
      </c>
      <c r="B1093" s="16" t="s">
        <v>1306</v>
      </c>
    </row>
    <row r="1094" spans="1:2" x14ac:dyDescent="0.25">
      <c r="A1094" s="16" t="s">
        <v>2974</v>
      </c>
      <c r="B1094" s="16" t="s">
        <v>1325</v>
      </c>
    </row>
    <row r="1095" spans="1:2" x14ac:dyDescent="0.25">
      <c r="A1095" s="16" t="s">
        <v>2975</v>
      </c>
      <c r="B1095" s="16" t="s">
        <v>1326</v>
      </c>
    </row>
    <row r="1096" spans="1:2" x14ac:dyDescent="0.25">
      <c r="A1096" s="16" t="s">
        <v>2976</v>
      </c>
      <c r="B1096" s="16" t="s">
        <v>1327</v>
      </c>
    </row>
    <row r="1097" spans="1:2" x14ac:dyDescent="0.25">
      <c r="A1097" s="16" t="s">
        <v>2977</v>
      </c>
      <c r="B1097" s="16" t="s">
        <v>1328</v>
      </c>
    </row>
    <row r="1098" spans="1:2" x14ac:dyDescent="0.25">
      <c r="A1098" s="16" t="s">
        <v>2978</v>
      </c>
      <c r="B1098" s="16" t="s">
        <v>1329</v>
      </c>
    </row>
    <row r="1099" spans="1:2" x14ac:dyDescent="0.25">
      <c r="A1099" s="16" t="s">
        <v>2979</v>
      </c>
      <c r="B1099" s="16" t="s">
        <v>1331</v>
      </c>
    </row>
    <row r="1100" spans="1:2" x14ac:dyDescent="0.25">
      <c r="A1100" s="16" t="s">
        <v>2980</v>
      </c>
      <c r="B1100" s="16" t="s">
        <v>1332</v>
      </c>
    </row>
    <row r="1101" spans="1:2" x14ac:dyDescent="0.25">
      <c r="A1101" s="16" t="s">
        <v>2981</v>
      </c>
      <c r="B1101" s="16" t="s">
        <v>1333</v>
      </c>
    </row>
    <row r="1102" spans="1:2" x14ac:dyDescent="0.25">
      <c r="A1102" s="16" t="s">
        <v>2982</v>
      </c>
      <c r="B1102" s="16" t="s">
        <v>1334</v>
      </c>
    </row>
    <row r="1103" spans="1:2" x14ac:dyDescent="0.25">
      <c r="A1103" s="16" t="s">
        <v>2983</v>
      </c>
      <c r="B1103" s="16" t="s">
        <v>1335</v>
      </c>
    </row>
    <row r="1104" spans="1:2" x14ac:dyDescent="0.25">
      <c r="A1104" s="16" t="s">
        <v>2984</v>
      </c>
      <c r="B1104" s="16" t="s">
        <v>1307</v>
      </c>
    </row>
    <row r="1105" spans="1:2" x14ac:dyDescent="0.25">
      <c r="A1105" s="16" t="s">
        <v>2985</v>
      </c>
      <c r="B1105" s="16" t="s">
        <v>1336</v>
      </c>
    </row>
    <row r="1106" spans="1:2" x14ac:dyDescent="0.25">
      <c r="A1106" s="16" t="s">
        <v>2986</v>
      </c>
      <c r="B1106" s="16" t="s">
        <v>1337</v>
      </c>
    </row>
    <row r="1107" spans="1:2" x14ac:dyDescent="0.25">
      <c r="A1107" s="16" t="s">
        <v>2987</v>
      </c>
      <c r="B1107" s="16" t="s">
        <v>1338</v>
      </c>
    </row>
    <row r="1108" spans="1:2" x14ac:dyDescent="0.25">
      <c r="A1108" s="16" t="s">
        <v>2988</v>
      </c>
      <c r="B1108" s="16" t="s">
        <v>1308</v>
      </c>
    </row>
    <row r="1109" spans="1:2" x14ac:dyDescent="0.25">
      <c r="A1109" s="16" t="s">
        <v>2989</v>
      </c>
      <c r="B1109" s="16" t="s">
        <v>1310</v>
      </c>
    </row>
    <row r="1110" spans="1:2" x14ac:dyDescent="0.25">
      <c r="A1110" s="16" t="s">
        <v>2990</v>
      </c>
      <c r="B1110" s="16" t="s">
        <v>1311</v>
      </c>
    </row>
    <row r="1111" spans="1:2" x14ac:dyDescent="0.25">
      <c r="A1111" s="16" t="s">
        <v>2991</v>
      </c>
      <c r="B1111" s="16" t="s">
        <v>1312</v>
      </c>
    </row>
    <row r="1112" spans="1:2" x14ac:dyDescent="0.25">
      <c r="A1112" s="16" t="s">
        <v>2992</v>
      </c>
      <c r="B1112" s="16" t="s">
        <v>1313</v>
      </c>
    </row>
    <row r="1113" spans="1:2" x14ac:dyDescent="0.25">
      <c r="A1113" s="16" t="s">
        <v>2993</v>
      </c>
      <c r="B1113" s="16" t="s">
        <v>1314</v>
      </c>
    </row>
    <row r="1114" spans="1:2" x14ac:dyDescent="0.25">
      <c r="A1114" s="16" t="s">
        <v>2994</v>
      </c>
      <c r="B1114" s="16" t="s">
        <v>1339</v>
      </c>
    </row>
    <row r="1115" spans="1:2" x14ac:dyDescent="0.25">
      <c r="A1115" s="16" t="s">
        <v>2995</v>
      </c>
      <c r="B1115" s="16" t="s">
        <v>1349</v>
      </c>
    </row>
    <row r="1116" spans="1:2" x14ac:dyDescent="0.25">
      <c r="A1116" s="16" t="s">
        <v>2996</v>
      </c>
      <c r="B1116" s="16" t="s">
        <v>1441</v>
      </c>
    </row>
    <row r="1117" spans="1:2" x14ac:dyDescent="0.25">
      <c r="A1117" s="16" t="s">
        <v>2997</v>
      </c>
      <c r="B1117" s="16" t="s">
        <v>1442</v>
      </c>
    </row>
    <row r="1118" spans="1:2" x14ac:dyDescent="0.25">
      <c r="A1118" s="16" t="s">
        <v>2998</v>
      </c>
      <c r="B1118" s="16" t="s">
        <v>1443</v>
      </c>
    </row>
    <row r="1119" spans="1:2" x14ac:dyDescent="0.25">
      <c r="A1119" s="16" t="s">
        <v>2999</v>
      </c>
      <c r="B1119" s="16" t="s">
        <v>1444</v>
      </c>
    </row>
    <row r="1120" spans="1:2" x14ac:dyDescent="0.25">
      <c r="A1120" s="16" t="s">
        <v>3000</v>
      </c>
      <c r="B1120" s="16" t="s">
        <v>1445</v>
      </c>
    </row>
    <row r="1121" spans="1:2" x14ac:dyDescent="0.25">
      <c r="A1121" s="16" t="s">
        <v>3001</v>
      </c>
      <c r="B1121" s="16" t="s">
        <v>1447</v>
      </c>
    </row>
    <row r="1122" spans="1:2" x14ac:dyDescent="0.25">
      <c r="A1122" s="16" t="s">
        <v>3002</v>
      </c>
      <c r="B1122" s="16" t="s">
        <v>1448</v>
      </c>
    </row>
    <row r="1123" spans="1:2" x14ac:dyDescent="0.25">
      <c r="A1123" s="16" t="s">
        <v>3003</v>
      </c>
      <c r="B1123" s="16" t="s">
        <v>1449</v>
      </c>
    </row>
    <row r="1124" spans="1:2" x14ac:dyDescent="0.25">
      <c r="A1124" s="16" t="s">
        <v>3004</v>
      </c>
      <c r="B1124" s="16" t="s">
        <v>1450</v>
      </c>
    </row>
    <row r="1125" spans="1:2" x14ac:dyDescent="0.25">
      <c r="A1125" s="16" t="s">
        <v>3005</v>
      </c>
      <c r="B1125" s="16" t="s">
        <v>1350</v>
      </c>
    </row>
    <row r="1126" spans="1:2" x14ac:dyDescent="0.25">
      <c r="A1126" s="16" t="s">
        <v>3006</v>
      </c>
      <c r="B1126" s="16" t="s">
        <v>1451</v>
      </c>
    </row>
    <row r="1127" spans="1:2" x14ac:dyDescent="0.25">
      <c r="A1127" s="16" t="s">
        <v>3007</v>
      </c>
      <c r="B1127" s="16" t="s">
        <v>1452</v>
      </c>
    </row>
    <row r="1128" spans="1:2" x14ac:dyDescent="0.25">
      <c r="A1128" s="16" t="s">
        <v>3008</v>
      </c>
      <c r="B1128" s="16" t="s">
        <v>1453</v>
      </c>
    </row>
    <row r="1129" spans="1:2" x14ac:dyDescent="0.25">
      <c r="A1129" s="16" t="s">
        <v>3009</v>
      </c>
      <c r="B1129" s="16" t="s">
        <v>1454</v>
      </c>
    </row>
    <row r="1130" spans="1:2" x14ac:dyDescent="0.25">
      <c r="A1130" s="16" t="s">
        <v>3010</v>
      </c>
      <c r="B1130" s="16" t="s">
        <v>1455</v>
      </c>
    </row>
    <row r="1131" spans="1:2" x14ac:dyDescent="0.25">
      <c r="A1131" s="16" t="s">
        <v>3011</v>
      </c>
      <c r="B1131" s="16" t="s">
        <v>1456</v>
      </c>
    </row>
    <row r="1132" spans="1:2" x14ac:dyDescent="0.25">
      <c r="A1132" s="16" t="s">
        <v>3012</v>
      </c>
      <c r="B1132" s="16" t="s">
        <v>1457</v>
      </c>
    </row>
    <row r="1133" spans="1:2" x14ac:dyDescent="0.25">
      <c r="A1133" s="16" t="s">
        <v>3013</v>
      </c>
      <c r="B1133" s="16" t="s">
        <v>1458</v>
      </c>
    </row>
    <row r="1134" spans="1:2" x14ac:dyDescent="0.25">
      <c r="A1134" s="16" t="s">
        <v>3014</v>
      </c>
      <c r="B1134" s="16" t="s">
        <v>1459</v>
      </c>
    </row>
    <row r="1135" spans="1:2" x14ac:dyDescent="0.25">
      <c r="A1135" s="16" t="s">
        <v>3015</v>
      </c>
      <c r="B1135" s="16" t="s">
        <v>1351</v>
      </c>
    </row>
    <row r="1136" spans="1:2" x14ac:dyDescent="0.25">
      <c r="A1136" s="16" t="s">
        <v>3016</v>
      </c>
      <c r="B1136" s="16" t="s">
        <v>1460</v>
      </c>
    </row>
    <row r="1137" spans="1:2" x14ac:dyDescent="0.25">
      <c r="A1137" s="16" t="s">
        <v>3017</v>
      </c>
      <c r="B1137" s="16" t="s">
        <v>1461</v>
      </c>
    </row>
    <row r="1138" spans="1:2" x14ac:dyDescent="0.25">
      <c r="A1138" s="16" t="s">
        <v>3018</v>
      </c>
      <c r="B1138" s="16" t="s">
        <v>1462</v>
      </c>
    </row>
    <row r="1139" spans="1:2" x14ac:dyDescent="0.25">
      <c r="A1139" s="16" t="s">
        <v>3019</v>
      </c>
      <c r="B1139" s="16" t="s">
        <v>1463</v>
      </c>
    </row>
    <row r="1140" spans="1:2" x14ac:dyDescent="0.25">
      <c r="A1140" s="16" t="s">
        <v>3020</v>
      </c>
      <c r="B1140" s="16" t="s">
        <v>1464</v>
      </c>
    </row>
    <row r="1141" spans="1:2" x14ac:dyDescent="0.25">
      <c r="A1141" s="16" t="s">
        <v>3021</v>
      </c>
      <c r="B1141" s="16" t="s">
        <v>1465</v>
      </c>
    </row>
    <row r="1142" spans="1:2" x14ac:dyDescent="0.25">
      <c r="A1142" s="16" t="s">
        <v>3022</v>
      </c>
      <c r="B1142" s="16" t="s">
        <v>1466</v>
      </c>
    </row>
    <row r="1143" spans="1:2" x14ac:dyDescent="0.25">
      <c r="A1143" s="16" t="s">
        <v>3023</v>
      </c>
      <c r="B1143" s="16" t="s">
        <v>1467</v>
      </c>
    </row>
    <row r="1144" spans="1:2" x14ac:dyDescent="0.25">
      <c r="A1144" s="16" t="s">
        <v>3024</v>
      </c>
      <c r="B1144" s="16" t="s">
        <v>1468</v>
      </c>
    </row>
    <row r="1145" spans="1:2" x14ac:dyDescent="0.25">
      <c r="A1145" s="16" t="s">
        <v>3025</v>
      </c>
      <c r="B1145" s="16" t="s">
        <v>1469</v>
      </c>
    </row>
    <row r="1146" spans="1:2" x14ac:dyDescent="0.25">
      <c r="A1146" s="16" t="s">
        <v>3026</v>
      </c>
      <c r="B1146" s="16" t="s">
        <v>1353</v>
      </c>
    </row>
    <row r="1147" spans="1:2" x14ac:dyDescent="0.25">
      <c r="A1147" s="16" t="s">
        <v>3027</v>
      </c>
      <c r="B1147" s="16" t="s">
        <v>1470</v>
      </c>
    </row>
    <row r="1148" spans="1:2" x14ac:dyDescent="0.25">
      <c r="A1148" s="16" t="s">
        <v>3028</v>
      </c>
      <c r="B1148" s="16" t="s">
        <v>1471</v>
      </c>
    </row>
    <row r="1149" spans="1:2" x14ac:dyDescent="0.25">
      <c r="A1149" s="16" t="s">
        <v>3029</v>
      </c>
      <c r="B1149" s="16" t="s">
        <v>1472</v>
      </c>
    </row>
    <row r="1150" spans="1:2" x14ac:dyDescent="0.25">
      <c r="A1150" s="16" t="s">
        <v>3030</v>
      </c>
      <c r="B1150" s="16" t="s">
        <v>1473</v>
      </c>
    </row>
    <row r="1151" spans="1:2" x14ac:dyDescent="0.25">
      <c r="A1151" s="16" t="s">
        <v>3031</v>
      </c>
      <c r="B1151" s="16" t="s">
        <v>1474</v>
      </c>
    </row>
    <row r="1152" spans="1:2" x14ac:dyDescent="0.25">
      <c r="A1152" s="16" t="s">
        <v>3032</v>
      </c>
      <c r="B1152" s="16" t="s">
        <v>1475</v>
      </c>
    </row>
    <row r="1153" spans="1:2" x14ac:dyDescent="0.25">
      <c r="A1153" s="16" t="s">
        <v>3033</v>
      </c>
      <c r="B1153" s="16" t="s">
        <v>1477</v>
      </c>
    </row>
    <row r="1154" spans="1:2" x14ac:dyDescent="0.25">
      <c r="A1154" s="16" t="s">
        <v>3034</v>
      </c>
      <c r="B1154" s="16" t="s">
        <v>1478</v>
      </c>
    </row>
    <row r="1155" spans="1:2" x14ac:dyDescent="0.25">
      <c r="A1155" s="16" t="s">
        <v>3035</v>
      </c>
      <c r="B1155" s="16" t="s">
        <v>1479</v>
      </c>
    </row>
    <row r="1156" spans="1:2" x14ac:dyDescent="0.25">
      <c r="A1156" s="16" t="s">
        <v>3036</v>
      </c>
      <c r="B1156" s="16" t="s">
        <v>1480</v>
      </c>
    </row>
    <row r="1157" spans="1:2" x14ac:dyDescent="0.25">
      <c r="A1157" s="16" t="s">
        <v>3037</v>
      </c>
      <c r="B1157" s="16" t="s">
        <v>1481</v>
      </c>
    </row>
    <row r="1158" spans="1:2" x14ac:dyDescent="0.25">
      <c r="A1158" s="16" t="s">
        <v>3038</v>
      </c>
      <c r="B1158" s="16" t="s">
        <v>1482</v>
      </c>
    </row>
    <row r="1159" spans="1:2" x14ac:dyDescent="0.25">
      <c r="A1159" s="16" t="s">
        <v>3039</v>
      </c>
      <c r="B1159" s="16" t="s">
        <v>1483</v>
      </c>
    </row>
    <row r="1160" spans="1:2" x14ac:dyDescent="0.25">
      <c r="A1160" s="16" t="s">
        <v>3040</v>
      </c>
      <c r="B1160" s="16" t="s">
        <v>1484</v>
      </c>
    </row>
    <row r="1161" spans="1:2" x14ac:dyDescent="0.25">
      <c r="A1161" s="16" t="s">
        <v>3041</v>
      </c>
      <c r="B1161" s="16" t="s">
        <v>1485</v>
      </c>
    </row>
    <row r="1162" spans="1:2" x14ac:dyDescent="0.25">
      <c r="A1162" s="16" t="s">
        <v>3042</v>
      </c>
      <c r="B1162" s="16" t="s">
        <v>1487</v>
      </c>
    </row>
    <row r="1163" spans="1:2" x14ac:dyDescent="0.25">
      <c r="A1163" s="16" t="s">
        <v>3043</v>
      </c>
      <c r="B1163" s="16" t="s">
        <v>1354</v>
      </c>
    </row>
    <row r="1164" spans="1:2" x14ac:dyDescent="0.25">
      <c r="A1164" s="16" t="s">
        <v>3044</v>
      </c>
      <c r="B1164" s="16" t="s">
        <v>1488</v>
      </c>
    </row>
    <row r="1165" spans="1:2" x14ac:dyDescent="0.25">
      <c r="A1165" s="16" t="s">
        <v>3045</v>
      </c>
      <c r="B1165" s="16" t="s">
        <v>1489</v>
      </c>
    </row>
    <row r="1166" spans="1:2" x14ac:dyDescent="0.25">
      <c r="A1166" s="16" t="s">
        <v>3046</v>
      </c>
      <c r="B1166" s="16" t="s">
        <v>1490</v>
      </c>
    </row>
    <row r="1167" spans="1:2" x14ac:dyDescent="0.25">
      <c r="A1167" s="16" t="s">
        <v>3047</v>
      </c>
      <c r="B1167" s="16" t="s">
        <v>1491</v>
      </c>
    </row>
    <row r="1168" spans="1:2" x14ac:dyDescent="0.25">
      <c r="A1168" s="16" t="s">
        <v>3048</v>
      </c>
      <c r="B1168" s="16" t="s">
        <v>1492</v>
      </c>
    </row>
    <row r="1169" spans="1:2" x14ac:dyDescent="0.25">
      <c r="A1169" s="16" t="s">
        <v>3049</v>
      </c>
      <c r="B1169" s="16" t="s">
        <v>1493</v>
      </c>
    </row>
    <row r="1170" spans="1:2" x14ac:dyDescent="0.25">
      <c r="A1170" s="16" t="s">
        <v>3050</v>
      </c>
      <c r="B1170" s="16" t="s">
        <v>1494</v>
      </c>
    </row>
    <row r="1171" spans="1:2" x14ac:dyDescent="0.25">
      <c r="A1171" s="16" t="s">
        <v>3051</v>
      </c>
      <c r="B1171" s="16" t="s">
        <v>1495</v>
      </c>
    </row>
    <row r="1172" spans="1:2" x14ac:dyDescent="0.25">
      <c r="A1172" s="16" t="s">
        <v>3052</v>
      </c>
      <c r="B1172" s="16" t="s">
        <v>1496</v>
      </c>
    </row>
    <row r="1173" spans="1:2" x14ac:dyDescent="0.25">
      <c r="A1173" s="16" t="s">
        <v>3053</v>
      </c>
      <c r="B1173" s="16" t="s">
        <v>1355</v>
      </c>
    </row>
    <row r="1174" spans="1:2" x14ac:dyDescent="0.25">
      <c r="A1174" s="16" t="s">
        <v>3054</v>
      </c>
      <c r="B1174" s="16" t="s">
        <v>1498</v>
      </c>
    </row>
    <row r="1175" spans="1:2" x14ac:dyDescent="0.25">
      <c r="A1175" s="16" t="s">
        <v>3055</v>
      </c>
      <c r="B1175" s="16" t="s">
        <v>1499</v>
      </c>
    </row>
    <row r="1176" spans="1:2" x14ac:dyDescent="0.25">
      <c r="A1176" s="16" t="s">
        <v>3056</v>
      </c>
      <c r="B1176" s="16" t="s">
        <v>1500</v>
      </c>
    </row>
    <row r="1177" spans="1:2" x14ac:dyDescent="0.25">
      <c r="A1177" s="16" t="s">
        <v>3057</v>
      </c>
      <c r="B1177" s="16" t="s">
        <v>1501</v>
      </c>
    </row>
    <row r="1178" spans="1:2" x14ac:dyDescent="0.25">
      <c r="A1178" s="16" t="s">
        <v>3058</v>
      </c>
      <c r="B1178" s="16" t="s">
        <v>1502</v>
      </c>
    </row>
    <row r="1179" spans="1:2" x14ac:dyDescent="0.25">
      <c r="A1179" s="16" t="s">
        <v>3059</v>
      </c>
      <c r="B1179" s="16" t="s">
        <v>1503</v>
      </c>
    </row>
    <row r="1180" spans="1:2" x14ac:dyDescent="0.25">
      <c r="A1180" s="16" t="s">
        <v>3060</v>
      </c>
      <c r="B1180" s="16" t="s">
        <v>1504</v>
      </c>
    </row>
    <row r="1181" spans="1:2" x14ac:dyDescent="0.25">
      <c r="A1181" s="16" t="s">
        <v>3061</v>
      </c>
      <c r="B1181" s="16" t="s">
        <v>1505</v>
      </c>
    </row>
    <row r="1182" spans="1:2" x14ac:dyDescent="0.25">
      <c r="A1182" s="16" t="s">
        <v>3062</v>
      </c>
      <c r="B1182" s="16" t="s">
        <v>1506</v>
      </c>
    </row>
    <row r="1183" spans="1:2" x14ac:dyDescent="0.25">
      <c r="A1183" s="16" t="s">
        <v>3063</v>
      </c>
      <c r="B1183" s="16" t="s">
        <v>1507</v>
      </c>
    </row>
    <row r="1184" spans="1:2" x14ac:dyDescent="0.25">
      <c r="A1184" s="16" t="s">
        <v>3064</v>
      </c>
      <c r="B1184" s="16" t="s">
        <v>1356</v>
      </c>
    </row>
    <row r="1185" spans="1:2" x14ac:dyDescent="0.25">
      <c r="A1185" s="16" t="s">
        <v>3065</v>
      </c>
      <c r="B1185" s="16" t="s">
        <v>1509</v>
      </c>
    </row>
    <row r="1186" spans="1:2" x14ac:dyDescent="0.25">
      <c r="A1186" s="16" t="s">
        <v>3066</v>
      </c>
      <c r="B1186" s="16" t="s">
        <v>1510</v>
      </c>
    </row>
    <row r="1187" spans="1:2" x14ac:dyDescent="0.25">
      <c r="A1187" s="16" t="s">
        <v>3067</v>
      </c>
      <c r="B1187" s="16" t="s">
        <v>1511</v>
      </c>
    </row>
    <row r="1188" spans="1:2" x14ac:dyDescent="0.25">
      <c r="A1188" s="16" t="s">
        <v>3068</v>
      </c>
      <c r="B1188" s="16" t="s">
        <v>1512</v>
      </c>
    </row>
    <row r="1189" spans="1:2" x14ac:dyDescent="0.25">
      <c r="A1189" s="16" t="s">
        <v>3069</v>
      </c>
      <c r="B1189" s="16" t="s">
        <v>1513</v>
      </c>
    </row>
    <row r="1190" spans="1:2" x14ac:dyDescent="0.25">
      <c r="A1190" s="16" t="s">
        <v>3070</v>
      </c>
      <c r="B1190" s="16" t="s">
        <v>1514</v>
      </c>
    </row>
    <row r="1191" spans="1:2" x14ac:dyDescent="0.25">
      <c r="A1191" s="16" t="s">
        <v>3071</v>
      </c>
      <c r="B1191" s="16" t="s">
        <v>1515</v>
      </c>
    </row>
    <row r="1192" spans="1:2" x14ac:dyDescent="0.25">
      <c r="A1192" s="16" t="s">
        <v>3072</v>
      </c>
      <c r="B1192" s="16" t="s">
        <v>1516</v>
      </c>
    </row>
    <row r="1193" spans="1:2" x14ac:dyDescent="0.25">
      <c r="A1193" s="16" t="s">
        <v>3073</v>
      </c>
      <c r="B1193" s="16" t="s">
        <v>1517</v>
      </c>
    </row>
    <row r="1194" spans="1:2" x14ac:dyDescent="0.25">
      <c r="A1194" s="16" t="s">
        <v>3074</v>
      </c>
      <c r="B1194" s="16" t="s">
        <v>1519</v>
      </c>
    </row>
    <row r="1195" spans="1:2" x14ac:dyDescent="0.25">
      <c r="A1195" s="16" t="s">
        <v>3075</v>
      </c>
      <c r="B1195" s="16" t="s">
        <v>1357</v>
      </c>
    </row>
    <row r="1196" spans="1:2" x14ac:dyDescent="0.25">
      <c r="A1196" s="16" t="s">
        <v>3076</v>
      </c>
      <c r="B1196" s="16" t="s">
        <v>1520</v>
      </c>
    </row>
    <row r="1197" spans="1:2" x14ac:dyDescent="0.25">
      <c r="A1197" s="16" t="s">
        <v>3077</v>
      </c>
      <c r="B1197" s="16" t="s">
        <v>1521</v>
      </c>
    </row>
    <row r="1198" spans="1:2" x14ac:dyDescent="0.25">
      <c r="A1198" s="16" t="s">
        <v>3078</v>
      </c>
      <c r="B1198" s="16" t="s">
        <v>1522</v>
      </c>
    </row>
    <row r="1199" spans="1:2" x14ac:dyDescent="0.25">
      <c r="A1199" s="16" t="s">
        <v>3079</v>
      </c>
      <c r="B1199" s="16" t="s">
        <v>1523</v>
      </c>
    </row>
    <row r="1200" spans="1:2" x14ac:dyDescent="0.25">
      <c r="A1200" s="16" t="s">
        <v>3080</v>
      </c>
      <c r="B1200" s="16" t="s">
        <v>1524</v>
      </c>
    </row>
    <row r="1201" spans="1:2" x14ac:dyDescent="0.25">
      <c r="A1201" s="16" t="s">
        <v>3081</v>
      </c>
      <c r="B1201" s="16" t="s">
        <v>1525</v>
      </c>
    </row>
    <row r="1202" spans="1:2" x14ac:dyDescent="0.25">
      <c r="A1202" s="16" t="s">
        <v>3082</v>
      </c>
      <c r="B1202" s="16" t="s">
        <v>1526</v>
      </c>
    </row>
    <row r="1203" spans="1:2" x14ac:dyDescent="0.25">
      <c r="A1203" s="16" t="s">
        <v>3083</v>
      </c>
      <c r="B1203" s="16" t="s">
        <v>1527</v>
      </c>
    </row>
    <row r="1204" spans="1:2" x14ac:dyDescent="0.25">
      <c r="A1204" s="16" t="s">
        <v>3084</v>
      </c>
      <c r="B1204" s="16" t="s">
        <v>1528</v>
      </c>
    </row>
    <row r="1205" spans="1:2" x14ac:dyDescent="0.25">
      <c r="A1205" s="16" t="s">
        <v>3085</v>
      </c>
      <c r="B1205" s="16" t="s">
        <v>1358</v>
      </c>
    </row>
    <row r="1206" spans="1:2" x14ac:dyDescent="0.25">
      <c r="A1206" s="16" t="s">
        <v>3086</v>
      </c>
      <c r="B1206" s="16" t="s">
        <v>1530</v>
      </c>
    </row>
    <row r="1207" spans="1:2" x14ac:dyDescent="0.25">
      <c r="A1207" s="16" t="s">
        <v>3087</v>
      </c>
      <c r="B1207" s="16" t="s">
        <v>1531</v>
      </c>
    </row>
    <row r="1208" spans="1:2" x14ac:dyDescent="0.25">
      <c r="A1208" s="16" t="s">
        <v>3088</v>
      </c>
      <c r="B1208" s="16" t="s">
        <v>1532</v>
      </c>
    </row>
    <row r="1209" spans="1:2" x14ac:dyDescent="0.25">
      <c r="A1209" s="16" t="s">
        <v>3089</v>
      </c>
      <c r="B1209" s="16" t="s">
        <v>1533</v>
      </c>
    </row>
    <row r="1210" spans="1:2" x14ac:dyDescent="0.25">
      <c r="A1210" s="16" t="s">
        <v>3090</v>
      </c>
      <c r="B1210" s="16" t="s">
        <v>1534</v>
      </c>
    </row>
    <row r="1211" spans="1:2" x14ac:dyDescent="0.25">
      <c r="A1211" s="16" t="s">
        <v>3091</v>
      </c>
      <c r="B1211" s="16" t="s">
        <v>1535</v>
      </c>
    </row>
    <row r="1212" spans="1:2" x14ac:dyDescent="0.25">
      <c r="A1212" s="16" t="s">
        <v>3092</v>
      </c>
      <c r="B1212" s="16" t="s">
        <v>1536</v>
      </c>
    </row>
    <row r="1213" spans="1:2" x14ac:dyDescent="0.25">
      <c r="A1213" s="16" t="s">
        <v>3093</v>
      </c>
      <c r="B1213" s="16" t="s">
        <v>1537</v>
      </c>
    </row>
    <row r="1214" spans="1:2" x14ac:dyDescent="0.25">
      <c r="A1214" s="16" t="s">
        <v>3094</v>
      </c>
      <c r="B1214" s="16" t="s">
        <v>1538</v>
      </c>
    </row>
    <row r="1215" spans="1:2" x14ac:dyDescent="0.25">
      <c r="A1215" s="16" t="s">
        <v>3095</v>
      </c>
      <c r="B1215" s="16" t="s">
        <v>1539</v>
      </c>
    </row>
    <row r="1216" spans="1:2" x14ac:dyDescent="0.25">
      <c r="A1216" s="16" t="s">
        <v>3096</v>
      </c>
      <c r="B1216" s="16" t="s">
        <v>1340</v>
      </c>
    </row>
    <row r="1217" spans="1:2" x14ac:dyDescent="0.25">
      <c r="A1217" s="16" t="s">
        <v>3097</v>
      </c>
      <c r="B1217" s="16" t="s">
        <v>1359</v>
      </c>
    </row>
    <row r="1218" spans="1:2" x14ac:dyDescent="0.25">
      <c r="A1218" s="16" t="s">
        <v>3098</v>
      </c>
      <c r="B1218" s="16" t="s">
        <v>1541</v>
      </c>
    </row>
    <row r="1219" spans="1:2" x14ac:dyDescent="0.25">
      <c r="A1219" s="16" t="s">
        <v>3099</v>
      </c>
      <c r="B1219" s="16" t="s">
        <v>1542</v>
      </c>
    </row>
    <row r="1220" spans="1:2" x14ac:dyDescent="0.25">
      <c r="A1220" s="16" t="s">
        <v>3100</v>
      </c>
      <c r="B1220" s="16" t="s">
        <v>1543</v>
      </c>
    </row>
    <row r="1221" spans="1:2" x14ac:dyDescent="0.25">
      <c r="A1221" s="16" t="s">
        <v>3101</v>
      </c>
      <c r="B1221" s="16" t="s">
        <v>1544</v>
      </c>
    </row>
    <row r="1222" spans="1:2" x14ac:dyDescent="0.25">
      <c r="A1222" s="16" t="s">
        <v>3102</v>
      </c>
      <c r="B1222" s="16" t="s">
        <v>1545</v>
      </c>
    </row>
    <row r="1223" spans="1:2" x14ac:dyDescent="0.25">
      <c r="A1223" s="16" t="s">
        <v>3103</v>
      </c>
      <c r="B1223" s="16" t="s">
        <v>1546</v>
      </c>
    </row>
    <row r="1224" spans="1:2" x14ac:dyDescent="0.25">
      <c r="A1224" s="16" t="s">
        <v>3104</v>
      </c>
      <c r="B1224" s="16" t="s">
        <v>1547</v>
      </c>
    </row>
    <row r="1225" spans="1:2" x14ac:dyDescent="0.25">
      <c r="A1225" s="16" t="s">
        <v>3105</v>
      </c>
      <c r="B1225" s="16" t="s">
        <v>1548</v>
      </c>
    </row>
    <row r="1226" spans="1:2" x14ac:dyDescent="0.25">
      <c r="A1226" s="16" t="s">
        <v>3106</v>
      </c>
      <c r="B1226" s="16" t="s">
        <v>1360</v>
      </c>
    </row>
    <row r="1227" spans="1:2" x14ac:dyDescent="0.25">
      <c r="A1227" s="16" t="s">
        <v>3107</v>
      </c>
      <c r="B1227" s="16" t="s">
        <v>1549</v>
      </c>
    </row>
    <row r="1228" spans="1:2" x14ac:dyDescent="0.25">
      <c r="A1228" s="16" t="s">
        <v>3108</v>
      </c>
      <c r="B1228" s="16" t="s">
        <v>1550</v>
      </c>
    </row>
    <row r="1229" spans="1:2" x14ac:dyDescent="0.25">
      <c r="A1229" s="16" t="s">
        <v>3109</v>
      </c>
      <c r="B1229" s="16" t="s">
        <v>1552</v>
      </c>
    </row>
    <row r="1230" spans="1:2" x14ac:dyDescent="0.25">
      <c r="A1230" s="16" t="s">
        <v>3110</v>
      </c>
      <c r="B1230" s="16" t="s">
        <v>1553</v>
      </c>
    </row>
    <row r="1231" spans="1:2" x14ac:dyDescent="0.25">
      <c r="A1231" s="16" t="s">
        <v>3111</v>
      </c>
      <c r="B1231" s="16" t="s">
        <v>1554</v>
      </c>
    </row>
    <row r="1232" spans="1:2" x14ac:dyDescent="0.25">
      <c r="A1232" s="16" t="s">
        <v>3112</v>
      </c>
      <c r="B1232" s="16" t="s">
        <v>1555</v>
      </c>
    </row>
    <row r="1233" spans="1:2" x14ac:dyDescent="0.25">
      <c r="A1233" s="16" t="s">
        <v>3113</v>
      </c>
      <c r="B1233" s="16" t="s">
        <v>1556</v>
      </c>
    </row>
    <row r="1234" spans="1:2" x14ac:dyDescent="0.25">
      <c r="A1234" s="16" t="s">
        <v>3114</v>
      </c>
      <c r="B1234" s="16" t="s">
        <v>1557</v>
      </c>
    </row>
    <row r="1235" spans="1:2" x14ac:dyDescent="0.25">
      <c r="A1235" s="16" t="s">
        <v>3115</v>
      </c>
      <c r="B1235" s="16" t="s">
        <v>1558</v>
      </c>
    </row>
    <row r="1236" spans="1:2" x14ac:dyDescent="0.25">
      <c r="A1236" s="16" t="s">
        <v>3116</v>
      </c>
      <c r="B1236" s="16" t="s">
        <v>1559</v>
      </c>
    </row>
    <row r="1237" spans="1:2" x14ac:dyDescent="0.25">
      <c r="A1237" s="16" t="s">
        <v>3117</v>
      </c>
      <c r="B1237" s="16" t="s">
        <v>1361</v>
      </c>
    </row>
    <row r="1238" spans="1:2" x14ac:dyDescent="0.25">
      <c r="A1238" s="16" t="s">
        <v>3118</v>
      </c>
      <c r="B1238" s="16" t="s">
        <v>1560</v>
      </c>
    </row>
    <row r="1239" spans="1:2" x14ac:dyDescent="0.25">
      <c r="A1239" s="16" t="s">
        <v>3119</v>
      </c>
      <c r="B1239" s="16" t="s">
        <v>1561</v>
      </c>
    </row>
    <row r="1240" spans="1:2" x14ac:dyDescent="0.25">
      <c r="A1240" s="16" t="s">
        <v>3120</v>
      </c>
      <c r="B1240" s="16" t="s">
        <v>1563</v>
      </c>
    </row>
    <row r="1241" spans="1:2" x14ac:dyDescent="0.25">
      <c r="A1241" s="16" t="s">
        <v>3121</v>
      </c>
      <c r="B1241" s="16" t="s">
        <v>1564</v>
      </c>
    </row>
    <row r="1242" spans="1:2" x14ac:dyDescent="0.25">
      <c r="A1242" s="16" t="s">
        <v>3122</v>
      </c>
      <c r="B1242" s="16" t="s">
        <v>1565</v>
      </c>
    </row>
    <row r="1243" spans="1:2" x14ac:dyDescent="0.25">
      <c r="A1243" s="16" t="s">
        <v>3123</v>
      </c>
      <c r="B1243" s="16" t="s">
        <v>1566</v>
      </c>
    </row>
    <row r="1244" spans="1:2" x14ac:dyDescent="0.25">
      <c r="A1244" s="16" t="s">
        <v>3124</v>
      </c>
      <c r="B1244" s="16" t="s">
        <v>1567</v>
      </c>
    </row>
    <row r="1245" spans="1:2" x14ac:dyDescent="0.25">
      <c r="A1245" s="16" t="s">
        <v>3125</v>
      </c>
      <c r="B1245" s="16" t="s">
        <v>1568</v>
      </c>
    </row>
    <row r="1246" spans="1:2" x14ac:dyDescent="0.25">
      <c r="A1246" s="16" t="s">
        <v>3126</v>
      </c>
      <c r="B1246" s="16" t="s">
        <v>1569</v>
      </c>
    </row>
    <row r="1247" spans="1:2" x14ac:dyDescent="0.25">
      <c r="A1247" s="16" t="s">
        <v>3127</v>
      </c>
      <c r="B1247" s="16" t="s">
        <v>1363</v>
      </c>
    </row>
    <row r="1248" spans="1:2" x14ac:dyDescent="0.25">
      <c r="A1248" s="16" t="s">
        <v>3128</v>
      </c>
      <c r="B1248" s="16" t="s">
        <v>1570</v>
      </c>
    </row>
    <row r="1249" spans="1:2" x14ac:dyDescent="0.25">
      <c r="A1249" s="16" t="s">
        <v>3129</v>
      </c>
      <c r="B1249" s="16" t="s">
        <v>1571</v>
      </c>
    </row>
    <row r="1250" spans="1:2" x14ac:dyDescent="0.25">
      <c r="A1250" s="16" t="s">
        <v>3130</v>
      </c>
      <c r="B1250" s="16" t="s">
        <v>1572</v>
      </c>
    </row>
    <row r="1251" spans="1:2" x14ac:dyDescent="0.25">
      <c r="A1251" s="16" t="s">
        <v>3131</v>
      </c>
      <c r="B1251" s="16" t="s">
        <v>1574</v>
      </c>
    </row>
    <row r="1252" spans="1:2" x14ac:dyDescent="0.25">
      <c r="A1252" s="16" t="s">
        <v>3132</v>
      </c>
      <c r="B1252" s="16" t="s">
        <v>1575</v>
      </c>
    </row>
    <row r="1253" spans="1:2" x14ac:dyDescent="0.25">
      <c r="A1253" s="16" t="s">
        <v>3133</v>
      </c>
      <c r="B1253" s="16" t="s">
        <v>1576</v>
      </c>
    </row>
    <row r="1254" spans="1:2" x14ac:dyDescent="0.25">
      <c r="A1254" s="16" t="s">
        <v>3134</v>
      </c>
      <c r="B1254" s="16" t="s">
        <v>1577</v>
      </c>
    </row>
    <row r="1255" spans="1:2" x14ac:dyDescent="0.25">
      <c r="A1255" s="16" t="s">
        <v>3135</v>
      </c>
      <c r="B1255" s="16" t="s">
        <v>1364</v>
      </c>
    </row>
    <row r="1256" spans="1:2" x14ac:dyDescent="0.25">
      <c r="A1256" s="16" t="s">
        <v>3136</v>
      </c>
      <c r="B1256" s="16" t="s">
        <v>1578</v>
      </c>
    </row>
    <row r="1257" spans="1:2" x14ac:dyDescent="0.25">
      <c r="A1257" s="16" t="s">
        <v>3137</v>
      </c>
      <c r="B1257" s="16" t="s">
        <v>1579</v>
      </c>
    </row>
    <row r="1258" spans="1:2" x14ac:dyDescent="0.25">
      <c r="A1258" s="16" t="s">
        <v>3138</v>
      </c>
      <c r="B1258" s="16" t="s">
        <v>1580</v>
      </c>
    </row>
    <row r="1259" spans="1:2" x14ac:dyDescent="0.25">
      <c r="A1259" s="16" t="s">
        <v>3139</v>
      </c>
      <c r="B1259" s="16" t="s">
        <v>1581</v>
      </c>
    </row>
    <row r="1260" spans="1:2" x14ac:dyDescent="0.25">
      <c r="A1260" s="16" t="s">
        <v>3140</v>
      </c>
      <c r="B1260" s="16" t="s">
        <v>1582</v>
      </c>
    </row>
    <row r="1261" spans="1:2" x14ac:dyDescent="0.25">
      <c r="A1261" s="16" t="s">
        <v>3141</v>
      </c>
      <c r="B1261" s="16" t="s">
        <v>1583</v>
      </c>
    </row>
    <row r="1262" spans="1:2" x14ac:dyDescent="0.25">
      <c r="A1262" s="16" t="s">
        <v>3142</v>
      </c>
      <c r="B1262" s="16" t="s">
        <v>1585</v>
      </c>
    </row>
    <row r="1263" spans="1:2" x14ac:dyDescent="0.25">
      <c r="A1263" s="16" t="s">
        <v>3143</v>
      </c>
      <c r="B1263" s="16" t="s">
        <v>1586</v>
      </c>
    </row>
    <row r="1264" spans="1:2" x14ac:dyDescent="0.25">
      <c r="A1264" s="16" t="s">
        <v>3144</v>
      </c>
      <c r="B1264" s="16" t="s">
        <v>1587</v>
      </c>
    </row>
    <row r="1265" spans="1:2" x14ac:dyDescent="0.25">
      <c r="A1265" s="16" t="s">
        <v>3145</v>
      </c>
      <c r="B1265" s="16" t="s">
        <v>1365</v>
      </c>
    </row>
    <row r="1266" spans="1:2" x14ac:dyDescent="0.25">
      <c r="A1266" s="16" t="s">
        <v>3146</v>
      </c>
      <c r="B1266" s="16" t="s">
        <v>1588</v>
      </c>
    </row>
    <row r="1267" spans="1:2" x14ac:dyDescent="0.25">
      <c r="A1267" s="16" t="s">
        <v>3147</v>
      </c>
      <c r="B1267" s="16" t="s">
        <v>1589</v>
      </c>
    </row>
    <row r="1268" spans="1:2" x14ac:dyDescent="0.25">
      <c r="A1268" s="16" t="s">
        <v>3148</v>
      </c>
      <c r="B1268" s="16" t="s">
        <v>1590</v>
      </c>
    </row>
    <row r="1269" spans="1:2" x14ac:dyDescent="0.25">
      <c r="A1269" s="16" t="s">
        <v>3149</v>
      </c>
      <c r="B1269" s="16" t="s">
        <v>1591</v>
      </c>
    </row>
    <row r="1270" spans="1:2" x14ac:dyDescent="0.25">
      <c r="A1270" s="16" t="s">
        <v>3150</v>
      </c>
      <c r="B1270" s="16" t="s">
        <v>1592</v>
      </c>
    </row>
    <row r="1271" spans="1:2" x14ac:dyDescent="0.25">
      <c r="A1271" s="16" t="s">
        <v>3151</v>
      </c>
      <c r="B1271" s="16" t="s">
        <v>1366</v>
      </c>
    </row>
    <row r="1272" spans="1:2" x14ac:dyDescent="0.25">
      <c r="A1272" s="16" t="s">
        <v>3152</v>
      </c>
      <c r="B1272" s="16" t="s">
        <v>1593</v>
      </c>
    </row>
    <row r="1273" spans="1:2" x14ac:dyDescent="0.25">
      <c r="A1273" s="16" t="s">
        <v>3153</v>
      </c>
      <c r="B1273" s="16" t="s">
        <v>1594</v>
      </c>
    </row>
    <row r="1274" spans="1:2" x14ac:dyDescent="0.25">
      <c r="A1274" s="16" t="s">
        <v>3154</v>
      </c>
      <c r="B1274" s="16" t="s">
        <v>1596</v>
      </c>
    </row>
    <row r="1275" spans="1:2" x14ac:dyDescent="0.25">
      <c r="A1275" s="16" t="s">
        <v>3155</v>
      </c>
      <c r="B1275" s="16" t="s">
        <v>1597</v>
      </c>
    </row>
    <row r="1276" spans="1:2" x14ac:dyDescent="0.25">
      <c r="A1276" s="16" t="s">
        <v>3156</v>
      </c>
      <c r="B1276" s="16" t="s">
        <v>1598</v>
      </c>
    </row>
    <row r="1277" spans="1:2" x14ac:dyDescent="0.25">
      <c r="A1277" s="16" t="s">
        <v>3157</v>
      </c>
      <c r="B1277" s="16" t="s">
        <v>1599</v>
      </c>
    </row>
    <row r="1278" spans="1:2" x14ac:dyDescent="0.25">
      <c r="A1278" s="16" t="s">
        <v>3158</v>
      </c>
      <c r="B1278" s="16" t="s">
        <v>1600</v>
      </c>
    </row>
    <row r="1279" spans="1:2" x14ac:dyDescent="0.25">
      <c r="A1279" s="16" t="s">
        <v>3159</v>
      </c>
      <c r="B1279" s="16" t="s">
        <v>1367</v>
      </c>
    </row>
    <row r="1280" spans="1:2" x14ac:dyDescent="0.25">
      <c r="A1280" s="16" t="s">
        <v>3160</v>
      </c>
      <c r="B1280" s="16" t="s">
        <v>1601</v>
      </c>
    </row>
    <row r="1281" spans="1:2" x14ac:dyDescent="0.25">
      <c r="A1281" s="16" t="s">
        <v>3161</v>
      </c>
      <c r="B1281" s="16" t="s">
        <v>1602</v>
      </c>
    </row>
    <row r="1282" spans="1:2" x14ac:dyDescent="0.25">
      <c r="A1282" s="16" t="s">
        <v>3162</v>
      </c>
      <c r="B1282" s="16" t="s">
        <v>1603</v>
      </c>
    </row>
    <row r="1283" spans="1:2" x14ac:dyDescent="0.25">
      <c r="A1283" s="16" t="s">
        <v>3163</v>
      </c>
      <c r="B1283" s="16" t="s">
        <v>1604</v>
      </c>
    </row>
    <row r="1284" spans="1:2" x14ac:dyDescent="0.25">
      <c r="A1284" s="16" t="s">
        <v>3164</v>
      </c>
      <c r="B1284" s="16" t="s">
        <v>1605</v>
      </c>
    </row>
    <row r="1285" spans="1:2" x14ac:dyDescent="0.25">
      <c r="A1285" s="16" t="s">
        <v>3165</v>
      </c>
      <c r="B1285" s="16" t="s">
        <v>1607</v>
      </c>
    </row>
    <row r="1286" spans="1:2" x14ac:dyDescent="0.25">
      <c r="A1286" s="16" t="s">
        <v>3166</v>
      </c>
      <c r="B1286" s="16" t="s">
        <v>1608</v>
      </c>
    </row>
    <row r="1287" spans="1:2" x14ac:dyDescent="0.25">
      <c r="A1287" s="16" t="s">
        <v>3167</v>
      </c>
      <c r="B1287" s="16" t="s">
        <v>1609</v>
      </c>
    </row>
    <row r="1288" spans="1:2" x14ac:dyDescent="0.25">
      <c r="A1288" s="16" t="s">
        <v>3168</v>
      </c>
      <c r="B1288" s="16" t="s">
        <v>1368</v>
      </c>
    </row>
    <row r="1289" spans="1:2" x14ac:dyDescent="0.25">
      <c r="A1289" s="16" t="s">
        <v>3169</v>
      </c>
      <c r="B1289" s="16" t="s">
        <v>120</v>
      </c>
    </row>
    <row r="1290" spans="1:2" x14ac:dyDescent="0.25">
      <c r="A1290" s="16" t="s">
        <v>3170</v>
      </c>
      <c r="B1290" s="16" t="s">
        <v>108</v>
      </c>
    </row>
    <row r="1291" spans="1:2" x14ac:dyDescent="0.25">
      <c r="A1291" s="16" t="s">
        <v>3171</v>
      </c>
      <c r="B1291" s="16" t="s">
        <v>109</v>
      </c>
    </row>
    <row r="1292" spans="1:2" x14ac:dyDescent="0.25">
      <c r="A1292" s="16" t="s">
        <v>3172</v>
      </c>
      <c r="B1292" s="16" t="s">
        <v>138</v>
      </c>
    </row>
    <row r="1293" spans="1:2" x14ac:dyDescent="0.25">
      <c r="A1293" s="16" t="s">
        <v>3173</v>
      </c>
      <c r="B1293" s="16" t="s">
        <v>1611</v>
      </c>
    </row>
    <row r="1294" spans="1:2" x14ac:dyDescent="0.25">
      <c r="A1294" s="16" t="s">
        <v>3174</v>
      </c>
      <c r="B1294" s="16" t="s">
        <v>1612</v>
      </c>
    </row>
    <row r="1295" spans="1:2" x14ac:dyDescent="0.25">
      <c r="A1295" s="16" t="s">
        <v>3175</v>
      </c>
      <c r="B1295" s="16" t="s">
        <v>1613</v>
      </c>
    </row>
    <row r="1296" spans="1:2" x14ac:dyDescent="0.25">
      <c r="A1296" s="16" t="s">
        <v>3176</v>
      </c>
      <c r="B1296" s="16" t="s">
        <v>1615</v>
      </c>
    </row>
    <row r="1297" spans="1:2" x14ac:dyDescent="0.25">
      <c r="A1297" s="16" t="s">
        <v>3177</v>
      </c>
      <c r="B1297" s="16" t="s">
        <v>1616</v>
      </c>
    </row>
    <row r="1298" spans="1:2" x14ac:dyDescent="0.25">
      <c r="A1298" s="16" t="s">
        <v>3178</v>
      </c>
      <c r="B1298" s="16" t="s">
        <v>1617</v>
      </c>
    </row>
    <row r="1299" spans="1:2" x14ac:dyDescent="0.25">
      <c r="A1299" s="16" t="s">
        <v>3179</v>
      </c>
      <c r="B1299" s="16" t="s">
        <v>1369</v>
      </c>
    </row>
    <row r="1300" spans="1:2" x14ac:dyDescent="0.25">
      <c r="A1300" s="16" t="s">
        <v>3180</v>
      </c>
      <c r="B1300" s="16" t="s">
        <v>1618</v>
      </c>
    </row>
    <row r="1301" spans="1:2" x14ac:dyDescent="0.25">
      <c r="A1301" s="16" t="s">
        <v>3181</v>
      </c>
      <c r="B1301" s="16" t="s">
        <v>1619</v>
      </c>
    </row>
    <row r="1302" spans="1:2" x14ac:dyDescent="0.25">
      <c r="A1302" s="16" t="s">
        <v>3182</v>
      </c>
      <c r="B1302" s="16" t="s">
        <v>1620</v>
      </c>
    </row>
    <row r="1303" spans="1:2" x14ac:dyDescent="0.25">
      <c r="A1303" s="16" t="s">
        <v>3183</v>
      </c>
      <c r="B1303" s="16" t="s">
        <v>1621</v>
      </c>
    </row>
    <row r="1304" spans="1:2" x14ac:dyDescent="0.25">
      <c r="A1304" s="16" t="s">
        <v>3184</v>
      </c>
      <c r="B1304" s="16" t="s">
        <v>1622</v>
      </c>
    </row>
    <row r="1305" spans="1:2" x14ac:dyDescent="0.25">
      <c r="A1305" s="16" t="s">
        <v>3185</v>
      </c>
      <c r="B1305" s="16" t="s">
        <v>1623</v>
      </c>
    </row>
    <row r="1306" spans="1:2" x14ac:dyDescent="0.25">
      <c r="A1306" s="16" t="s">
        <v>3186</v>
      </c>
      <c r="B1306" s="16" t="s">
        <v>1624</v>
      </c>
    </row>
    <row r="1307" spans="1:2" x14ac:dyDescent="0.25">
      <c r="A1307" s="16" t="s">
        <v>3187</v>
      </c>
      <c r="B1307" s="16" t="s">
        <v>1626</v>
      </c>
    </row>
    <row r="1308" spans="1:2" x14ac:dyDescent="0.25">
      <c r="A1308" s="16" t="s">
        <v>3188</v>
      </c>
      <c r="B1308" s="16" t="s">
        <v>1627</v>
      </c>
    </row>
    <row r="1309" spans="1:2" x14ac:dyDescent="0.25">
      <c r="A1309" s="16" t="s">
        <v>3189</v>
      </c>
      <c r="B1309" s="16" t="s">
        <v>1342</v>
      </c>
    </row>
    <row r="1310" spans="1:2" x14ac:dyDescent="0.25">
      <c r="A1310" s="16" t="s">
        <v>3190</v>
      </c>
      <c r="B1310" s="16" t="s">
        <v>1370</v>
      </c>
    </row>
    <row r="1311" spans="1:2" x14ac:dyDescent="0.25">
      <c r="A1311" s="16" t="s">
        <v>3191</v>
      </c>
      <c r="B1311" s="16" t="s">
        <v>1628</v>
      </c>
    </row>
    <row r="1312" spans="1:2" x14ac:dyDescent="0.25">
      <c r="A1312" s="16" t="s">
        <v>3192</v>
      </c>
      <c r="B1312" s="16" t="s">
        <v>1629</v>
      </c>
    </row>
    <row r="1313" spans="1:2" x14ac:dyDescent="0.25">
      <c r="A1313" s="16" t="s">
        <v>3193</v>
      </c>
      <c r="B1313" s="16" t="s">
        <v>1630</v>
      </c>
    </row>
    <row r="1314" spans="1:2" x14ac:dyDescent="0.25">
      <c r="A1314" s="16" t="s">
        <v>3194</v>
      </c>
      <c r="B1314" s="16" t="s">
        <v>1631</v>
      </c>
    </row>
    <row r="1315" spans="1:2" x14ac:dyDescent="0.25">
      <c r="A1315" s="16" t="s">
        <v>3195</v>
      </c>
      <c r="B1315" s="16" t="s">
        <v>1632</v>
      </c>
    </row>
    <row r="1316" spans="1:2" x14ac:dyDescent="0.25">
      <c r="A1316" s="16" t="s">
        <v>3196</v>
      </c>
      <c r="B1316" s="16" t="s">
        <v>1633</v>
      </c>
    </row>
    <row r="1317" spans="1:2" x14ac:dyDescent="0.25">
      <c r="A1317" s="16" t="s">
        <v>3197</v>
      </c>
      <c r="B1317" s="16" t="s">
        <v>1634</v>
      </c>
    </row>
    <row r="1318" spans="1:2" x14ac:dyDescent="0.25">
      <c r="A1318" s="16" t="s">
        <v>3198</v>
      </c>
      <c r="B1318" s="16" t="s">
        <v>1635</v>
      </c>
    </row>
    <row r="1319" spans="1:2" x14ac:dyDescent="0.25">
      <c r="A1319" s="16" t="s">
        <v>3199</v>
      </c>
      <c r="B1319" s="16" t="s">
        <v>1637</v>
      </c>
    </row>
    <row r="1320" spans="1:2" x14ac:dyDescent="0.25">
      <c r="A1320" s="16" t="s">
        <v>3200</v>
      </c>
      <c r="B1320" s="16" t="s">
        <v>1371</v>
      </c>
    </row>
    <row r="1321" spans="1:2" x14ac:dyDescent="0.25">
      <c r="A1321" s="16" t="s">
        <v>3201</v>
      </c>
      <c r="B1321" s="16" t="s">
        <v>1638</v>
      </c>
    </row>
    <row r="1322" spans="1:2" x14ac:dyDescent="0.25">
      <c r="A1322" s="16" t="s">
        <v>3202</v>
      </c>
      <c r="B1322" s="16" t="s">
        <v>1639</v>
      </c>
    </row>
    <row r="1323" spans="1:2" x14ac:dyDescent="0.25">
      <c r="A1323" s="16" t="s">
        <v>3203</v>
      </c>
      <c r="B1323" s="16" t="s">
        <v>1640</v>
      </c>
    </row>
    <row r="1324" spans="1:2" x14ac:dyDescent="0.25">
      <c r="A1324" s="16" t="s">
        <v>3204</v>
      </c>
      <c r="B1324" s="16" t="s">
        <v>1641</v>
      </c>
    </row>
    <row r="1325" spans="1:2" x14ac:dyDescent="0.25">
      <c r="A1325" s="16" t="s">
        <v>3205</v>
      </c>
      <c r="B1325" s="16" t="s">
        <v>1642</v>
      </c>
    </row>
    <row r="1326" spans="1:2" x14ac:dyDescent="0.25">
      <c r="A1326" s="16" t="s">
        <v>3206</v>
      </c>
      <c r="B1326" s="16" t="s">
        <v>1643</v>
      </c>
    </row>
    <row r="1327" spans="1:2" x14ac:dyDescent="0.25">
      <c r="A1327" s="16" t="s">
        <v>3207</v>
      </c>
      <c r="B1327" s="16" t="s">
        <v>1644</v>
      </c>
    </row>
    <row r="1328" spans="1:2" x14ac:dyDescent="0.25">
      <c r="A1328" s="16" t="s">
        <v>3208</v>
      </c>
      <c r="B1328" s="16" t="s">
        <v>1645</v>
      </c>
    </row>
    <row r="1329" spans="1:2" x14ac:dyDescent="0.25">
      <c r="A1329" s="16" t="s">
        <v>3209</v>
      </c>
      <c r="B1329" s="16" t="s">
        <v>237</v>
      </c>
    </row>
    <row r="1330" spans="1:2" x14ac:dyDescent="0.25">
      <c r="A1330" s="16" t="s">
        <v>3210</v>
      </c>
      <c r="B1330" s="16" t="s">
        <v>1372</v>
      </c>
    </row>
    <row r="1331" spans="1:2" x14ac:dyDescent="0.25">
      <c r="A1331" s="16" t="s">
        <v>3211</v>
      </c>
      <c r="B1331" s="16" t="s">
        <v>1647</v>
      </c>
    </row>
    <row r="1332" spans="1:2" x14ac:dyDescent="0.25">
      <c r="A1332" s="16" t="s">
        <v>3212</v>
      </c>
      <c r="B1332" s="16" t="s">
        <v>1648</v>
      </c>
    </row>
    <row r="1333" spans="1:2" x14ac:dyDescent="0.25">
      <c r="A1333" s="16" t="s">
        <v>3213</v>
      </c>
      <c r="B1333" s="16" t="s">
        <v>204</v>
      </c>
    </row>
    <row r="1334" spans="1:2" x14ac:dyDescent="0.25">
      <c r="A1334" s="16" t="s">
        <v>3214</v>
      </c>
      <c r="B1334" s="16" t="s">
        <v>153</v>
      </c>
    </row>
    <row r="1335" spans="1:2" x14ac:dyDescent="0.25">
      <c r="A1335" s="16" t="s">
        <v>3215</v>
      </c>
      <c r="B1335" s="16" t="s">
        <v>1649</v>
      </c>
    </row>
    <row r="1336" spans="1:2" x14ac:dyDescent="0.25">
      <c r="A1336" s="16" t="s">
        <v>3216</v>
      </c>
      <c r="B1336" s="16" t="s">
        <v>1650</v>
      </c>
    </row>
    <row r="1337" spans="1:2" x14ac:dyDescent="0.25">
      <c r="A1337" s="16" t="s">
        <v>3217</v>
      </c>
      <c r="B1337" s="16" t="s">
        <v>1651</v>
      </c>
    </row>
    <row r="1338" spans="1:2" x14ac:dyDescent="0.25">
      <c r="A1338" s="16" t="s">
        <v>3218</v>
      </c>
      <c r="B1338" s="16" t="s">
        <v>1652</v>
      </c>
    </row>
    <row r="1339" spans="1:2" x14ac:dyDescent="0.25">
      <c r="A1339" s="16" t="s">
        <v>3219</v>
      </c>
      <c r="B1339" s="16" t="s">
        <v>1374</v>
      </c>
    </row>
    <row r="1340" spans="1:2" x14ac:dyDescent="0.25">
      <c r="A1340" s="16" t="s">
        <v>3220</v>
      </c>
      <c r="B1340" s="16" t="s">
        <v>1653</v>
      </c>
    </row>
    <row r="1341" spans="1:2" x14ac:dyDescent="0.25">
      <c r="A1341" s="16" t="s">
        <v>3221</v>
      </c>
      <c r="B1341" s="16" t="s">
        <v>1654</v>
      </c>
    </row>
    <row r="1342" spans="1:2" x14ac:dyDescent="0.25">
      <c r="A1342" s="16" t="s">
        <v>3222</v>
      </c>
      <c r="B1342" s="16" t="s">
        <v>1656</v>
      </c>
    </row>
    <row r="1343" spans="1:2" x14ac:dyDescent="0.25">
      <c r="A1343" s="16" t="s">
        <v>3223</v>
      </c>
      <c r="B1343" s="16" t="s">
        <v>1657</v>
      </c>
    </row>
    <row r="1344" spans="1:2" x14ac:dyDescent="0.25">
      <c r="A1344" s="16" t="s">
        <v>3224</v>
      </c>
      <c r="B1344" s="16" t="s">
        <v>1658</v>
      </c>
    </row>
    <row r="1345" spans="1:2" x14ac:dyDescent="0.25">
      <c r="A1345" s="16" t="s">
        <v>3225</v>
      </c>
      <c r="B1345" s="16" t="s">
        <v>1659</v>
      </c>
    </row>
    <row r="1346" spans="1:2" x14ac:dyDescent="0.25">
      <c r="A1346" s="16" t="s">
        <v>3226</v>
      </c>
      <c r="B1346" s="16" t="s">
        <v>110</v>
      </c>
    </row>
    <row r="1347" spans="1:2" x14ac:dyDescent="0.25">
      <c r="A1347" s="16" t="s">
        <v>3227</v>
      </c>
      <c r="B1347" s="16" t="s">
        <v>1660</v>
      </c>
    </row>
    <row r="1348" spans="1:2" x14ac:dyDescent="0.25">
      <c r="A1348" s="16" t="s">
        <v>3228</v>
      </c>
      <c r="B1348" s="16" t="s">
        <v>229</v>
      </c>
    </row>
    <row r="1349" spans="1:2" x14ac:dyDescent="0.25">
      <c r="A1349" s="16" t="s">
        <v>3229</v>
      </c>
      <c r="B1349" s="16" t="s">
        <v>1375</v>
      </c>
    </row>
    <row r="1350" spans="1:2" x14ac:dyDescent="0.25">
      <c r="A1350" s="16" t="s">
        <v>3230</v>
      </c>
      <c r="B1350" s="16" t="s">
        <v>1661</v>
      </c>
    </row>
    <row r="1351" spans="1:2" x14ac:dyDescent="0.25">
      <c r="A1351" s="16" t="s">
        <v>3231</v>
      </c>
      <c r="B1351" s="16" t="s">
        <v>1662</v>
      </c>
    </row>
    <row r="1352" spans="1:2" x14ac:dyDescent="0.25">
      <c r="A1352" s="16" t="s">
        <v>3232</v>
      </c>
      <c r="B1352" s="16" t="s">
        <v>1663</v>
      </c>
    </row>
    <row r="1353" spans="1:2" x14ac:dyDescent="0.25">
      <c r="A1353" s="16" t="s">
        <v>3233</v>
      </c>
      <c r="B1353" s="16" t="s">
        <v>134</v>
      </c>
    </row>
    <row r="1354" spans="1:2" x14ac:dyDescent="0.25">
      <c r="A1354" s="16" t="s">
        <v>3234</v>
      </c>
      <c r="B1354" s="16" t="s">
        <v>135</v>
      </c>
    </row>
    <row r="1355" spans="1:2" x14ac:dyDescent="0.25">
      <c r="A1355" s="16" t="s">
        <v>3235</v>
      </c>
      <c r="B1355" s="16" t="s">
        <v>247</v>
      </c>
    </row>
    <row r="1356" spans="1:2" x14ac:dyDescent="0.25">
      <c r="A1356" s="16" t="s">
        <v>3236</v>
      </c>
      <c r="B1356" s="16" t="s">
        <v>248</v>
      </c>
    </row>
    <row r="1357" spans="1:2" x14ac:dyDescent="0.25">
      <c r="A1357" s="16" t="s">
        <v>3237</v>
      </c>
      <c r="B1357" s="16" t="s">
        <v>249</v>
      </c>
    </row>
    <row r="1358" spans="1:2" x14ac:dyDescent="0.25">
      <c r="A1358" s="16" t="s">
        <v>3238</v>
      </c>
      <c r="B1358" s="16" t="s">
        <v>1376</v>
      </c>
    </row>
    <row r="1359" spans="1:2" x14ac:dyDescent="0.25">
      <c r="A1359" s="16" t="s">
        <v>3239</v>
      </c>
      <c r="B1359" s="16" t="s">
        <v>250</v>
      </c>
    </row>
    <row r="1360" spans="1:2" x14ac:dyDescent="0.25">
      <c r="A1360" s="16" t="s">
        <v>3240</v>
      </c>
      <c r="B1360" s="16" t="s">
        <v>251</v>
      </c>
    </row>
    <row r="1361" spans="1:2" x14ac:dyDescent="0.25">
      <c r="A1361" s="16" t="s">
        <v>3241</v>
      </c>
      <c r="B1361" s="16" t="s">
        <v>252</v>
      </c>
    </row>
    <row r="1362" spans="1:2" x14ac:dyDescent="0.25">
      <c r="A1362" s="16" t="s">
        <v>3242</v>
      </c>
      <c r="B1362" s="16" t="s">
        <v>253</v>
      </c>
    </row>
    <row r="1363" spans="1:2" x14ac:dyDescent="0.25">
      <c r="A1363" s="16" t="s">
        <v>3243</v>
      </c>
      <c r="B1363" s="16" t="s">
        <v>254</v>
      </c>
    </row>
    <row r="1364" spans="1:2" x14ac:dyDescent="0.25">
      <c r="A1364" s="16" t="s">
        <v>3244</v>
      </c>
      <c r="B1364" s="16" t="s">
        <v>256</v>
      </c>
    </row>
    <row r="1365" spans="1:2" x14ac:dyDescent="0.25">
      <c r="A1365" s="16" t="s">
        <v>3245</v>
      </c>
      <c r="B1365" s="16" t="s">
        <v>257</v>
      </c>
    </row>
    <row r="1366" spans="1:2" x14ac:dyDescent="0.25">
      <c r="A1366" s="16" t="s">
        <v>3246</v>
      </c>
      <c r="B1366" s="16" t="s">
        <v>258</v>
      </c>
    </row>
    <row r="1367" spans="1:2" x14ac:dyDescent="0.25">
      <c r="A1367" s="16" t="s">
        <v>3247</v>
      </c>
      <c r="B1367" s="16" t="s">
        <v>1377</v>
      </c>
    </row>
    <row r="1368" spans="1:2" x14ac:dyDescent="0.25">
      <c r="A1368" s="16" t="s">
        <v>3248</v>
      </c>
      <c r="B1368" s="16" t="s">
        <v>259</v>
      </c>
    </row>
    <row r="1369" spans="1:2" x14ac:dyDescent="0.25">
      <c r="A1369" s="16" t="s">
        <v>3249</v>
      </c>
      <c r="B1369" s="16" t="s">
        <v>260</v>
      </c>
    </row>
    <row r="1370" spans="1:2" x14ac:dyDescent="0.25">
      <c r="A1370" s="16" t="s">
        <v>3250</v>
      </c>
      <c r="B1370" s="16" t="s">
        <v>261</v>
      </c>
    </row>
    <row r="1371" spans="1:2" x14ac:dyDescent="0.25">
      <c r="A1371" s="16" t="s">
        <v>3251</v>
      </c>
      <c r="B1371" s="16" t="s">
        <v>262</v>
      </c>
    </row>
    <row r="1372" spans="1:2" x14ac:dyDescent="0.25">
      <c r="A1372" s="16" t="s">
        <v>3252</v>
      </c>
      <c r="B1372" s="16" t="s">
        <v>263</v>
      </c>
    </row>
    <row r="1373" spans="1:2" x14ac:dyDescent="0.25">
      <c r="A1373" s="16" t="s">
        <v>3253</v>
      </c>
      <c r="B1373" s="16" t="s">
        <v>264</v>
      </c>
    </row>
    <row r="1374" spans="1:2" x14ac:dyDescent="0.25">
      <c r="A1374" s="16" t="s">
        <v>3254</v>
      </c>
      <c r="B1374" s="16" t="s">
        <v>265</v>
      </c>
    </row>
    <row r="1375" spans="1:2" x14ac:dyDescent="0.25">
      <c r="A1375" s="16" t="s">
        <v>3255</v>
      </c>
      <c r="B1375" s="16" t="s">
        <v>267</v>
      </c>
    </row>
    <row r="1376" spans="1:2" x14ac:dyDescent="0.25">
      <c r="A1376" s="16" t="s">
        <v>3256</v>
      </c>
      <c r="B1376" s="16" t="s">
        <v>268</v>
      </c>
    </row>
    <row r="1377" spans="1:2" x14ac:dyDescent="0.25">
      <c r="A1377" s="16" t="s">
        <v>3257</v>
      </c>
      <c r="B1377" s="16" t="s">
        <v>1378</v>
      </c>
    </row>
    <row r="1378" spans="1:2" x14ac:dyDescent="0.25">
      <c r="A1378" s="16" t="s">
        <v>3258</v>
      </c>
      <c r="B1378" s="16" t="s">
        <v>269</v>
      </c>
    </row>
    <row r="1379" spans="1:2" x14ac:dyDescent="0.25">
      <c r="A1379" s="16" t="s">
        <v>3259</v>
      </c>
      <c r="B1379" s="16" t="s">
        <v>270</v>
      </c>
    </row>
    <row r="1380" spans="1:2" x14ac:dyDescent="0.25">
      <c r="A1380" s="16" t="s">
        <v>3260</v>
      </c>
      <c r="B1380" s="16" t="s">
        <v>271</v>
      </c>
    </row>
    <row r="1381" spans="1:2" x14ac:dyDescent="0.25">
      <c r="A1381" s="16" t="s">
        <v>3261</v>
      </c>
      <c r="B1381" s="16" t="s">
        <v>272</v>
      </c>
    </row>
    <row r="1382" spans="1:2" x14ac:dyDescent="0.25">
      <c r="A1382" s="16" t="s">
        <v>3262</v>
      </c>
      <c r="B1382" s="16" t="s">
        <v>273</v>
      </c>
    </row>
    <row r="1383" spans="1:2" x14ac:dyDescent="0.25">
      <c r="A1383" s="16" t="s">
        <v>3263</v>
      </c>
      <c r="B1383" s="16" t="s">
        <v>274</v>
      </c>
    </row>
    <row r="1384" spans="1:2" x14ac:dyDescent="0.25">
      <c r="A1384" s="16" t="s">
        <v>3264</v>
      </c>
      <c r="B1384" s="16" t="s">
        <v>275</v>
      </c>
    </row>
    <row r="1385" spans="1:2" x14ac:dyDescent="0.25">
      <c r="A1385" s="16" t="s">
        <v>3265</v>
      </c>
      <c r="B1385" s="16" t="s">
        <v>1379</v>
      </c>
    </row>
    <row r="1386" spans="1:2" x14ac:dyDescent="0.25">
      <c r="A1386" s="16" t="s">
        <v>3266</v>
      </c>
      <c r="B1386" s="16" t="s">
        <v>276</v>
      </c>
    </row>
    <row r="1387" spans="1:2" x14ac:dyDescent="0.25">
      <c r="A1387" s="16" t="s">
        <v>3267</v>
      </c>
      <c r="B1387" s="16" t="s">
        <v>278</v>
      </c>
    </row>
    <row r="1388" spans="1:2" x14ac:dyDescent="0.25">
      <c r="A1388" s="16" t="s">
        <v>3268</v>
      </c>
      <c r="B1388" s="16" t="s">
        <v>279</v>
      </c>
    </row>
    <row r="1389" spans="1:2" x14ac:dyDescent="0.25">
      <c r="A1389" s="16" t="s">
        <v>3269</v>
      </c>
      <c r="B1389" s="16" t="s">
        <v>280</v>
      </c>
    </row>
    <row r="1390" spans="1:2" x14ac:dyDescent="0.25">
      <c r="A1390" s="16" t="s">
        <v>3270</v>
      </c>
      <c r="B1390" s="16" t="s">
        <v>281</v>
      </c>
    </row>
    <row r="1391" spans="1:2" x14ac:dyDescent="0.25">
      <c r="A1391" s="16" t="s">
        <v>3271</v>
      </c>
      <c r="B1391" s="16" t="s">
        <v>282</v>
      </c>
    </row>
    <row r="1392" spans="1:2" x14ac:dyDescent="0.25">
      <c r="A1392" s="16" t="s">
        <v>3272</v>
      </c>
      <c r="B1392" s="16" t="s">
        <v>283</v>
      </c>
    </row>
    <row r="1393" spans="1:2" x14ac:dyDescent="0.25">
      <c r="A1393" s="16" t="s">
        <v>3273</v>
      </c>
      <c r="B1393" s="16" t="s">
        <v>284</v>
      </c>
    </row>
    <row r="1394" spans="1:2" x14ac:dyDescent="0.25">
      <c r="A1394" s="16" t="s">
        <v>3274</v>
      </c>
      <c r="B1394" s="16" t="s">
        <v>1380</v>
      </c>
    </row>
    <row r="1395" spans="1:2" x14ac:dyDescent="0.25">
      <c r="A1395" s="16" t="s">
        <v>3275</v>
      </c>
      <c r="B1395" s="16" t="s">
        <v>285</v>
      </c>
    </row>
    <row r="1396" spans="1:2" x14ac:dyDescent="0.25">
      <c r="A1396" s="16" t="s">
        <v>3276</v>
      </c>
      <c r="B1396" s="16" t="s">
        <v>286</v>
      </c>
    </row>
    <row r="1397" spans="1:2" x14ac:dyDescent="0.25">
      <c r="A1397" s="16" t="s">
        <v>3277</v>
      </c>
      <c r="B1397" s="16" t="s">
        <v>287</v>
      </c>
    </row>
    <row r="1398" spans="1:2" x14ac:dyDescent="0.25">
      <c r="A1398" s="16" t="s">
        <v>3278</v>
      </c>
      <c r="B1398" s="16" t="s">
        <v>289</v>
      </c>
    </row>
    <row r="1399" spans="1:2" x14ac:dyDescent="0.25">
      <c r="A1399" s="16" t="s">
        <v>3279</v>
      </c>
      <c r="B1399" s="16" t="s">
        <v>290</v>
      </c>
    </row>
    <row r="1400" spans="1:2" x14ac:dyDescent="0.25">
      <c r="A1400" s="16" t="s">
        <v>3280</v>
      </c>
      <c r="B1400" s="16" t="s">
        <v>291</v>
      </c>
    </row>
    <row r="1401" spans="1:2" x14ac:dyDescent="0.25">
      <c r="A1401" s="16" t="s">
        <v>3281</v>
      </c>
      <c r="B1401" s="16" t="s">
        <v>292</v>
      </c>
    </row>
    <row r="1402" spans="1:2" x14ac:dyDescent="0.25">
      <c r="A1402" s="16" t="s">
        <v>3282</v>
      </c>
      <c r="B1402" s="16" t="s">
        <v>293</v>
      </c>
    </row>
    <row r="1403" spans="1:2" x14ac:dyDescent="0.25">
      <c r="A1403" s="16" t="s">
        <v>3283</v>
      </c>
      <c r="B1403" s="16" t="s">
        <v>294</v>
      </c>
    </row>
    <row r="1404" spans="1:2" x14ac:dyDescent="0.25">
      <c r="A1404" s="16" t="s">
        <v>3284</v>
      </c>
      <c r="B1404" s="16" t="s">
        <v>295</v>
      </c>
    </row>
    <row r="1405" spans="1:2" x14ac:dyDescent="0.25">
      <c r="A1405" s="16" t="s">
        <v>3285</v>
      </c>
      <c r="B1405" s="16" t="s">
        <v>1343</v>
      </c>
    </row>
    <row r="1406" spans="1:2" x14ac:dyDescent="0.25">
      <c r="A1406" s="16" t="s">
        <v>3286</v>
      </c>
      <c r="B1406" s="16" t="s">
        <v>1381</v>
      </c>
    </row>
    <row r="1407" spans="1:2" x14ac:dyDescent="0.25">
      <c r="A1407" s="16" t="s">
        <v>3287</v>
      </c>
      <c r="B1407" s="16" t="s">
        <v>296</v>
      </c>
    </row>
    <row r="1408" spans="1:2" x14ac:dyDescent="0.25">
      <c r="A1408" s="16" t="s">
        <v>3288</v>
      </c>
      <c r="B1408" s="16" t="s">
        <v>297</v>
      </c>
    </row>
    <row r="1409" spans="1:2" x14ac:dyDescent="0.25">
      <c r="A1409" s="16" t="s">
        <v>3289</v>
      </c>
      <c r="B1409" s="16" t="s">
        <v>298</v>
      </c>
    </row>
    <row r="1410" spans="1:2" x14ac:dyDescent="0.25">
      <c r="A1410" s="16" t="s">
        <v>3290</v>
      </c>
      <c r="B1410" s="16" t="s">
        <v>299</v>
      </c>
    </row>
    <row r="1411" spans="1:2" x14ac:dyDescent="0.25">
      <c r="A1411" s="16" t="s">
        <v>3291</v>
      </c>
      <c r="B1411" s="16" t="s">
        <v>300</v>
      </c>
    </row>
    <row r="1412" spans="1:2" x14ac:dyDescent="0.25">
      <c r="A1412" s="16" t="s">
        <v>3292</v>
      </c>
      <c r="B1412" s="16" t="s">
        <v>301</v>
      </c>
    </row>
    <row r="1413" spans="1:2" x14ac:dyDescent="0.25">
      <c r="A1413" s="16" t="s">
        <v>3293</v>
      </c>
      <c r="B1413" s="16" t="s">
        <v>302</v>
      </c>
    </row>
    <row r="1414" spans="1:2" x14ac:dyDescent="0.25">
      <c r="A1414" s="16" t="s">
        <v>3294</v>
      </c>
      <c r="B1414" s="16" t="s">
        <v>303</v>
      </c>
    </row>
    <row r="1415" spans="1:2" x14ac:dyDescent="0.25">
      <c r="A1415" s="16" t="s">
        <v>3295</v>
      </c>
      <c r="B1415" s="16" t="s">
        <v>304</v>
      </c>
    </row>
    <row r="1416" spans="1:2" x14ac:dyDescent="0.25">
      <c r="A1416" s="16" t="s">
        <v>3296</v>
      </c>
      <c r="B1416" s="16" t="s">
        <v>1382</v>
      </c>
    </row>
    <row r="1417" spans="1:2" x14ac:dyDescent="0.25">
      <c r="A1417" s="16" t="s">
        <v>3297</v>
      </c>
      <c r="B1417" s="16" t="s">
        <v>305</v>
      </c>
    </row>
    <row r="1418" spans="1:2" x14ac:dyDescent="0.25">
      <c r="A1418" s="16" t="s">
        <v>3298</v>
      </c>
      <c r="B1418" s="16" t="s">
        <v>306</v>
      </c>
    </row>
    <row r="1419" spans="1:2" x14ac:dyDescent="0.25">
      <c r="A1419" s="16" t="s">
        <v>3299</v>
      </c>
      <c r="B1419" s="16" t="s">
        <v>307</v>
      </c>
    </row>
    <row r="1420" spans="1:2" x14ac:dyDescent="0.25">
      <c r="A1420" s="16" t="s">
        <v>3300</v>
      </c>
      <c r="B1420" s="16" t="s">
        <v>308</v>
      </c>
    </row>
    <row r="1421" spans="1:2" x14ac:dyDescent="0.25">
      <c r="A1421" s="16" t="s">
        <v>3301</v>
      </c>
      <c r="B1421" s="16" t="s">
        <v>310</v>
      </c>
    </row>
    <row r="1422" spans="1:2" x14ac:dyDescent="0.25">
      <c r="A1422" s="16" t="s">
        <v>3302</v>
      </c>
      <c r="B1422" s="16" t="s">
        <v>311</v>
      </c>
    </row>
    <row r="1423" spans="1:2" x14ac:dyDescent="0.25">
      <c r="A1423" s="16" t="s">
        <v>3303</v>
      </c>
      <c r="B1423" s="16" t="s">
        <v>312</v>
      </c>
    </row>
    <row r="1424" spans="1:2" x14ac:dyDescent="0.25">
      <c r="A1424" s="16" t="s">
        <v>3304</v>
      </c>
      <c r="B1424" s="16" t="s">
        <v>313</v>
      </c>
    </row>
    <row r="1425" spans="1:2" x14ac:dyDescent="0.25">
      <c r="A1425" s="16" t="s">
        <v>3305</v>
      </c>
      <c r="B1425" s="16" t="s">
        <v>1383</v>
      </c>
    </row>
    <row r="1426" spans="1:2" x14ac:dyDescent="0.25">
      <c r="A1426" s="16" t="s">
        <v>3306</v>
      </c>
      <c r="B1426" s="16" t="s">
        <v>314</v>
      </c>
    </row>
    <row r="1427" spans="1:2" x14ac:dyDescent="0.25">
      <c r="A1427" s="16" t="s">
        <v>3307</v>
      </c>
      <c r="B1427" s="16" t="s">
        <v>315</v>
      </c>
    </row>
    <row r="1428" spans="1:2" x14ac:dyDescent="0.25">
      <c r="A1428" s="16" t="s">
        <v>3308</v>
      </c>
      <c r="B1428" s="16" t="s">
        <v>316</v>
      </c>
    </row>
    <row r="1429" spans="1:2" x14ac:dyDescent="0.25">
      <c r="A1429" s="16" t="s">
        <v>3309</v>
      </c>
      <c r="B1429" s="16" t="s">
        <v>317</v>
      </c>
    </row>
    <row r="1430" spans="1:2" x14ac:dyDescent="0.25">
      <c r="A1430" s="16" t="s">
        <v>3310</v>
      </c>
      <c r="B1430" s="16" t="s">
        <v>318</v>
      </c>
    </row>
    <row r="1431" spans="1:2" x14ac:dyDescent="0.25">
      <c r="A1431" s="16" t="s">
        <v>3311</v>
      </c>
      <c r="B1431" s="16" t="s">
        <v>320</v>
      </c>
    </row>
    <row r="1432" spans="1:2" x14ac:dyDescent="0.25">
      <c r="A1432" s="16" t="s">
        <v>3312</v>
      </c>
      <c r="B1432" s="16" t="s">
        <v>321</v>
      </c>
    </row>
    <row r="1433" spans="1:2" x14ac:dyDescent="0.25">
      <c r="A1433" s="16" t="s">
        <v>3313</v>
      </c>
      <c r="B1433" s="16" t="s">
        <v>322</v>
      </c>
    </row>
    <row r="1434" spans="1:2" x14ac:dyDescent="0.25">
      <c r="A1434" s="16" t="s">
        <v>3314</v>
      </c>
      <c r="B1434" s="16" t="s">
        <v>323</v>
      </c>
    </row>
    <row r="1435" spans="1:2" x14ac:dyDescent="0.25">
      <c r="A1435" s="16" t="s">
        <v>3315</v>
      </c>
      <c r="B1435" s="16" t="s">
        <v>324</v>
      </c>
    </row>
    <row r="1436" spans="1:2" x14ac:dyDescent="0.25">
      <c r="A1436" s="16" t="s">
        <v>3316</v>
      </c>
      <c r="B1436" s="16" t="s">
        <v>1385</v>
      </c>
    </row>
    <row r="1437" spans="1:2" x14ac:dyDescent="0.25">
      <c r="A1437" s="16" t="s">
        <v>3317</v>
      </c>
      <c r="B1437" s="16" t="s">
        <v>325</v>
      </c>
    </row>
    <row r="1438" spans="1:2" x14ac:dyDescent="0.25">
      <c r="A1438" s="16" t="s">
        <v>3318</v>
      </c>
      <c r="B1438" s="16" t="s">
        <v>326</v>
      </c>
    </row>
    <row r="1439" spans="1:2" x14ac:dyDescent="0.25">
      <c r="A1439" s="16" t="s">
        <v>3319</v>
      </c>
      <c r="B1439" s="16" t="s">
        <v>327</v>
      </c>
    </row>
    <row r="1440" spans="1:2" x14ac:dyDescent="0.25">
      <c r="A1440" s="16" t="s">
        <v>3320</v>
      </c>
      <c r="B1440" s="16" t="s">
        <v>328</v>
      </c>
    </row>
    <row r="1441" spans="1:2" x14ac:dyDescent="0.25">
      <c r="A1441" s="16" t="s">
        <v>3321</v>
      </c>
      <c r="B1441" s="16" t="s">
        <v>329</v>
      </c>
    </row>
    <row r="1442" spans="1:2" x14ac:dyDescent="0.25">
      <c r="A1442" s="16" t="s">
        <v>3322</v>
      </c>
      <c r="B1442" s="16" t="s">
        <v>330</v>
      </c>
    </row>
    <row r="1443" spans="1:2" x14ac:dyDescent="0.25">
      <c r="A1443" s="16" t="s">
        <v>3323</v>
      </c>
      <c r="B1443" s="16" t="s">
        <v>331</v>
      </c>
    </row>
    <row r="1444" spans="1:2" x14ac:dyDescent="0.25">
      <c r="A1444" s="16" t="s">
        <v>3324</v>
      </c>
      <c r="B1444" s="16" t="s">
        <v>332</v>
      </c>
    </row>
    <row r="1445" spans="1:2" x14ac:dyDescent="0.25">
      <c r="A1445" s="16" t="s">
        <v>3325</v>
      </c>
      <c r="B1445" s="16" t="s">
        <v>1386</v>
      </c>
    </row>
    <row r="1446" spans="1:2" x14ac:dyDescent="0.25">
      <c r="A1446" s="16" t="s">
        <v>3326</v>
      </c>
      <c r="B1446" s="16" t="s">
        <v>333</v>
      </c>
    </row>
    <row r="1447" spans="1:2" x14ac:dyDescent="0.25">
      <c r="A1447" s="16" t="s">
        <v>3327</v>
      </c>
      <c r="B1447" s="16" t="s">
        <v>334</v>
      </c>
    </row>
    <row r="1448" spans="1:2" x14ac:dyDescent="0.25">
      <c r="A1448" s="16" t="s">
        <v>3328</v>
      </c>
      <c r="B1448" s="16" t="s">
        <v>335</v>
      </c>
    </row>
    <row r="1449" spans="1:2" x14ac:dyDescent="0.25">
      <c r="A1449" s="16" t="s">
        <v>3329</v>
      </c>
      <c r="B1449" s="16" t="s">
        <v>336</v>
      </c>
    </row>
    <row r="1450" spans="1:2" x14ac:dyDescent="0.25">
      <c r="A1450" s="16" t="s">
        <v>3330</v>
      </c>
      <c r="B1450" s="16" t="s">
        <v>337</v>
      </c>
    </row>
    <row r="1451" spans="1:2" x14ac:dyDescent="0.25">
      <c r="A1451" s="16" t="s">
        <v>3331</v>
      </c>
      <c r="B1451" s="16" t="s">
        <v>338</v>
      </c>
    </row>
    <row r="1452" spans="1:2" x14ac:dyDescent="0.25">
      <c r="A1452" s="16" t="s">
        <v>3332</v>
      </c>
      <c r="B1452" s="16" t="s">
        <v>339</v>
      </c>
    </row>
    <row r="1453" spans="1:2" x14ac:dyDescent="0.25">
      <c r="A1453" s="16" t="s">
        <v>3333</v>
      </c>
      <c r="B1453" s="16" t="s">
        <v>341</v>
      </c>
    </row>
    <row r="1454" spans="1:2" x14ac:dyDescent="0.25">
      <c r="A1454" s="16" t="s">
        <v>3334</v>
      </c>
      <c r="B1454" s="16" t="s">
        <v>342</v>
      </c>
    </row>
    <row r="1455" spans="1:2" x14ac:dyDescent="0.25">
      <c r="A1455" s="16" t="s">
        <v>3335</v>
      </c>
      <c r="B1455" s="16" t="s">
        <v>1387</v>
      </c>
    </row>
    <row r="1456" spans="1:2" x14ac:dyDescent="0.25">
      <c r="A1456" s="16" t="s">
        <v>3336</v>
      </c>
      <c r="B1456" s="16" t="s">
        <v>343</v>
      </c>
    </row>
    <row r="1457" spans="1:2" x14ac:dyDescent="0.25">
      <c r="A1457" s="16" t="s">
        <v>3337</v>
      </c>
      <c r="B1457" s="16" t="s">
        <v>344</v>
      </c>
    </row>
    <row r="1458" spans="1:2" x14ac:dyDescent="0.25">
      <c r="A1458" s="16" t="s">
        <v>3338</v>
      </c>
      <c r="B1458" s="16" t="s">
        <v>345</v>
      </c>
    </row>
    <row r="1459" spans="1:2" x14ac:dyDescent="0.25">
      <c r="A1459" s="16" t="s">
        <v>3339</v>
      </c>
      <c r="B1459" s="16" t="s">
        <v>346</v>
      </c>
    </row>
    <row r="1460" spans="1:2" x14ac:dyDescent="0.25">
      <c r="A1460" s="16" t="s">
        <v>3340</v>
      </c>
      <c r="B1460" s="16" t="s">
        <v>347</v>
      </c>
    </row>
    <row r="1461" spans="1:2" x14ac:dyDescent="0.25">
      <c r="A1461" s="16" t="s">
        <v>3341</v>
      </c>
      <c r="B1461" s="16" t="s">
        <v>348</v>
      </c>
    </row>
    <row r="1462" spans="1:2" x14ac:dyDescent="0.25">
      <c r="A1462" s="16" t="s">
        <v>3342</v>
      </c>
      <c r="B1462" s="16" t="s">
        <v>349</v>
      </c>
    </row>
    <row r="1463" spans="1:2" x14ac:dyDescent="0.25">
      <c r="A1463" s="16" t="s">
        <v>3343</v>
      </c>
      <c r="B1463" s="16" t="s">
        <v>350</v>
      </c>
    </row>
    <row r="1464" spans="1:2" x14ac:dyDescent="0.25">
      <c r="A1464" s="16" t="s">
        <v>3344</v>
      </c>
      <c r="B1464" s="16" t="s">
        <v>352</v>
      </c>
    </row>
    <row r="1465" spans="1:2" x14ac:dyDescent="0.25">
      <c r="A1465" s="16" t="s">
        <v>3345</v>
      </c>
      <c r="B1465" s="16" t="s">
        <v>353</v>
      </c>
    </row>
    <row r="1466" spans="1:2" x14ac:dyDescent="0.25">
      <c r="A1466" s="16" t="s">
        <v>3346</v>
      </c>
      <c r="B1466" s="16" t="s">
        <v>1388</v>
      </c>
    </row>
    <row r="1467" spans="1:2" x14ac:dyDescent="0.25">
      <c r="A1467" s="16" t="s">
        <v>3347</v>
      </c>
      <c r="B1467" s="16" t="s">
        <v>354</v>
      </c>
    </row>
    <row r="1468" spans="1:2" x14ac:dyDescent="0.25">
      <c r="A1468" s="16" t="s">
        <v>3348</v>
      </c>
      <c r="B1468" s="16" t="s">
        <v>355</v>
      </c>
    </row>
    <row r="1469" spans="1:2" x14ac:dyDescent="0.25">
      <c r="A1469" s="16" t="s">
        <v>3349</v>
      </c>
      <c r="B1469" s="16" t="s">
        <v>356</v>
      </c>
    </row>
    <row r="1470" spans="1:2" x14ac:dyDescent="0.25">
      <c r="A1470" s="16" t="s">
        <v>3350</v>
      </c>
      <c r="B1470" s="16" t="s">
        <v>357</v>
      </c>
    </row>
    <row r="1471" spans="1:2" x14ac:dyDescent="0.25">
      <c r="A1471" s="16" t="s">
        <v>3351</v>
      </c>
      <c r="B1471" s="16" t="s">
        <v>358</v>
      </c>
    </row>
    <row r="1472" spans="1:2" x14ac:dyDescent="0.25">
      <c r="A1472" s="16" t="s">
        <v>3352</v>
      </c>
      <c r="B1472" s="16" t="s">
        <v>359</v>
      </c>
    </row>
    <row r="1473" spans="1:2" x14ac:dyDescent="0.25">
      <c r="A1473" s="16" t="s">
        <v>3353</v>
      </c>
      <c r="B1473" s="16" t="s">
        <v>1389</v>
      </c>
    </row>
    <row r="1474" spans="1:2" x14ac:dyDescent="0.25">
      <c r="A1474" s="16" t="s">
        <v>3354</v>
      </c>
      <c r="B1474" s="16" t="s">
        <v>1390</v>
      </c>
    </row>
    <row r="1475" spans="1:2" x14ac:dyDescent="0.25">
      <c r="A1475" s="16" t="s">
        <v>3355</v>
      </c>
      <c r="B1475" s="16" t="s">
        <v>1391</v>
      </c>
    </row>
    <row r="1476" spans="1:2" x14ac:dyDescent="0.25">
      <c r="A1476" s="16" t="s">
        <v>3356</v>
      </c>
      <c r="B1476" s="16" t="s">
        <v>1344</v>
      </c>
    </row>
    <row r="1477" spans="1:2" x14ac:dyDescent="0.25">
      <c r="A1477" s="16" t="s">
        <v>3357</v>
      </c>
      <c r="B1477" s="16" t="s">
        <v>1392</v>
      </c>
    </row>
    <row r="1478" spans="1:2" x14ac:dyDescent="0.25">
      <c r="A1478" s="16" t="s">
        <v>3358</v>
      </c>
      <c r="B1478" s="16" t="s">
        <v>1393</v>
      </c>
    </row>
    <row r="1479" spans="1:2" x14ac:dyDescent="0.25">
      <c r="A1479" s="16" t="s">
        <v>3359</v>
      </c>
      <c r="B1479" s="16" t="s">
        <v>1394</v>
      </c>
    </row>
    <row r="1480" spans="1:2" x14ac:dyDescent="0.25">
      <c r="A1480" s="16" t="s">
        <v>3360</v>
      </c>
      <c r="B1480" s="16" t="s">
        <v>1396</v>
      </c>
    </row>
    <row r="1481" spans="1:2" x14ac:dyDescent="0.25">
      <c r="A1481" s="16" t="s">
        <v>3361</v>
      </c>
      <c r="B1481" s="16" t="s">
        <v>1397</v>
      </c>
    </row>
    <row r="1482" spans="1:2" x14ac:dyDescent="0.25">
      <c r="A1482" s="16" t="s">
        <v>3362</v>
      </c>
      <c r="B1482" s="16" t="s">
        <v>1398</v>
      </c>
    </row>
    <row r="1483" spans="1:2" x14ac:dyDescent="0.25">
      <c r="A1483" s="16" t="s">
        <v>3363</v>
      </c>
      <c r="B1483" s="16" t="s">
        <v>1399</v>
      </c>
    </row>
    <row r="1484" spans="1:2" x14ac:dyDescent="0.25">
      <c r="A1484" s="16" t="s">
        <v>3364</v>
      </c>
      <c r="B1484" s="16" t="s">
        <v>1400</v>
      </c>
    </row>
    <row r="1485" spans="1:2" x14ac:dyDescent="0.25">
      <c r="A1485" s="16" t="s">
        <v>3365</v>
      </c>
      <c r="B1485" s="16" t="s">
        <v>1401</v>
      </c>
    </row>
    <row r="1486" spans="1:2" x14ac:dyDescent="0.25">
      <c r="A1486" s="16" t="s">
        <v>3366</v>
      </c>
      <c r="B1486" s="16" t="s">
        <v>1345</v>
      </c>
    </row>
    <row r="1487" spans="1:2" x14ac:dyDescent="0.25">
      <c r="A1487" s="16" t="s">
        <v>3367</v>
      </c>
      <c r="B1487" s="16" t="s">
        <v>1402</v>
      </c>
    </row>
    <row r="1488" spans="1:2" x14ac:dyDescent="0.25">
      <c r="A1488" s="16" t="s">
        <v>3368</v>
      </c>
      <c r="B1488" s="16" t="s">
        <v>1403</v>
      </c>
    </row>
    <row r="1489" spans="1:2" x14ac:dyDescent="0.25">
      <c r="A1489" s="16" t="s">
        <v>3369</v>
      </c>
      <c r="B1489" s="16" t="s">
        <v>1404</v>
      </c>
    </row>
    <row r="1490" spans="1:2" x14ac:dyDescent="0.25">
      <c r="A1490" s="16" t="s">
        <v>3370</v>
      </c>
      <c r="B1490" s="16" t="s">
        <v>1405</v>
      </c>
    </row>
    <row r="1491" spans="1:2" x14ac:dyDescent="0.25">
      <c r="A1491" s="16" t="s">
        <v>3371</v>
      </c>
      <c r="B1491" s="16" t="s">
        <v>1406</v>
      </c>
    </row>
    <row r="1492" spans="1:2" x14ac:dyDescent="0.25">
      <c r="A1492" s="16" t="s">
        <v>3372</v>
      </c>
      <c r="B1492" s="16" t="s">
        <v>1407</v>
      </c>
    </row>
    <row r="1493" spans="1:2" x14ac:dyDescent="0.25">
      <c r="A1493" s="16" t="s">
        <v>3373</v>
      </c>
      <c r="B1493" s="16" t="s">
        <v>1408</v>
      </c>
    </row>
    <row r="1494" spans="1:2" x14ac:dyDescent="0.25">
      <c r="A1494" s="16" t="s">
        <v>3374</v>
      </c>
      <c r="B1494" s="16" t="s">
        <v>1409</v>
      </c>
    </row>
    <row r="1495" spans="1:2" x14ac:dyDescent="0.25">
      <c r="A1495" s="16" t="s">
        <v>3375</v>
      </c>
      <c r="B1495" s="16" t="s">
        <v>1410</v>
      </c>
    </row>
    <row r="1496" spans="1:2" x14ac:dyDescent="0.25">
      <c r="A1496" s="16" t="s">
        <v>3376</v>
      </c>
      <c r="B1496" s="16" t="s">
        <v>1346</v>
      </c>
    </row>
    <row r="1497" spans="1:2" x14ac:dyDescent="0.25">
      <c r="A1497" s="16" t="s">
        <v>3377</v>
      </c>
      <c r="B1497" s="16" t="s">
        <v>1411</v>
      </c>
    </row>
    <row r="1498" spans="1:2" x14ac:dyDescent="0.25">
      <c r="A1498" s="16" t="s">
        <v>3378</v>
      </c>
      <c r="B1498" s="16" t="s">
        <v>1412</v>
      </c>
    </row>
    <row r="1499" spans="1:2" x14ac:dyDescent="0.25">
      <c r="A1499" s="16" t="s">
        <v>3379</v>
      </c>
      <c r="B1499" s="16" t="s">
        <v>1413</v>
      </c>
    </row>
    <row r="1500" spans="1:2" x14ac:dyDescent="0.25">
      <c r="A1500" s="16" t="s">
        <v>3380</v>
      </c>
      <c r="B1500" s="16" t="s">
        <v>1414</v>
      </c>
    </row>
    <row r="1501" spans="1:2" x14ac:dyDescent="0.25">
      <c r="A1501" s="16" t="s">
        <v>3381</v>
      </c>
      <c r="B1501" s="16" t="s">
        <v>1415</v>
      </c>
    </row>
    <row r="1502" spans="1:2" x14ac:dyDescent="0.25">
      <c r="A1502" s="16" t="s">
        <v>3382</v>
      </c>
      <c r="B1502" s="16" t="s">
        <v>1416</v>
      </c>
    </row>
    <row r="1503" spans="1:2" x14ac:dyDescent="0.25">
      <c r="A1503" s="16" t="s">
        <v>3383</v>
      </c>
      <c r="B1503" s="16" t="s">
        <v>1417</v>
      </c>
    </row>
    <row r="1504" spans="1:2" x14ac:dyDescent="0.25">
      <c r="A1504" s="16" t="s">
        <v>3384</v>
      </c>
      <c r="B1504" s="16" t="s">
        <v>1418</v>
      </c>
    </row>
    <row r="1505" spans="1:2" x14ac:dyDescent="0.25">
      <c r="A1505" s="16" t="s">
        <v>3385</v>
      </c>
      <c r="B1505" s="16" t="s">
        <v>1419</v>
      </c>
    </row>
    <row r="1506" spans="1:2" x14ac:dyDescent="0.25">
      <c r="A1506" s="16" t="s">
        <v>3386</v>
      </c>
      <c r="B1506" s="16" t="s">
        <v>1420</v>
      </c>
    </row>
    <row r="1507" spans="1:2" x14ac:dyDescent="0.25">
      <c r="A1507" s="16" t="s">
        <v>3387</v>
      </c>
      <c r="B1507" s="16" t="s">
        <v>1347</v>
      </c>
    </row>
    <row r="1508" spans="1:2" x14ac:dyDescent="0.25">
      <c r="A1508" s="16" t="s">
        <v>3388</v>
      </c>
      <c r="B1508" s="16" t="s">
        <v>1421</v>
      </c>
    </row>
    <row r="1509" spans="1:2" x14ac:dyDescent="0.25">
      <c r="A1509" s="16" t="s">
        <v>3389</v>
      </c>
      <c r="B1509" s="16" t="s">
        <v>1422</v>
      </c>
    </row>
    <row r="1510" spans="1:2" x14ac:dyDescent="0.25">
      <c r="A1510" s="16" t="s">
        <v>3390</v>
      </c>
      <c r="B1510" s="16" t="s">
        <v>1423</v>
      </c>
    </row>
    <row r="1511" spans="1:2" x14ac:dyDescent="0.25">
      <c r="A1511" s="16" t="s">
        <v>3391</v>
      </c>
      <c r="B1511" s="16" t="s">
        <v>1424</v>
      </c>
    </row>
    <row r="1512" spans="1:2" x14ac:dyDescent="0.25">
      <c r="A1512" s="16" t="s">
        <v>3392</v>
      </c>
      <c r="B1512" s="16" t="s">
        <v>1425</v>
      </c>
    </row>
    <row r="1513" spans="1:2" x14ac:dyDescent="0.25">
      <c r="A1513" s="16" t="s">
        <v>3393</v>
      </c>
      <c r="B1513" s="16" t="s">
        <v>1426</v>
      </c>
    </row>
    <row r="1514" spans="1:2" x14ac:dyDescent="0.25">
      <c r="A1514" s="16" t="s">
        <v>3394</v>
      </c>
      <c r="B1514" s="16" t="s">
        <v>1427</v>
      </c>
    </row>
    <row r="1515" spans="1:2" x14ac:dyDescent="0.25">
      <c r="A1515" s="16" t="s">
        <v>3395</v>
      </c>
      <c r="B1515" s="16" t="s">
        <v>1428</v>
      </c>
    </row>
    <row r="1516" spans="1:2" x14ac:dyDescent="0.25">
      <c r="A1516" s="16" t="s">
        <v>3396</v>
      </c>
      <c r="B1516" s="16" t="s">
        <v>1429</v>
      </c>
    </row>
    <row r="1517" spans="1:2" x14ac:dyDescent="0.25">
      <c r="A1517" s="16" t="s">
        <v>3397</v>
      </c>
      <c r="B1517" s="16" t="s">
        <v>1430</v>
      </c>
    </row>
    <row r="1518" spans="1:2" x14ac:dyDescent="0.25">
      <c r="A1518" s="16" t="s">
        <v>3398</v>
      </c>
      <c r="B1518" s="16" t="s">
        <v>1348</v>
      </c>
    </row>
    <row r="1519" spans="1:2" x14ac:dyDescent="0.25">
      <c r="A1519" s="16" t="s">
        <v>3399</v>
      </c>
      <c r="B1519" s="16" t="s">
        <v>1431</v>
      </c>
    </row>
    <row r="1520" spans="1:2" x14ac:dyDescent="0.25">
      <c r="A1520" s="16" t="s">
        <v>3400</v>
      </c>
      <c r="B1520" s="16" t="s">
        <v>1432</v>
      </c>
    </row>
    <row r="1521" spans="1:2" x14ac:dyDescent="0.25">
      <c r="A1521" s="16" t="s">
        <v>3401</v>
      </c>
      <c r="B1521" s="16" t="s">
        <v>1433</v>
      </c>
    </row>
    <row r="1522" spans="1:2" x14ac:dyDescent="0.25">
      <c r="A1522" s="16" t="s">
        <v>3402</v>
      </c>
      <c r="B1522" s="16" t="s">
        <v>1434</v>
      </c>
    </row>
    <row r="1523" spans="1:2" x14ac:dyDescent="0.25">
      <c r="A1523" s="16" t="s">
        <v>3403</v>
      </c>
      <c r="B1523" s="16" t="s">
        <v>1436</v>
      </c>
    </row>
    <row r="1524" spans="1:2" x14ac:dyDescent="0.25">
      <c r="A1524" s="16" t="s">
        <v>3404</v>
      </c>
      <c r="B1524" s="16" t="s">
        <v>1437</v>
      </c>
    </row>
    <row r="1525" spans="1:2" x14ac:dyDescent="0.25">
      <c r="A1525" s="16" t="s">
        <v>3405</v>
      </c>
      <c r="B1525" s="16" t="s">
        <v>1438</v>
      </c>
    </row>
    <row r="1526" spans="1:2" x14ac:dyDescent="0.25">
      <c r="A1526" s="16" t="s">
        <v>3406</v>
      </c>
      <c r="B1526" s="16" t="s">
        <v>1439</v>
      </c>
    </row>
    <row r="1527" spans="1:2" x14ac:dyDescent="0.25">
      <c r="A1527" s="16" t="s">
        <v>3407</v>
      </c>
      <c r="B1527" s="16" t="s">
        <v>1440</v>
      </c>
    </row>
  </sheetData>
  <autoFilter ref="D1:E1" xr:uid="{25CF5123-F7F5-47A8-880C-906BA1C86BA6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FD6C-1B5F-45D4-93D9-5B90E2C66A2E}">
  <dimension ref="A1:B5"/>
  <sheetViews>
    <sheetView workbookViewId="0">
      <selection activeCell="B3" sqref="B3"/>
    </sheetView>
  </sheetViews>
  <sheetFormatPr defaultRowHeight="15" x14ac:dyDescent="0.25"/>
  <cols>
    <col min="1" max="1" width="28.140625" bestFit="1" customWidth="1"/>
    <col min="2" max="2" width="140.7109375" customWidth="1"/>
  </cols>
  <sheetData>
    <row r="1" spans="1:2" x14ac:dyDescent="0.25">
      <c r="A1" s="40" t="s">
        <v>64</v>
      </c>
      <c r="B1" s="40" t="s">
        <v>65</v>
      </c>
    </row>
    <row r="2" spans="1:2" ht="105" x14ac:dyDescent="0.25">
      <c r="A2" s="41" t="s">
        <v>66</v>
      </c>
      <c r="B2" s="42" t="s">
        <v>3748</v>
      </c>
    </row>
    <row r="3" spans="1:2" ht="90" x14ac:dyDescent="0.25">
      <c r="A3" s="41" t="s">
        <v>67</v>
      </c>
      <c r="B3" s="42" t="s">
        <v>3749</v>
      </c>
    </row>
    <row r="4" spans="1:2" ht="90" x14ac:dyDescent="0.25">
      <c r="A4" s="41" t="s">
        <v>68</v>
      </c>
      <c r="B4" s="42" t="s">
        <v>3745</v>
      </c>
    </row>
    <row r="5" spans="1:2" ht="75" x14ac:dyDescent="0.25">
      <c r="A5" s="41" t="s">
        <v>69</v>
      </c>
      <c r="B5" s="42" t="s">
        <v>3746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C5B4-2C7E-47CC-8BF0-A01488FA4B96}">
  <dimension ref="A1:I19"/>
  <sheetViews>
    <sheetView workbookViewId="0">
      <selection activeCell="A18" sqref="A18:A19"/>
    </sheetView>
  </sheetViews>
  <sheetFormatPr defaultColWidth="9.140625" defaultRowHeight="15" x14ac:dyDescent="0.25"/>
  <cols>
    <col min="1" max="1" width="23.28515625" style="43" bestFit="1" customWidth="1"/>
    <col min="2" max="2" width="21.140625" style="43" bestFit="1" customWidth="1"/>
    <col min="3" max="3" width="12.42578125" style="43" bestFit="1" customWidth="1"/>
    <col min="4" max="4" width="10.7109375" style="43" bestFit="1" customWidth="1"/>
    <col min="5" max="5" width="79.140625" style="43" bestFit="1" customWidth="1"/>
    <col min="6" max="6" width="9.140625" style="43"/>
    <col min="7" max="7" width="10.85546875" style="43" bestFit="1" customWidth="1"/>
    <col min="8" max="16384" width="9.140625" style="43"/>
  </cols>
  <sheetData>
    <row r="1" spans="1:9" ht="23.25" x14ac:dyDescent="0.35">
      <c r="A1" s="62" t="s">
        <v>70</v>
      </c>
      <c r="B1" s="62"/>
      <c r="C1" s="62"/>
      <c r="D1" s="62"/>
      <c r="E1" s="62"/>
      <c r="I1" s="43" t="s">
        <v>71</v>
      </c>
    </row>
    <row r="2" spans="1:9" ht="20.25" thickBot="1" x14ac:dyDescent="0.35">
      <c r="A2" s="44" t="s">
        <v>72</v>
      </c>
      <c r="B2" s="44" t="s">
        <v>73</v>
      </c>
      <c r="C2" s="44" t="s">
        <v>74</v>
      </c>
      <c r="D2" s="44" t="s">
        <v>75</v>
      </c>
      <c r="E2" s="44" t="s">
        <v>76</v>
      </c>
      <c r="G2" s="45" t="s">
        <v>77</v>
      </c>
      <c r="I2" s="43">
        <v>0</v>
      </c>
    </row>
    <row r="3" spans="1:9" ht="15.75" thickTop="1" x14ac:dyDescent="0.25">
      <c r="A3" s="43" t="s">
        <v>78</v>
      </c>
      <c r="B3" s="43" t="e" cm="1" vm="1">
        <f t="array" ref="B3">_xlfn.LAMBDA(_xlpm.texto,_xlpm.de,_xlpm.para, IF( _xlpm.de = "", _xlpm.texto, AUX_TROCAR( SUBSTITUTE( _xlpm.texto, LEFT( _xlpm.de ), LEFT( _xlpm.para ) ), RIGHT( _xlpm.de, LEN( _xlpm.de ) - 1), RIGHT( _xlpm.para, LEN( _xlpm.para ) - 1 ) ) ) )</f>
        <v>#VALUE!</v>
      </c>
      <c r="C3" s="43">
        <v>1</v>
      </c>
      <c r="D3" s="46">
        <v>44768</v>
      </c>
      <c r="E3" s="47" t="s">
        <v>79</v>
      </c>
      <c r="G3" s="48" t="s">
        <v>80</v>
      </c>
      <c r="I3" s="43">
        <v>1</v>
      </c>
    </row>
    <row r="4" spans="1:9" x14ac:dyDescent="0.25">
      <c r="A4" s="43" t="s">
        <v>81</v>
      </c>
      <c r="B4" s="43" t="e" vm="2">
        <f>_xlfn.LAMBDA(_xlpm.texto, AUX_TROCAR( _xlpm.texto, "áàâãäÁÀÂÃÄéèêëÉÈÊËíìîïÍÌÎÏóòôöÓÒÔÖúùûüÚÙÛÜçÇ&amp;'`´~^ªº", "aaaaaAAAAAeeeeEEEEiiiiIIIIooooOOOOuuuuUUUUcC      ao" ) )</f>
        <v>#VALUE!</v>
      </c>
      <c r="C4" s="43">
        <v>1</v>
      </c>
      <c r="D4" s="46">
        <v>44768</v>
      </c>
      <c r="E4" s="47" t="s">
        <v>82</v>
      </c>
      <c r="G4" s="48" t="s">
        <v>65</v>
      </c>
    </row>
    <row r="5" spans="1:9" x14ac:dyDescent="0.25">
      <c r="A5" s="43" t="s">
        <v>83</v>
      </c>
      <c r="B5" s="43" t="e" cm="1" vm="1">
        <f t="array" ref="B5">_xlfn.LAMBDA(_xlpm.script,_xlpm.chaves,_xlpm.valores, _xlfn.LET(
_xlpm.saida, _xlfn.REDUCE( _xlpm.script, _xlpm.chaves, _xlfn.LAMBDA(_xlpm.A,_xlpm.B, SUBSTITUTE( _xlpm.A, _xlpm.B, _xlfn.XLOOKUP( _xlpm.B, _xlpm.chaves, _xlpm.valores ) ) ) ),
_xlpm.saida
) )</f>
        <v>#VALUE!</v>
      </c>
      <c r="C5" s="43">
        <v>1</v>
      </c>
      <c r="D5" s="46">
        <v>44819</v>
      </c>
      <c r="E5" s="47" t="s">
        <v>84</v>
      </c>
      <c r="G5" s="48" t="s">
        <v>85</v>
      </c>
    </row>
    <row r="6" spans="1:9" x14ac:dyDescent="0.25">
      <c r="D6" s="46"/>
      <c r="E6" s="47"/>
      <c r="G6" s="48" t="s">
        <v>86</v>
      </c>
    </row>
    <row r="7" spans="1:9" x14ac:dyDescent="0.25">
      <c r="D7" s="46"/>
      <c r="E7" s="47"/>
    </row>
    <row r="8" spans="1:9" x14ac:dyDescent="0.25">
      <c r="A8" s="43" t="s">
        <v>87</v>
      </c>
      <c r="B8" s="43" t="e" cm="1" vm="1">
        <f t="array" ref="B8">_xlfn.LAMBDA(_xlpm.data, "'" &amp; TEXT( TRIM( _xlpm.data ), "DD/MM/AAAA" ) &amp; "'" )</f>
        <v>#VALUE!</v>
      </c>
      <c r="C8" s="43">
        <v>1</v>
      </c>
      <c r="D8" s="46">
        <v>44841</v>
      </c>
      <c r="E8" s="47" t="s">
        <v>88</v>
      </c>
    </row>
    <row r="9" spans="1:9" x14ac:dyDescent="0.25">
      <c r="A9" s="43" t="s">
        <v>89</v>
      </c>
      <c r="B9" s="43" t="e" cm="1" vm="2">
        <f t="array" ref="B9">_xlfn.LAMBDA(_xlpm.texto, "'" &amp; UPPER( TRIM( MIG_REMOVE.ESPECIAL( _xlpm.texto ) ) ) &amp; "'" )</f>
        <v>#VALUE!</v>
      </c>
      <c r="C9" s="43">
        <v>1</v>
      </c>
      <c r="D9" s="46">
        <v>44841</v>
      </c>
      <c r="E9" s="47" t="s">
        <v>90</v>
      </c>
    </row>
    <row r="10" spans="1:9" x14ac:dyDescent="0.25">
      <c r="A10" s="43" t="s">
        <v>91</v>
      </c>
      <c r="B10" s="43" t="e" cm="1" vm="1">
        <f t="array" ref="B10">_xlfn.LAMBDA(_xlpm.número, SUBSTITUTE( _xlpm.número, ",", ".") )</f>
        <v>#VALUE!</v>
      </c>
      <c r="C10" s="43">
        <v>1</v>
      </c>
      <c r="D10" s="46">
        <v>44841</v>
      </c>
      <c r="E10" s="47" t="s">
        <v>92</v>
      </c>
    </row>
    <row r="11" spans="1:9" x14ac:dyDescent="0.25">
      <c r="A11" s="43" t="s">
        <v>93</v>
      </c>
      <c r="B11" s="43" t="e" cm="1" vm="1">
        <f t="array" ref="B11">_xlfn.LAMBDA(_xlpm.texto, _xlfn.CONCAT( "'", IFERROR( -- MID( _xlpm.texto, _xlfn.SEQUENCE(LEN( _xlpm.texto ) ), 1 ), "" ), "'"  ) )</f>
        <v>#VALUE!</v>
      </c>
      <c r="C11" s="43">
        <v>1</v>
      </c>
      <c r="D11" s="46">
        <v>44769</v>
      </c>
      <c r="E11" s="47" t="s">
        <v>94</v>
      </c>
    </row>
    <row r="13" spans="1:9" x14ac:dyDescent="0.25">
      <c r="A13" s="43" t="s">
        <v>95</v>
      </c>
      <c r="B13" s="43" t="e" cm="1" vm="1">
        <f t="array" ref="B13">_xlfn.LAMBDA(_xlpm.colunaPK,_xlpm.org,_xlpm.campo,_xlpm.tabela,_xlpm.offset,
_xlfn.LET(
_xlpm.menor, SMALL( _xlpm.colunaPK, _xlpm.offset ),
_xlpm.maior, LARGE( _xlpm.colunaPK, 1 ),
_xlpm.qde, _xlpm.maior - _xlpm.menor + 1,
"/*" &amp; _xlpm.tabela &amp; "*/
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
) )</f>
        <v>#VALUE!</v>
      </c>
      <c r="C13" s="43">
        <v>1</v>
      </c>
      <c r="D13" s="49">
        <v>44847</v>
      </c>
    </row>
    <row r="19" spans="2:2" x14ac:dyDescent="0.25">
      <c r="B19" s="43" t="str" cm="1">
        <f t="array" ref="B19">MIG_NORMA.DECIMAL(A19)</f>
        <v/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Base</vt:lpstr>
      <vt:lpstr>Scripts</vt:lpstr>
      <vt:lpstr>prototipo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APARECIDA DA SILVA</dc:creator>
  <cp:keywords/>
  <dc:description/>
  <cp:lastModifiedBy>Rafael Pickbrenner</cp:lastModifiedBy>
  <cp:revision>3</cp:revision>
  <dcterms:created xsi:type="dcterms:W3CDTF">2022-03-01T21:25:39Z</dcterms:created>
  <dcterms:modified xsi:type="dcterms:W3CDTF">2026-06-23T21:59:39Z</dcterms:modified>
  <cp:category/>
  <cp:contentStatus/>
</cp:coreProperties>
</file>