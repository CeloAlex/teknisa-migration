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761" documentId="13_ncr:4000b_{DDEB1BA5-50EA-4861-968E-553506D3D828}" xr6:coauthVersionLast="47" xr6:coauthVersionMax="47" xr10:uidLastSave="{C89F738D-BC4A-4F59-9EB3-D2CB62EE69BB}"/>
  <bookViews>
    <workbookView xWindow="-3768" yWindow="-13068" windowWidth="23256" windowHeight="12576" tabRatio="500" xr2:uid="{00000000-000D-0000-FFFF-FFFF00000000}"/>
  </bookViews>
  <sheets>
    <sheet name="Dados" sheetId="1" r:id="rId1"/>
    <sheet name="Base" sheetId="3" r:id="rId2"/>
  </sheets>
  <definedNames>
    <definedName name="_xlnm._FilterDatabase" localSheetId="1" hidden="1">Base!$J$1:$N$4</definedName>
    <definedName name="_xlnm._FilterDatabase" localSheetId="0" hidden="1">Dados!$A$2:$C$9</definedName>
    <definedName name="Excel_BuiltIn__FilterDatabase" localSheetId="0">Dados!$A$2:$C$9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F2" i="1"/>
  <c r="P2" i="3" a="1"/>
  <c r="O2" i="1" l="1"/>
  <c r="L18" i="1"/>
  <c r="L20" i="1" s="1"/>
  <c r="L14" i="1"/>
  <c r="L15" i="1" s="1"/>
  <c r="L10" i="1"/>
  <c r="L11" i="1" s="1"/>
  <c r="L4" i="1"/>
  <c r="L6" i="1" s="1"/>
  <c r="S3" i="1" a="1"/>
  <c r="L7" i="1" l="1"/>
  <c r="L19" i="1"/>
  <c r="L5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G9" i="1" l="1"/>
  <c r="G8" i="1"/>
  <c r="G7" i="1"/>
  <c r="G6" i="1"/>
  <c r="G5" i="1"/>
  <c r="G4" i="1"/>
  <c r="G3" i="1"/>
  <c r="H9" i="1"/>
  <c r="H8" i="1"/>
  <c r="H7" i="1"/>
  <c r="H6" i="1"/>
  <c r="H5" i="1"/>
  <c r="H4" i="1"/>
  <c r="W9" i="1"/>
  <c r="Y9" i="1" s="1"/>
  <c r="Y5" i="1"/>
  <c r="AA5" i="1" s="1"/>
  <c r="Y4" i="1"/>
  <c r="Y3" i="1"/>
  <c r="Q3" i="1" a="1"/>
  <c r="AA9" i="1" l="1"/>
  <c r="AA4" i="1"/>
  <c r="AA2" i="1" l="1"/>
  <c r="H3" i="1"/>
  <c r="M3" i="1" a="1"/>
  <c r="P2" i="3" l="1"/>
  <c r="S3" i="1"/>
  <c r="Q3" i="1"/>
  <c r="M3" i="1"/>
  <c r="N3" i="1" a="1"/>
  <c r="U3" i="1" a="1"/>
  <c r="U3" i="1" l="1"/>
  <c r="U2" i="1" s="1"/>
  <c r="F3" i="1" s="1"/>
  <c r="J6" i="1"/>
  <c r="J10" i="1"/>
  <c r="J7" i="1"/>
  <c r="J5" i="1"/>
  <c r="J20" i="1"/>
  <c r="J4" i="1"/>
  <c r="J8" i="1"/>
  <c r="N3" i="1"/>
  <c r="J3" i="1" s="1"/>
  <c r="R3" i="1" a="1"/>
  <c r="T3" i="1" a="1"/>
  <c r="R3" i="1" l="1"/>
  <c r="R2" i="1" s="1"/>
  <c r="O3" i="1" a="1"/>
  <c r="T3" i="1"/>
  <c r="T2" i="1" s="1"/>
  <c r="F4" i="1"/>
  <c r="I3" i="1"/>
  <c r="O3" i="1" l="1"/>
  <c r="F5" i="1"/>
  <c r="I4" i="1"/>
  <c r="P3" i="1" a="1"/>
  <c r="P3" i="1" l="1"/>
  <c r="P2" i="1" s="1"/>
  <c r="F6" i="1"/>
  <c r="I5" i="1"/>
  <c r="F7" i="1" l="1"/>
  <c r="I6" i="1"/>
  <c r="F8" i="1" l="1"/>
  <c r="I7" i="1"/>
  <c r="F9" i="1" l="1"/>
  <c r="I8" i="1"/>
  <c r="F10" i="1" l="1"/>
  <c r="I9" i="1"/>
  <c r="J9" i="1" s="1"/>
  <c r="I10" i="1" l="1"/>
  <c r="F11" i="1"/>
  <c r="I11" i="1" l="1"/>
  <c r="J11" i="1" s="1"/>
  <c r="F12" i="1"/>
  <c r="F13" i="1" l="1"/>
  <c r="I12" i="1"/>
  <c r="J12" i="1" s="1"/>
  <c r="F14" i="1" l="1"/>
  <c r="I13" i="1"/>
  <c r="J13" i="1" s="1"/>
  <c r="F15" i="1" l="1"/>
  <c r="I14" i="1"/>
  <c r="J14" i="1" s="1"/>
  <c r="F16" i="1" l="1"/>
  <c r="I15" i="1"/>
  <c r="J15" i="1" s="1"/>
  <c r="F17" i="1" l="1"/>
  <c r="I16" i="1"/>
  <c r="J16" i="1" s="1"/>
  <c r="F18" i="1" l="1"/>
  <c r="I17" i="1"/>
  <c r="J17" i="1" s="1"/>
  <c r="F19" i="1" l="1"/>
  <c r="I18" i="1"/>
  <c r="J18" i="1" s="1"/>
  <c r="I19" i="1" l="1"/>
  <c r="J19" i="1" s="1"/>
  <c r="F20" i="1"/>
  <c r="F21" i="1" l="1"/>
  <c r="I20" i="1"/>
  <c r="F22" i="1" l="1"/>
  <c r="I21" i="1"/>
  <c r="J21" i="1" s="1"/>
  <c r="F23" i="1" l="1"/>
  <c r="I22" i="1"/>
  <c r="J22" i="1" s="1"/>
  <c r="F24" i="1" l="1"/>
  <c r="I23" i="1"/>
  <c r="J23" i="1" s="1"/>
  <c r="F25" i="1" l="1"/>
  <c r="I24" i="1"/>
  <c r="J24" i="1" s="1"/>
  <c r="F26" i="1" l="1"/>
  <c r="I25" i="1"/>
  <c r="J25" i="1" s="1"/>
  <c r="F27" i="1" l="1"/>
  <c r="I26" i="1"/>
  <c r="J26" i="1" s="1"/>
  <c r="F28" i="1" l="1"/>
  <c r="I27" i="1"/>
  <c r="J27" i="1" s="1"/>
  <c r="F29" i="1" l="1"/>
  <c r="I28" i="1"/>
  <c r="J28" i="1" s="1"/>
  <c r="F30" i="1" l="1"/>
  <c r="I29" i="1"/>
  <c r="J29" i="1" s="1"/>
  <c r="I30" i="1" l="1"/>
  <c r="J30" i="1" s="1"/>
  <c r="W6" i="1"/>
  <c r="Y6" i="1" s="1"/>
  <c r="W7" i="1"/>
  <c r="W8" i="1" l="1"/>
  <c r="Y7" i="1"/>
  <c r="Y8" i="1" l="1"/>
  <c r="Y2" i="1" s="1"/>
  <c r="W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6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  <comment ref="W7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<sst xmlns="http://schemas.openxmlformats.org/spreadsheetml/2006/main" count="469" uniqueCount="356">
  <si>
    <t>→</t>
  </si>
  <si>
    <t>@NROCUPA@</t>
  </si>
  <si>
    <t>ORGANIZAÇÃO</t>
  </si>
  <si>
    <t>@NRALTEOCUPACAO@</t>
  </si>
  <si>
    <t>@VINC@</t>
  </si>
  <si>
    <t>@DTINIOCUPACAO@</t>
  </si>
  <si>
    <t>Nr Vinculo</t>
  </si>
  <si>
    <t>Dt Alteracao</t>
  </si>
  <si>
    <t>Ocupacao</t>
  </si>
  <si>
    <t>NROCUPACAOM</t>
  </si>
  <si>
    <t>NRVINCULOM</t>
  </si>
  <si>
    <t>NRALTEOCUPACAO</t>
  </si>
  <si>
    <t>Atualiza Novo Código</t>
  </si>
  <si>
    <t>COMMIT;</t>
  </si>
  <si>
    <t>Mnemônico</t>
  </si>
  <si>
    <t>Tabela</t>
  </si>
  <si>
    <t>PK</t>
  </si>
  <si>
    <t>Inicio PK</t>
  </si>
  <si>
    <t>Fim PK</t>
  </si>
  <si>
    <t>Quantidade</t>
  </si>
  <si>
    <t>Organização</t>
  </si>
  <si>
    <t>GPE_ALTEOCUPACAO</t>
  </si>
  <si>
    <t>/*Autaliza ou cria o novo codigo*/</t>
  </si>
  <si>
    <t>Script</t>
  </si>
  <si>
    <t>Saída</t>
  </si>
  <si>
    <t>CDMATRICULA</t>
  </si>
  <si>
    <t>DTADMISSAOVINC</t>
  </si>
  <si>
    <t>DTRESCISAOVINC</t>
  </si>
  <si>
    <t>CDINTEGRACAO</t>
  </si>
  <si>
    <t>NMOCUPACAOH</t>
  </si>
  <si>
    <t>Existe vínculo?</t>
  </si>
  <si>
    <t>Existe ocupação?</t>
  </si>
  <si>
    <t>--Busca de PK’s livres</t>
  </si>
  <si>
    <t>--Validações de PK</t>
  </si>
  <si>
    <t>/*Lista de vinculos*/
SELECT
  VM.CDMATRICULA,
  VM.NRVINCULOM,
  VM.DTADMISSAOVINC,
  VM.DTRESCISAOVINC
FROM GPE_VINCULOM VM
JOIN GPE_VINCULOH VH ON VH.NRORG          = VM.NRORG
                    AND VH.NRVINCULOM     = VM.NRVINCULOM
                    AND VH.DTMESCOMPETENC = ( SELECT MAX(DTMESCOMPETENC) FROM GPE_VINCULOH
                                               WHERE NRORG           = VH.NRORG
                                                 AND NRVINCULOM      = VH.NRVINCULOM
                                                 AND DTMESCOMPETENC &lt;= :P_DTMESCOMPETENC )
WHERE VM.NRORG = :P_NRORG
  AND ( TRUNC( VM.DTINCLUSAO, 'DD' ) &gt;= :P_DTMIGTESTE OR :P_DTMIGTESTE IS NULL )
ORDER BY VM.CDMATRICULA;</t>
  </si>
  <si>
    <t>/*Dados Ocupacao*/
SELECT
  OH.CDINTEGRACAO,
  OH.NROCUPACAOM,
  OH.NMOCUPACAOH
FROM GPE_OCUPACAOH OH
WHERE OH.NRORG          = :P_NRORG
  AND OH.DTMESCOMPETENC = ( SELECT MAX(DTMESCOMPETENC) FROM GPE_OCUPACAOH
                            WHERE NRORG          = OH.NRORG
                              AND NROCUPACAOM    = OH.NROCUPACAOM
                              AND DTMESCOMPETENC &lt;= :P_DTMESCOMPETENC)
ORDER BY OH.CDINTEGRACAO;</t>
  </si>
  <si>
    <t>MESC_CDMATRICULA</t>
  </si>
  <si>
    <t>MESC_NRVINCULOM</t>
  </si>
  <si>
    <t>DESCRICAO</t>
  </si>
  <si>
    <t>AUDITORIA</t>
  </si>
  <si>
    <t>CONSULTA</t>
  </si>
  <si>
    <t>Configurações</t>
  </si>
  <si>
    <t>Dados</t>
  </si>
  <si>
    <t>Linhas</t>
  </si>
  <si>
    <t>Matricula</t>
  </si>
  <si>
    <t>Base vinculos</t>
  </si>
  <si>
    <t xml:space="preserve"> </t>
  </si>
  <si>
    <t>Base ocupação</t>
  </si>
  <si>
    <t>Código</t>
  </si>
  <si>
    <t>Existe alteração de ocupação?</t>
  </si>
  <si>
    <t>mesc alteração ocupação</t>
  </si>
  <si>
    <t>Data inicio</t>
  </si>
  <si>
    <t>Verificação de PK / FK</t>
  </si>
  <si>
    <t>Base alteração</t>
  </si>
  <si>
    <t>mesc_matricula</t>
  </si>
  <si>
    <t>Descrição</t>
  </si>
  <si>
    <t>antes da</t>
  </si>
  <si>
    <t>linha 21!</t>
  </si>
  <si>
    <t>Não apagar!</t>
  </si>
  <si>
    <t>/*Alterações de ocupação*/
SELECT
  VM.CDMATRICULA || TO_CHAR( AO.DTINIOCUPACAO, 'DDMMYYYY' ) || OH.CDINTEGRACAO MESC_CDMATRICULA,
  AO.NRVINCULOM  || TO_CHAR( AO.DTINIOCUPACAO, 'DDMMYYYY' ) || OH.CDINTEGRACAO MESC_NRVINCULOM,
  SYSDATE CONSULTA,
  AO.DTINCLUSAO || ': ' || AO.CDOPERINCLUSAO || '; Atualização ' || AO.DTULTATU || ': ' || AO.CDOPERULTATU AUDITORIA,
  VM.NRVINCULOM || ' (' || VM.CDMATRICULA || ') ' || VM.NMVINCULOM || ', ' || TO_CHAR( AO.DTINIOCUPACAO, 'DD/MM/YYYY' ) ||
    ' - ' ||NVL( TO_CHAR( AO.DTFIMOCUPACAO, 'DD/MM/YYYY' ), '&lt;sem final&gt;' ) || ': ' || AO.NROCUPACAOM || ' (' ||
    OH.CDINTEGRACAO || ') ' || OH.NMOCUPACAOH DESCRICAO
FROM GPE_ALTEOCUPACAO AO
JOIN GPE_VINCULOM VM ON VM.NRORG      = AO.NRORG
                    AND VM.NRVINCULOM = AO.NRVINCULOM
JOIN GPE_OCUPACAOH OH ON OH.NRORG          = AO.NRORG
                     AND OH.NROCUPACAOM    = AO.NROCUPACAOM
                     AND OH.DTMESCOMPETENC = ( SELECT MAX(DTMESCOMPETENC) FROM GPE_OCUPACAOH
                                               WHERE NRORG          = OH.NRORG
                                                 AND NROCUPACAOM    = OH.NROCUPACAOM
                                                 AND DTMESCOMPETENC &lt;= :P_DTMESCOMPETENC )
WHERE AO.NRORG = :P_NRORG;</t>
  </si>
  <si>
    <t>INSERT INTO GPE_ALTEOCUPACAO ( NRORG, NRALTEOCUPACAO, NRVINCULOM, DTINIOCUPACAO, NROCUPACAOM, NRTPMODALIDSAL, DSOBSERVACAO, DTINCLUSAO, NRORGINCLUSAO, CDOPERINCLUSAO, NRTIPOOCUPACAO ) VALUES ( @NRORG@, @NRALTEOCUPACAO@, ( SELECT /*MAX(*/NRVINCULOM/*)*/ FROM GPE_VINCULOM WHERE NRORG = @NRORG@ AND CDMATRICULA = '@VINC@' ), '@DTINIOCUPACAO@', ( SELECT MAX(NROCUPACAOM) FROM GPE_OCUPACAOH WHERE NRORG = @NRORG@ AND CDINTEGRACAO = '@NROCUPA@' ), 1, 'Alteracao incluida via migracao realizada em: ' || TO_CHAR(SYSDATE), SYSDATE, @NRORG@, '000000099991', 1 ); COMMIT;</t>
  </si>
  <si>
    <t>Matriculas Duplicadas!</t>
  </si>
  <si>
    <t>500.01.046340010420241005</t>
  </si>
  <si>
    <t>36531010420241005</t>
  </si>
  <si>
    <t>24/06/2026 13:55:57</t>
  </si>
  <si>
    <t>28/05/2024 12:48:45: 000000099991; Atualização : 1</t>
  </si>
  <si>
    <t>36531 (500.01.046340) ABEIR MENDES BORGES, 01/04/2024 - &lt;sem final&gt;: 1005 (1005) * MERENDEIRA</t>
  </si>
  <si>
    <t>003.01.03003504122018475</t>
  </si>
  <si>
    <t>1277704122018475</t>
  </si>
  <si>
    <t>08/11/2023 21:56:59: 000000099991; Atualização : 1</t>
  </si>
  <si>
    <t>12777 (003.01.030035) ABIGAIL DA SILVA GUEDES, 04/12/2018 - &lt;sem final&gt;: 475 (475) * AUX OPERACIONAL</t>
  </si>
  <si>
    <t>003.01.03003501032019475</t>
  </si>
  <si>
    <t>1277701032019475</t>
  </si>
  <si>
    <t>12777 (003.01.030035) ABIGAIL DA SILVA GUEDES, 01/03/2019 - &lt;sem final&gt;: 475 (475) * AUX OPERACIONAL</t>
  </si>
  <si>
    <t>003.01.03003501032021475</t>
  </si>
  <si>
    <t>1277701032021475</t>
  </si>
  <si>
    <t>12777 (003.01.030035) ABIGAIL DA SILVA GUEDES, 01/03/2021 - &lt;sem final&gt;: 475 (475) * AUX OPERACIONAL</t>
  </si>
  <si>
    <t>003.01.03003525042022475</t>
  </si>
  <si>
    <t>1277725042022475</t>
  </si>
  <si>
    <t>12777 (003.01.030035) ABIGAIL DA SILVA GUEDES, 25/04/2022 - &lt;sem final&gt;: 475 (475) * AUX OPERACIONAL</t>
  </si>
  <si>
    <t>003.01.03003528042023475</t>
  </si>
  <si>
    <t>1277728042023475</t>
  </si>
  <si>
    <t>12777 (003.01.030035) ABIGAIL DA SILVA GUEDES, 28/04/2023 - &lt;sem final&gt;: 475 (475) * AUX OPERACIONAL</t>
  </si>
  <si>
    <t>008.01.040970030520211006</t>
  </si>
  <si>
    <t>25810030520211006</t>
  </si>
  <si>
    <t>08/11/2023 21:59:25: 000000099991; Atualização : 1</t>
  </si>
  <si>
    <t>25810 (008.01.040970) ABIGAIL SALVINO, 03/05/2021 - &lt;sem final&gt;: 1006 (1006) INSPETOR DE ALUNOS</t>
  </si>
  <si>
    <t>003.01.04838901112022804</t>
  </si>
  <si>
    <t>1783201112022804</t>
  </si>
  <si>
    <t>08/11/2023 21:57:58: 000000099991; Atualização : 1</t>
  </si>
  <si>
    <t>17832 (003.01.048389) ABNER DA SILVA AMBROSIO, 01/11/2022 - &lt;sem final&gt;: 804 (804) OPERADORA DE TELEATENDIMENTO</t>
  </si>
  <si>
    <t>003.01.04838901032023804</t>
  </si>
  <si>
    <t>1783201032023804</t>
  </si>
  <si>
    <t>17832 (003.01.048389) ABNER DA SILVA AMBROSIO, 01/03/2023 - &lt;sem final&gt;: 804 (804) OPERADORA DE TELEATENDIMENTO</t>
  </si>
  <si>
    <t>001.00.052551180920231155</t>
  </si>
  <si>
    <t>30233180920231155</t>
  </si>
  <si>
    <t>29/04/2024 09:11:43: 000000099991; Atualização : 1</t>
  </si>
  <si>
    <t>30233 (001.00.052551) ABRAAO DE BULHOES OLIVEIRA JUNIOR, 18/09/2023 - &lt;sem final&gt;: 1155 (1155) TECNICO DE MANUTENCAO I</t>
  </si>
  <si>
    <t>001.00.070901061120241511</t>
  </si>
  <si>
    <t>39656061120241511</t>
  </si>
  <si>
    <t>12/05/2025 16:16:19: 000000099991; Atualização : 1</t>
  </si>
  <si>
    <t>39656 (001.00.070901) ABRAAO DE BULHOES OLIVEIRA JUNIOR, 06/11/2024 - &lt;sem final&gt;: 1808 (1511) TECNICO DE MANUTENCAO I*</t>
  </si>
  <si>
    <t>009.01.049879020520231073</t>
  </si>
  <si>
    <t>26791020520231073</t>
  </si>
  <si>
    <t>08/11/2023 21:59:33: 000000099991; Atualização : 1</t>
  </si>
  <si>
    <t>26791 (009.01.049879) ACSA DA CRUZ SOARES, 02/05/2023 - &lt;sem final&gt;: 1073 (1073) * RECEPCIONISTA EXECUTIVO (A)</t>
  </si>
  <si>
    <t>009.01.049879050620231073</t>
  </si>
  <si>
    <t>26791050620231073</t>
  </si>
  <si>
    <t>26791 (009.01.049879) ACSA DA CRUZ SOARES, 05/06/2023 - &lt;sem final&gt;: 1073 (1073) * RECEPCIONISTA EXECUTIVO (A)</t>
  </si>
  <si>
    <t>001.00.052149050920231150</t>
  </si>
  <si>
    <t>30004050920231150</t>
  </si>
  <si>
    <t>29/04/2024 09:11:36: 000000099991; Atualização : 1</t>
  </si>
  <si>
    <t>30004 (001.00.052149) ACSA IVANA ROCHA E SILVA, 05/09/2023 - &lt;sem final&gt;: 1150 (1150) TECNICO DE MANUTENCAO I</t>
  </si>
  <si>
    <t>007.01.057988060820241041</t>
  </si>
  <si>
    <t>38715060820241041</t>
  </si>
  <si>
    <t>26/09/2024 12:27:35: 000000099991; Atualização : 1</t>
  </si>
  <si>
    <t>38715 (007.01.057988) ACUCENA MARQUES RICARDO ALVES DA SILVA, 06/08/2024 - &lt;sem final&gt;: 1041 (1041) RECEPCIONISTA III</t>
  </si>
  <si>
    <t>007.01.05598822042024755</t>
  </si>
  <si>
    <t>3617922042024755</t>
  </si>
  <si>
    <t>28/05/2024 12:47:19: 000000099991; Atualização : 1</t>
  </si>
  <si>
    <t>36179 (007.01.055988) ACUCENA OLIVEIRA DOS SANTOS, 22/04/2024 - &lt;sem final&gt;: 755 (755) AUX DESENV INFANTIL</t>
  </si>
  <si>
    <t>007.01.05598826042024755</t>
  </si>
  <si>
    <t>3617926042024755</t>
  </si>
  <si>
    <t>04/06/2024 11:38:26: 000000099991; Atualização : 1</t>
  </si>
  <si>
    <t>36179 (007.01.055988) ACUCENA OLIVEIRA DOS SANTOS, 26/04/2024 - &lt;sem final&gt;: 755 (755) AUX DESENV INFANTIL</t>
  </si>
  <si>
    <t>007.01.03344024092019755</t>
  </si>
  <si>
    <t>2154324092019755</t>
  </si>
  <si>
    <t>08/11/2023 21:58:41: 000000099991; Atualização : 1</t>
  </si>
  <si>
    <t>21543 (007.01.033440) ADAIANE LOPES DE SOUSA, 24/09/2019 - &lt;sem final&gt;: 755 (755) AUX DESENV INFANTIL</t>
  </si>
  <si>
    <t>007.01.03344001012020755</t>
  </si>
  <si>
    <t>2154301012020755</t>
  </si>
  <si>
    <t>21543 (007.01.033440) ADAIANE LOPES DE SOUSA, 01/01/2020 - &lt;sem final&gt;: 755 (755) AUX DESENV INFANTIL</t>
  </si>
  <si>
    <t>007.01.050016030420231013</t>
  </si>
  <si>
    <t>24720030420231013</t>
  </si>
  <si>
    <t>08/11/2023 21:59:17: 000000099991; Atualização : 1</t>
  </si>
  <si>
    <t>24720 (007.01.050016) ADAILTON OLIVEIRA SANTOS, 03/04/2023 - &lt;sem final&gt;: 1013 (1013) MOTORISTA CARRO LEVE</t>
  </si>
  <si>
    <t>007.01.050016230220241013</t>
  </si>
  <si>
    <t>24720230220241013</t>
  </si>
  <si>
    <t>04/06/2024 11:37:58: 000000099991; Atualização : 1</t>
  </si>
  <si>
    <t>24720 (007.01.050016) ADAILTON OLIVEIRA SANTOS, 23/02/2024 - &lt;sem final&gt;: 1013 (1013) MOTORISTA CARRO LEVE</t>
  </si>
  <si>
    <t>007.01.0518570308202339</t>
  </si>
  <si>
    <t>252280308202339</t>
  </si>
  <si>
    <t>08/11/2023 21:59:19: 000000099991; Atualização : 1</t>
  </si>
  <si>
    <t>25228 (007.01.051857) ADAILTON PEREIRA DE SOUZA, 03/08/2023 - &lt;sem final&gt;: 39 (39) * PORTEIRO</t>
  </si>
  <si>
    <t>007.01.0518572401202439</t>
  </si>
  <si>
    <t>252282401202439</t>
  </si>
  <si>
    <t>29/04/2024 09:13:33: 000000099991; Atualização : 1</t>
  </si>
  <si>
    <t>25228 (007.01.051857) ADAILTON PEREIRA DE SOUZA, 24/01/2024 - &lt;sem final&gt;: 39 (39) * PORTEIRO</t>
  </si>
  <si>
    <t>007.01.0518572604202439</t>
  </si>
  <si>
    <t>252282604202439</t>
  </si>
  <si>
    <t>04/06/2024 11:38:14: 000000099991; Atualização : 1</t>
  </si>
  <si>
    <t>25228 (007.01.051857) ADAILTON PEREIRA DE SOUZA, 26/04/2024 - &lt;sem final&gt;: 39 (39) * PORTEIRO</t>
  </si>
  <si>
    <t>003.01.0342840710201928</t>
  </si>
  <si>
    <t>139260710201928</t>
  </si>
  <si>
    <t>08/11/2023 21:57:15: 000000099991; Atualização : 1</t>
  </si>
  <si>
    <t>13926 (003.01.034284) ADALBERTO COSTA DA SILVA JUNIOR, 07/10/2019 - &lt;sem final&gt;: 28 (28) * MOTORISTA</t>
  </si>
  <si>
    <t>003.01.0342840107202028</t>
  </si>
  <si>
    <t>139260107202028</t>
  </si>
  <si>
    <t>13926 (003.01.034284) ADALBERTO COSTA DA SILVA JUNIOR, 01/07/2020 - &lt;sem final&gt;: 28 (28) * MOTORISTA</t>
  </si>
  <si>
    <t>002.01.057497080720241404</t>
  </si>
  <si>
    <t>37058080720241404</t>
  </si>
  <si>
    <t>26/09/2024 12:26:26: 000000099991; Atualização : 1</t>
  </si>
  <si>
    <t>37058 (002.01.057497) ADALICIA LAURENCO DE FREITAS MOREIRA, 08/07/2024 - &lt;sem final&gt;: 1369 (1404) SERVENTE</t>
  </si>
  <si>
    <t>001.00.053058250920231179</t>
  </si>
  <si>
    <t>30669250920231179</t>
  </si>
  <si>
    <t>29/04/2024 09:11:57: 000000099991; Atualização : 1</t>
  </si>
  <si>
    <t>30669 (001.00.053058) ADALTO LUIZ LIMA, 25/09/2023 - &lt;sem final&gt;: 1179 (1179) TECNICO DE MANUTENCAO II</t>
  </si>
  <si>
    <t>001.00.070724041120241514</t>
  </si>
  <si>
    <t>39476041120241514</t>
  </si>
  <si>
    <t>12/05/2025 16:16:11: 000000099991; Atualização : 1</t>
  </si>
  <si>
    <t>39476 (001.00.070724) ADALTO LUIZ LIMA, 04/11/2024 - &lt;sem final&gt;: 1811 (1514) TECNICO DE MANUTENCAO II*</t>
  </si>
  <si>
    <t>003.01.863751</t>
  </si>
  <si>
    <t>002.01.863595</t>
  </si>
  <si>
    <t>002.01.863761</t>
  </si>
  <si>
    <t>002.01.863875</t>
  </si>
  <si>
    <t>002.01.863948</t>
  </si>
  <si>
    <t>008.01.863941</t>
  </si>
  <si>
    <t>500.01.047929</t>
  </si>
  <si>
    <t>500.01.047950</t>
  </si>
  <si>
    <t>500.01.048025</t>
  </si>
  <si>
    <t>500.01.048056</t>
  </si>
  <si>
    <t>500.01.048074</t>
  </si>
  <si>
    <t>500.01.048091</t>
  </si>
  <si>
    <t>500.01.048110</t>
  </si>
  <si>
    <t>500.01.048128</t>
  </si>
  <si>
    <t>500.01.048153</t>
  </si>
  <si>
    <t>500.01.048169</t>
  </si>
  <si>
    <t>500.01.048187</t>
  </si>
  <si>
    <t>500.01.048211</t>
  </si>
  <si>
    <t>500.01.048235</t>
  </si>
  <si>
    <t>500.01.048255</t>
  </si>
  <si>
    <t>500.01.048279</t>
  </si>
  <si>
    <t>500.01.048303</t>
  </si>
  <si>
    <t>500.01.048320</t>
  </si>
  <si>
    <t>500.01.048336</t>
  </si>
  <si>
    <t>500.01.048352</t>
  </si>
  <si>
    <t>'</t>
  </si>
  <si>
    <t>48299</t>
  </si>
  <si>
    <t>19/06/2026 00:00:00</t>
  </si>
  <si>
    <t>001.00.022310</t>
  </si>
  <si>
    <t>1</t>
  </si>
  <si>
    <t>20/10/2015 00:00:00</t>
  </si>
  <si>
    <t>001.00.027189</t>
  </si>
  <si>
    <t>855</t>
  </si>
  <si>
    <t>15/01/2018 00:00:00</t>
  </si>
  <si>
    <t>001.00.027586</t>
  </si>
  <si>
    <t>2</t>
  </si>
  <si>
    <t>12/03/2018 00:00:00</t>
  </si>
  <si>
    <t>06/12/2018 00:00:00</t>
  </si>
  <si>
    <t>001.00.027609</t>
  </si>
  <si>
    <t>3</t>
  </si>
  <si>
    <t>19/03/2018 00:00:00</t>
  </si>
  <si>
    <t>13/12/2018 00:00:00</t>
  </si>
  <si>
    <t>001.00.027927</t>
  </si>
  <si>
    <t>4</t>
  </si>
  <si>
    <t>22/05/2018 00:00:00</t>
  </si>
  <si>
    <t>15/02/2019 00:00:00</t>
  </si>
  <si>
    <t>001.00.027928</t>
  </si>
  <si>
    <t>5</t>
  </si>
  <si>
    <t>001.00.028074</t>
  </si>
  <si>
    <t>6</t>
  </si>
  <si>
    <t>18/06/2018 00:00:00</t>
  </si>
  <si>
    <t>14/03/2019 00:00:00</t>
  </si>
  <si>
    <t>001.00.028121</t>
  </si>
  <si>
    <t>7</t>
  </si>
  <si>
    <t>25/06/2018 00:00:00</t>
  </si>
  <si>
    <t>21/03/2019 00:00:00</t>
  </si>
  <si>
    <t>001.00.028244</t>
  </si>
  <si>
    <t>8</t>
  </si>
  <si>
    <t>12/07/2018 00:00:00</t>
  </si>
  <si>
    <t>07/04/2019 00:00:00</t>
  </si>
  <si>
    <t>001.00.028329</t>
  </si>
  <si>
    <t>9</t>
  </si>
  <si>
    <t>06/08/2018 00:00:00</t>
  </si>
  <si>
    <t>20/12/2018 00:00:00</t>
  </si>
  <si>
    <t>001.00.028452</t>
  </si>
  <si>
    <t>1115</t>
  </si>
  <si>
    <t>20/08/2018 00:00:00</t>
  </si>
  <si>
    <t>001.00.028579</t>
  </si>
  <si>
    <t>10</t>
  </si>
  <si>
    <t>17/09/2018 00:00:00</t>
  </si>
  <si>
    <t>13/06/2019 00:00:00</t>
  </si>
  <si>
    <t>001.00.028595</t>
  </si>
  <si>
    <t>11</t>
  </si>
  <si>
    <t>24/09/2018 00:00:00</t>
  </si>
  <si>
    <t>20/06/2019 00:00:00</t>
  </si>
  <si>
    <t>001.00.028634</t>
  </si>
  <si>
    <t>12</t>
  </si>
  <si>
    <t>01/10/2018 00:00:00</t>
  </si>
  <si>
    <t>27/06/2019 00:00:00</t>
  </si>
  <si>
    <t>001.00.028635</t>
  </si>
  <si>
    <t>13</t>
  </si>
  <si>
    <t>001.00.028656</t>
  </si>
  <si>
    <t>14</t>
  </si>
  <si>
    <t>02/10/2018 00:00:00</t>
  </si>
  <si>
    <t>28/06/2019 00:00:00</t>
  </si>
  <si>
    <t>001.00.028689</t>
  </si>
  <si>
    <t>15</t>
  </si>
  <si>
    <t>16/10/2018 00:00:00</t>
  </si>
  <si>
    <t>12/07/2019 00:00:00</t>
  </si>
  <si>
    <t>001.00.028702</t>
  </si>
  <si>
    <t>16</t>
  </si>
  <si>
    <t>22/10/2018 00:00:00</t>
  </si>
  <si>
    <t>15/03/2019 00:00:00</t>
  </si>
  <si>
    <t>001.00.028704</t>
  </si>
  <si>
    <t>17</t>
  </si>
  <si>
    <t>19/10/2018 00:00:00</t>
  </si>
  <si>
    <t>15/07/2019 00:00:00</t>
  </si>
  <si>
    <t>001.00.028719</t>
  </si>
  <si>
    <t>18</t>
  </si>
  <si>
    <t>25/10/2018 00:00:00</t>
  </si>
  <si>
    <t>03/12/2018 00:00:00</t>
  </si>
  <si>
    <t>001.00.028729</t>
  </si>
  <si>
    <t>19</t>
  </si>
  <si>
    <t>29/10/2018 00:00:00</t>
  </si>
  <si>
    <t>25/07/2019 00:00:00</t>
  </si>
  <si>
    <t>001.00.028731</t>
  </si>
  <si>
    <t>20</t>
  </si>
  <si>
    <t>01/03/2019 00:00:00</t>
  </si>
  <si>
    <t>001.00.028736</t>
  </si>
  <si>
    <t>21</t>
  </si>
  <si>
    <t>01/11/2018 00:00:00</t>
  </si>
  <si>
    <t>29/04/2019 00:00:00</t>
  </si>
  <si>
    <t>001.00.029749</t>
  </si>
  <si>
    <t>22</t>
  </si>
  <si>
    <t>05/11/2018 00:00:00</t>
  </si>
  <si>
    <t>001.00.029871</t>
  </si>
  <si>
    <t>23</t>
  </si>
  <si>
    <t>12/11/2018 00:00:00</t>
  </si>
  <si>
    <t>08/08/2019 00:00:00</t>
  </si>
  <si>
    <t>001.00.029902</t>
  </si>
  <si>
    <t>24</t>
  </si>
  <si>
    <t>01/02/2019 00:00:00</t>
  </si>
  <si>
    <t>001.00.029926</t>
  </si>
  <si>
    <t>25</t>
  </si>
  <si>
    <t>19/11/2018 00:00:00</t>
  </si>
  <si>
    <t>08/02/2019 00:00:00</t>
  </si>
  <si>
    <t>001.00.029936</t>
  </si>
  <si>
    <t>26</t>
  </si>
  <si>
    <t>100</t>
  </si>
  <si>
    <t>101</t>
  </si>
  <si>
    <t>102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</si>
  <si>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</si>
  <si>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</si>
  <si>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</si>
  <si>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</si>
  <si>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</si>
  <si>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</si>
  <si>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</si>
  <si>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</si>
  <si>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</si>
  <si>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</si>
  <si>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</si>
  <si>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</si>
  <si>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</si>
  <si>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</si>
  <si>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</si>
  <si>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</si>
  <si>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</si>
  <si>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</si>
  <si>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</si>
  <si>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</si>
  <si>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</si>
  <si>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</si>
  <si>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</si>
  <si>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</si>
  <si>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AUX PRODUCAO</t>
  </si>
  <si>
    <t>FERRAMENTEIRO</t>
  </si>
  <si>
    <t>AUX.DE GRAVACAO</t>
  </si>
  <si>
    <t>ASSISTENTE ADMINISTRATIVO</t>
  </si>
  <si>
    <t>CABELEIREIRO</t>
  </si>
  <si>
    <t>MANICURE</t>
  </si>
  <si>
    <t>ASSIST DE FATURAMENTO</t>
  </si>
  <si>
    <t>PROFESSOR DE DANÇA</t>
  </si>
  <si>
    <t>* MERENDEIRA</t>
  </si>
  <si>
    <t>INSPETOR DE ALUNOS</t>
  </si>
  <si>
    <t>ANALISTAS DE CONTRATOS</t>
  </si>
  <si>
    <t>RODOTREM</t>
  </si>
  <si>
    <t>TRABALHADOR DO CAMPO</t>
  </si>
  <si>
    <t>DIGITADOR (A)</t>
  </si>
  <si>
    <t>TÉCNICO AGROPECUÁRIO</t>
  </si>
  <si>
    <t>COORDENADOR I</t>
  </si>
  <si>
    <t>FAZEDOR DE CERCA</t>
  </si>
  <si>
    <t>MOTORISTA CARRO LEVE</t>
  </si>
  <si>
    <t>MOTORISTA CARRO LEVE EXEC</t>
  </si>
  <si>
    <t>MOTORISTA VEICULO PESADO</t>
  </si>
  <si>
    <t>AUDITOR</t>
  </si>
  <si>
    <t>AUXILIAR DE VETERINÁRIO</t>
  </si>
  <si>
    <t>COORD DEPTO PESSOAL</t>
  </si>
  <si>
    <t>NUTRICIONISTA SUPERVISORA</t>
  </si>
  <si>
    <t>ELET.INSTALACAO</t>
  </si>
  <si>
    <t>CABO DE TURMA</t>
  </si>
  <si>
    <t>AUXILIAR DE ESTOQUE</t>
  </si>
  <si>
    <t>AGENTE ADMINISTRATIVO</t>
  </si>
  <si>
    <t>RECEPCIONISTA II</t>
  </si>
  <si>
    <t>Não apagar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</si>
</sst>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indexed="30"/>
      <name val="Calibri"/>
      <family val="2"/>
      <scheme val="minor"/>
    </font>
    <font>
      <b/>
      <sz val="8"/>
      <color indexed="57"/>
      <name val="Calibri"/>
      <family val="2"/>
      <scheme val="minor"/>
    </font>
    <font>
      <sz val="8"/>
      <name val="Calibri"/>
      <family val="2"/>
      <scheme val="minor"/>
    </font>
    <font>
      <b/>
      <sz val="8"/>
      <color indexed="10"/>
      <name val="Calibri"/>
      <family val="2"/>
      <scheme val="minor"/>
    </font>
    <font>
      <sz val="8"/>
      <color indexed="6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color indexed="1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EEEEEE"/>
        <bgColor rgb="FFFFFFCC"/>
      </patternFill>
    </fill>
    <fill>
      <patternFill patternType="solid">
        <fgColor rgb="FFEEEEEE"/>
        <bgColor rgb="FFFFFFD7"/>
      </patternFill>
    </fill>
    <fill>
      <patternFill patternType="solid">
        <fgColor rgb="FFEEEEEE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rgb="FFFFC8C8"/>
        <bgColor indexed="26"/>
      </patternFill>
    </fill>
    <fill>
      <patternFill patternType="solid">
        <fgColor rgb="FFFFC8C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56">
    <xf numFmtId="0" fontId="0" fillId="0" borderId="0" xfId="0"/>
    <xf numFmtId="49" fontId="3" fillId="2" borderId="0" xfId="0" applyNumberFormat="1" applyFont="1" applyFill="1"/>
    <xf numFmtId="0" fontId="6" fillId="0" borderId="0" xfId="0" applyFont="1"/>
    <xf numFmtId="49" fontId="3" fillId="0" borderId="0" xfId="0" applyNumberFormat="1" applyFont="1"/>
    <xf numFmtId="0" fontId="9" fillId="0" borderId="0" xfId="0" applyFont="1"/>
    <xf numFmtId="0" fontId="13" fillId="0" borderId="0" xfId="0" applyFont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/>
    <xf numFmtId="0" fontId="1" fillId="0" borderId="0" xfId="2" applyFont="1" applyAlignment="1">
      <alignment horizontal="right"/>
    </xf>
    <xf numFmtId="0" fontId="6" fillId="4" borderId="0" xfId="0" quotePrefix="1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center" vertical="center" wrapText="1"/>
    </xf>
    <xf numFmtId="49" fontId="9" fillId="0" borderId="0" xfId="0" applyNumberFormat="1" applyFont="1"/>
    <xf numFmtId="0" fontId="3" fillId="6" borderId="0" xfId="0" applyFont="1" applyFill="1" applyAlignment="1">
      <alignment horizontal="center"/>
    </xf>
    <xf numFmtId="0" fontId="6" fillId="6" borderId="0" xfId="0" applyFont="1" applyFill="1"/>
    <xf numFmtId="0" fontId="6" fillId="6" borderId="0" xfId="0" applyFont="1" applyFill="1" applyAlignment="1">
      <alignment vertical="top" wrapText="1"/>
    </xf>
    <xf numFmtId="0" fontId="20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7" borderId="0" xfId="0" applyFont="1" applyFill="1"/>
    <xf numFmtId="49" fontId="4" fillId="7" borderId="0" xfId="0" applyNumberFormat="1" applyFont="1" applyFill="1" applyAlignment="1">
      <alignment horizontal="center"/>
    </xf>
    <xf numFmtId="0" fontId="5" fillId="7" borderId="0" xfId="0" applyFont="1" applyFill="1"/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6" fillId="7" borderId="0" xfId="0" applyFont="1" applyFill="1" applyAlignment="1">
      <alignment wrapText="1"/>
    </xf>
    <xf numFmtId="0" fontId="8" fillId="7" borderId="0" xfId="0" applyFont="1" applyFill="1"/>
    <xf numFmtId="0" fontId="6" fillId="8" borderId="0" xfId="0" applyFont="1" applyFill="1" applyAlignment="1">
      <alignment horizontal="center"/>
    </xf>
    <xf numFmtId="0" fontId="6" fillId="8" borderId="0" xfId="0" applyFont="1" applyFill="1" applyAlignment="1">
      <alignment wrapText="1"/>
    </xf>
    <xf numFmtId="0" fontId="6" fillId="8" borderId="0" xfId="0" applyFont="1" applyFill="1"/>
    <xf numFmtId="0" fontId="6" fillId="9" borderId="0" xfId="0" applyFont="1" applyFill="1"/>
    <xf numFmtId="0" fontId="18" fillId="10" borderId="0" xfId="0" quotePrefix="1" applyFont="1" applyFill="1" applyAlignment="1">
      <alignment horizontal="center" vertical="center" wrapText="1"/>
    </xf>
    <xf numFmtId="0" fontId="6" fillId="10" borderId="0" xfId="0" applyFont="1" applyFill="1" applyAlignment="1">
      <alignment vertical="top" wrapText="1"/>
    </xf>
    <xf numFmtId="0" fontId="11" fillId="11" borderId="0" xfId="0" applyFont="1" applyFill="1" applyAlignment="1">
      <alignment horizontal="center" vertical="center" wrapText="1"/>
    </xf>
    <xf numFmtId="0" fontId="3" fillId="11" borderId="0" xfId="0" applyFont="1" applyFill="1"/>
    <xf numFmtId="49" fontId="9" fillId="12" borderId="0" xfId="0" applyNumberFormat="1" applyFont="1" applyFill="1"/>
    <xf numFmtId="49" fontId="19" fillId="0" borderId="0" xfId="0" applyNumberFormat="1" applyFont="1"/>
    <xf numFmtId="0" fontId="6" fillId="13" borderId="0" xfId="0" applyFont="1" applyFill="1" applyAlignment="1">
      <alignment wrapText="1"/>
    </xf>
    <xf numFmtId="49" fontId="0" fillId="12" borderId="0" xfId="0" applyNumberFormat="1" applyFill="1"/>
    <xf numFmtId="164" fontId="6" fillId="0" borderId="0" xfId="0" applyNumberFormat="1" applyFont="1"/>
    <xf numFmtId="49" fontId="1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14" fontId="0" fillId="0" borderId="0" xfId="0" applyNumberFormat="1"/>
    <xf numFmtId="49" fontId="6" fillId="12" borderId="0" xfId="0" applyNumberFormat="1" applyFont="1" applyFill="1"/>
    <xf numFmtId="0" fontId="21" fillId="0" borderId="0" xfId="0" applyFont="1" applyAlignment="1">
      <alignment horizontal="center" vertical="center" wrapText="1"/>
    </xf>
    <xf numFmtId="0" fontId="6" fillId="14" borderId="0" xfId="0" applyFont="1" applyFill="1"/>
    <xf numFmtId="0" fontId="3" fillId="14" borderId="0" xfId="0" applyFont="1" applyFill="1"/>
    <xf numFmtId="0" fontId="22" fillId="14" borderId="0" xfId="0" applyFont="1" applyFill="1" applyAlignment="1">
      <alignment horizontal="center"/>
    </xf>
    <xf numFmtId="0" fontId="6" fillId="15" borderId="0" xfId="0" applyFont="1" applyFill="1"/>
    <xf numFmtId="0" fontId="6" fillId="15" borderId="0" xfId="0" applyFont="1" applyFill="1" applyAlignment="1">
      <alignment vertical="top" wrapText="1"/>
    </xf>
    <xf numFmtId="0" fontId="3" fillId="15" borderId="0" xfId="0" applyFont="1" applyFill="1" applyAlignment="1">
      <alignment horizontal="center"/>
    </xf>
    <xf numFmtId="0" fontId="6" fillId="15" borderId="0" xfId="0" quotePrefix="1" applyFont="1" applyFill="1" applyAlignment="1">
      <alignment vertical="top" wrapText="1"/>
    </xf>
    <xf numFmtId="0" fontId="23" fillId="7" borderId="0" xfId="0" applyFont="1" applyFill="1"/>
    <xf numFmtId="0" fontId="20" fillId="7" borderId="0" xfId="0" applyFont="1" applyFill="1"/>
    <xf numFmtId="0" fontId="9" fillId="16" borderId="0" xfId="0" applyFont="1" applyFill="1"/>
    <xf numFmtId="0" fontId="19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250D1C72-DAF7-43FF-9C6F-2AB4677D1D9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EEEEE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A933"/>
      <rgbColor rgb="00003300"/>
      <rgbColor rgb="00333300"/>
      <rgbColor rgb="00C9211E"/>
      <rgbColor rgb="00993366"/>
      <rgbColor rgb="00333399"/>
      <rgbColor rgb="00333333"/>
    </indexedColors>
    <mruColors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3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ColWidth="11.5703125" defaultRowHeight="15" x14ac:dyDescent="0.25"/>
  <cols>
    <col min="1" max="1" width="14.85546875" style="41" bestFit="1" customWidth="1"/>
    <col min="2" max="2" width="14.140625" style="4" customWidth="1"/>
    <col min="3" max="3" width="13.85546875" style="4" bestFit="1" customWidth="1"/>
    <col min="4" max="4" width="12.28515625" style="2" customWidth="1"/>
    <col min="5" max="5" width="10.85546875" style="16" bestFit="1" customWidth="1"/>
    <col min="6" max="6" width="16.5703125" style="16" bestFit="1" customWidth="1"/>
    <col min="7" max="7" width="14.28515625" style="16" customWidth="1"/>
    <col min="8" max="8" width="15.140625" style="16" bestFit="1" customWidth="1"/>
    <col min="9" max="9" width="76.5703125" style="16" customWidth="1"/>
    <col min="10" max="10" width="20.7109375" style="30" customWidth="1"/>
    <col min="11" max="11" width="11.85546875" style="45" bestFit="1" customWidth="1"/>
    <col min="12" max="12" width="12.42578125" style="45" bestFit="1" customWidth="1"/>
    <col min="13" max="13" width="19.28515625" style="16" bestFit="1" customWidth="1"/>
    <col min="14" max="14" width="19.42578125" style="16" customWidth="1"/>
    <col min="15" max="15" width="21" style="16" customWidth="1"/>
    <col min="16" max="16" width="21.28515625" style="48" customWidth="1"/>
    <col min="17" max="17" width="12.28515625" style="16" bestFit="1" customWidth="1"/>
    <col min="18" max="18" width="15.7109375" style="48" customWidth="1"/>
    <col min="19" max="19" width="8.28515625" style="16" bestFit="1" customWidth="1"/>
    <col min="20" max="21" width="15.7109375" style="48" customWidth="1"/>
    <col min="22" max="22" width="11.28515625" style="2" bestFit="1" customWidth="1"/>
    <col min="23" max="23" width="50.42578125" style="2" bestFit="1" customWidth="1"/>
    <col min="24" max="24" width="11.28515625" style="2" bestFit="1" customWidth="1"/>
    <col min="25" max="25" width="20.7109375" style="2" customWidth="1"/>
    <col min="26" max="26" width="11.28515625" style="2" bestFit="1" customWidth="1"/>
    <col min="27" max="27" width="51.140625" style="2" bestFit="1" customWidth="1"/>
    <col min="28" max="28" width="7" style="2" bestFit="1" customWidth="1"/>
    <col min="29" max="16384" width="11.5703125" style="2"/>
  </cols>
  <sheetData>
    <row r="1" spans="1:30" ht="11.25" x14ac:dyDescent="0.2">
      <c r="A1" s="1" t="s">
        <v>0</v>
      </c>
      <c r="B1" s="1" t="s">
        <v>0</v>
      </c>
      <c r="C1" s="1" t="s">
        <v>1</v>
      </c>
      <c r="D1" s="1"/>
      <c r="E1" s="19" t="s">
        <v>2</v>
      </c>
      <c r="F1" s="20" t="s">
        <v>3</v>
      </c>
      <c r="G1" s="21" t="s">
        <v>4</v>
      </c>
      <c r="H1" s="22" t="s">
        <v>5</v>
      </c>
      <c r="I1" s="23" t="s">
        <v>23</v>
      </c>
      <c r="J1" s="27" t="s">
        <v>24</v>
      </c>
      <c r="M1" s="15" t="s">
        <v>52</v>
      </c>
      <c r="N1" s="15"/>
      <c r="O1" s="15"/>
      <c r="P1" s="50"/>
      <c r="S1" s="18"/>
      <c r="T1" s="50"/>
      <c r="U1" s="50"/>
      <c r="V1" s="44"/>
      <c r="W1" s="31" t="s">
        <v>32</v>
      </c>
      <c r="Y1" s="31" t="s">
        <v>33</v>
      </c>
      <c r="AA1" s="13" t="s">
        <v>12</v>
      </c>
    </row>
    <row r="2" spans="1:30" ht="135" x14ac:dyDescent="0.25">
      <c r="A2" s="40" t="s">
        <v>6</v>
      </c>
      <c r="B2" s="36" t="s">
        <v>7</v>
      </c>
      <c r="C2" s="36" t="s">
        <v>8</v>
      </c>
      <c r="D2" s="3"/>
      <c r="E2" s="33">
        <v>1038</v>
      </c>
      <c r="F2" s="34">
        <f>83351-1</f>
        <v>83350</v>
      </c>
      <c r="G2" s="24"/>
      <c r="H2" s="24"/>
      <c r="I2" s="25" t="s">
        <v>60</v>
      </c>
      <c r="J2" s="28"/>
      <c r="K2" s="46" t="s">
        <v>41</v>
      </c>
      <c r="M2" s="17" t="s">
        <v>50</v>
      </c>
      <c r="N2" s="17" t="s">
        <v>49</v>
      </c>
      <c r="O2" s="17" t="str">
        <f xml:space="preserve"> " - Alterações já existes no sistema. "</f>
        <v xml:space="preserve"> - Alterações já existes no sistema. </v>
      </c>
      <c r="P2" s="51" t="str">
        <f ca="1">" - Lista de alterações de ocupação já existentes. " &amp; ( COUNTA(_xlfn.ANCHORARRAY( P3) ) - 1 ) &amp; " ocorrência(s)."</f>
        <v xml:space="preserve"> - Lista de alterações de ocupação já existentes. 0 ocorrência(s).</v>
      </c>
      <c r="Q2" s="17" t="s">
        <v>30</v>
      </c>
      <c r="R2" s="49" t="str">
        <f ca="1">" - Vínculo(s) não encontrado(s) no sistema ou na planilha 04_Vinculo. " &amp; ( COUNTA(_xlfn.ANCHORARRAY( R3) ) - 1 ) &amp; " ocorrência(s):"</f>
        <v xml:space="preserve"> - Vínculo(s) não encontrado(s) no sistema ou na planilha 04_Vinculo. 24 ocorrência(s):</v>
      </c>
      <c r="S2" s="17" t="s">
        <v>31</v>
      </c>
      <c r="T2" s="49" t="str">
        <f ca="1" xml:space="preserve"> " - Ocupação(ões) não encontrada(s) no sistema ou na planilha 02_Ocupacao. " &amp; ( COUNTA(_xlfn.ANCHORARRAY( T3) ) - 1 ) &amp; " ocorrência(s):"</f>
        <v xml:space="preserve"> - Ocupação(ões) não encontrada(s) no sistema ou na planilha 02_Ocupacao. 11 ocorrência(s):</v>
      </c>
      <c r="U2" s="49" t="str">
        <f ca="1" xml:space="preserve"> " - Vínculo(s) afetado(s) pela ausência de ocupação. " &amp; ( COUNTA(_xlfn.ANCHORARRAY( U3) ) - 1 ) &amp; " ocorrência(s):"</f>
        <v xml:space="preserve"> - Vínculo(s) afetado(s) pela ausência de ocupação. 14 ocorrência(s):</v>
      </c>
      <c r="V2" s="5"/>
      <c r="W2" s="32" t="str">
        <f ca="1">"/*"&amp;W4&amp;"*/
SELECT A + 1 A, B - 1 B, B - A - 1 LENGHT, (SELECT TO_NUMBER(NRSEQUENCIAL) FROM NOVOCODIGO WHERE NRORG = "&amp;W9&amp;" AND CDCONTADOR = '"&amp;W4&amp;"') NOVOCODIGO FROM (SELECT 0 A, MIN("&amp;W5&amp;") B FROM "&amp;W4&amp;" WHERE NRORG = "&amp;W9&amp;" UNION ALL SELECT "&amp;W5&amp;", LEAD("&amp;W5&amp;") OVER (ORDER BY "&amp;W5&amp;") FROM "&amp;W4&amp;" WHERE NRORG = "&amp;W9&amp;" ) WHERE B - A &gt; "&amp;W8&amp;" OR B IS NULL ORDER BY A;"</f>
        <v>/*GPE_ALTEOCUPACAO*/
SELECT A + 1 A, B - 1 B, B - A - 1 LENGHT, (SELECT TO_NUMBER(NRSEQUENCIAL) FROM NOVOCODIGO WHERE NRORG = 1038 AND CDCONTADOR = 'GPE_ALTEOCUPACAO') NOVOCODIGO FROM (SELECT 0 A, MIN(NRALTEOCUPACAO) B FROM GPE_ALTEOCUPACAO WHERE NRORG = 1038 UNION ALL SELECT NRALTEOCUPACAO, LEAD(NRALTEOCUPACAO) OVER (ORDER BY NRALTEOCUPACAO) FROM GPE_ALTEOCUPACAO WHERE NRORG = 1038 ) WHERE B - A &gt; 1 OR B IS NULL ORDER BY A;</v>
      </c>
      <c r="X2" s="7"/>
      <c r="Y2" s="32" t="str">
        <f ca="1">"/*Validação de qde de registros*/
SELECT '--GPE_ALTEOCUPACAO: Inseridos '||COUNT(1)||', esperado '||" &amp; Y8 &amp; "||', diferença '||(" &amp; Y8 &amp; "-COUNT(1)) STATUS FROM " &amp; Y4 &amp; " WHERE NRORG = " &amp; Y9 &amp; " AND " &amp; Y5 &amp; " BETWEEN " &amp; Y6 &amp; " AND " &amp; Y7 &amp; " /*UNION ALL*/ ;"</f>
        <v>/*Validação de qde de registros*/
SELECT '--GPE_ALTEOCUPACAO: Inseridos '||COUNT(1)||', esperado '||1||', diferença '||(1-COUNT(1)) STATUS FROM GPE_ALTEOCUPACAO WHERE NRORG = 1038 AND NRALTEOCUPACAO BETWEEN 83350 AND 83350 /*UNION ALL*/ ;</v>
      </c>
      <c r="Z2" s="32" t="s">
        <v>22</v>
      </c>
      <c r="AA2" s="32" t="str">
        <f ca="1">"MERGE INTO NOVOCODIGO NC
  USING ( SELECT LPAD( MAX( "&amp;AA5&amp;" ) + 1, 20, '0' ) NRSEQUENCIAL
          FROM "&amp;AA4&amp;"
          WHERE NRORG = "&amp;AA9&amp;"
        ) TABELA
  ON (     NC.NRORG      = "&amp;AA9&amp;"
       AND NC.CDCONTADOR = '"&amp;AA4&amp;"' )
  WHEN     MATCHED THEN
    UPDATE SET NC.NRSEQUENCIAL = TABELA.NRSEQUENCIAL
  WHEN NOT MATCHED THEN
    INSERT ( CDCONTADOR, NRSEQUENCIAL, NRORG, DTINCLUSAO )
    VALUES ( '"&amp;AA4&amp;"', TABELA.NRSEQUENCIAL, "&amp;AA9&amp;", SYSDATE );"</f>
        <v>MERGE INTO NOVOCODIGO NC
  USING ( SELECT LPAD( MAX( NRALTEOCUPACAO ) + 1, 20, '0' ) NRSEQUENCIAL
          FROM GPE_ALTEOCUPACAO
          WHERE NRORG = 1038
        ) TABELA
  ON (     NC.NRORG      = 1038
       AND NC.CDCONTADOR = 'GPE_ALTEOCUPACAO' )
  WHEN     MATCHED THEN
    UPDATE SET NC.NRSEQUENCIAL = TABELA.NRSEQUENCIAL
  WHEN NOT MATCHED THEN
    INSERT ( CDCONTADOR, NRSEQUENCIAL, NRORG, DTINCLUSAO )
    VALUES ( 'GPE_ALTEOCUPACAO', TABELA.NRSEQUENCIAL, 1038, SYSDATE );</v>
      </c>
      <c r="AB2" s="32" t="s">
        <v>13</v>
      </c>
    </row>
    <row r="3" spans="1:30" x14ac:dyDescent="0.25">
      <c r="A3" t="s">
        <v>171</v>
      </c>
      <c r="B3" s="42">
        <v>46083</v>
      </c>
      <c r="C3">
        <v>910</v>
      </c>
      <c r="D3" s="8"/>
      <c r="E3" s="52" t="s">
        <v>355</v>
      </c>
      <c r="F3" s="24">
        <f t="shared" ref="F3:F22" ca="1" si="0">IF( AND( Q3 = "existe", S3 = "existe" ), F2 + 1, F2 )</f>
        <v>83350</v>
      </c>
      <c r="G3" s="24" t="str">
        <f t="shared" ref="G3:G9" si="1">A3</f>
        <v>003.01.863751</v>
      </c>
      <c r="H3" s="24" t="str">
        <f t="shared" ref="H3:H9" si="2">TEXT(B3,"DD/MM/AAAA")</f>
        <v>02/03/2026</v>
      </c>
      <c r="I3" s="24" t="str">
        <f t="shared" ref="I3:I9" ca="1" si="3">SUBSTITUTE(SUBSTITUTE(SUBSTITUTE(SUBSTITUTE(SUBSTITUTE(SUBSTITUTE(SUBSTITUTE($I$2,"@NRORG@",$E$2),$A$1,A3),$A$1,A3),$C$1,C3),$F$1,F3),$G$1,G3),$H$1,H3)</f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'003.01.863751' ), '02/03/2026', ( SELECT MAX(NROCUPACAOM) FROM GPE_OCUPACAOH WHERE NRORG = 1038 AND CDINTEGRACAO = '910' ), 1, 'Alteracao incluida via migracao realizada em: ' || TO_CHAR(SYSDATE), SYSDATE, 1038, '000000099991', 1 ); COMMIT;</v>
      </c>
      <c r="J3" s="29" t="str">
        <f t="shared" ref="J3:J7" ca="1" si="4">IF( AND( Q3 = "existe", S3 = "existe", N3 = "não existe" ), I3, "" )</f>
        <v/>
      </c>
      <c r="K3" s="46" t="s">
        <v>42</v>
      </c>
      <c r="M3" s="16" t="str" cm="1">
        <f t="array" aca="1" ref="M3:M30" ca="1">INDIRECT( L5 ) &amp; SUBSTITUTE( INDIRECT( L7 ), "/", "" ) &amp; INDIRECT( L6 )</f>
        <v>003.01.86375102032026910</v>
      </c>
      <c r="N3" s="16" t="str" cm="1">
        <f t="array" aca="1" ref="N3:N30" ca="1">_xlfn.XLOOKUP(_xlfn.ANCHORARRAY( M3), INDIRECT( L19 ), INDIRECT( L19 ), "não existe" )</f>
        <v>não existe</v>
      </c>
      <c r="O3" s="16" t="str" cm="1">
        <f t="array" aca="1" ref="O3" ca="1">_xlfn.UNIQUE( IF(_xlfn.ANCHORARRAY( N3) = "não existe", "",_xlfn.ANCHORARRAY( N3) ) )</f>
        <v/>
      </c>
      <c r="P3" s="48" t="str" cm="1">
        <f t="array" aca="1" ref="P3" ca="1">"  -" &amp; _xlfn._xlws.SORT( _xlfn.XLOOKUP(_xlfn.ANCHORARRAY( O3), INDIRECT( L19 ), INDIRECT( L20 ), "" ) )</f>
        <v xml:space="preserve">  -</v>
      </c>
      <c r="Q3" s="16" t="str" cm="1">
        <f t="array" aca="1" ref="Q3:Q30" ca="1">IF( COUNTIF( INDIRECT( L11 ), INDIRECT( L5 ) ) &gt;= 1, "existe", INDIRECT( L5 ) )</f>
        <v>003.01.863751</v>
      </c>
      <c r="R3" s="48" t="str" cm="1">
        <f t="array" aca="1" ref="R3:R27" ca="1">"  - " &amp; _xlfn._xlws.SORT( _xlfn.UNIQUE( IF(_xlfn.ANCHORARRAY( Q3) &lt;&gt; "existe",_xlfn.ANCHORARRAY( Q3), "" ) ) )</f>
        <v xml:space="preserve">  - 002.01.863595</v>
      </c>
      <c r="S3" s="16" cm="1">
        <f t="array" aca="1" ref="S3:S30" ca="1">IF( COUNTIF( INDIRECT( L15 ), INDIRECT( L6 ) ) &gt;= 1, "existe", INDIRECT( L6 ) )</f>
        <v>910</v>
      </c>
      <c r="T3" s="48" t="str" cm="1">
        <f t="array" aca="1" ref="T3:T14" ca="1">"  - " &amp; _xlfn._xlws.SORT( _xlfn.UNIQUE( IF(_xlfn.ANCHORARRAY( S3) &lt;&gt; "existe",_xlfn.ANCHORARRAY( S3), "" ) ) )</f>
        <v xml:space="preserve">  - 29</v>
      </c>
      <c r="U3" s="48" t="str" cm="1">
        <f t="array" aca="1" ref="U3:U17" ca="1">"  - " &amp; _xlfn._xlws.SORT( _xlfn.UNIQUE( IF(_xlfn.ANCHORARRAY( S3) &lt;&gt; "existe", "Ocupação: " &amp; INDIRECT( L6 )  &amp; ", vínculo (matrícula): " &amp; INDIRECT( L5 ), "" ) ) )</f>
        <v xml:space="preserve">  - </v>
      </c>
      <c r="V3" s="6" t="s">
        <v>14</v>
      </c>
      <c r="W3" s="9" t="s">
        <v>3</v>
      </c>
      <c r="X3" s="6" t="s">
        <v>14</v>
      </c>
      <c r="Y3" s="10" t="str">
        <f t="shared" ref="Y3:Y9" si="5">W3</f>
        <v>@NRALTEOCUPACAO@</v>
      </c>
      <c r="Z3" s="6"/>
      <c r="AA3" s="10"/>
      <c r="AB3" s="7"/>
    </row>
    <row r="4" spans="1:30" x14ac:dyDescent="0.25">
      <c r="A4" t="s">
        <v>172</v>
      </c>
      <c r="B4" s="42">
        <v>46072</v>
      </c>
      <c r="C4">
        <v>1595</v>
      </c>
      <c r="D4" s="8"/>
      <c r="E4" s="52" t="s">
        <v>56</v>
      </c>
      <c r="F4" s="24">
        <f t="shared" ca="1" si="0"/>
        <v>83350</v>
      </c>
      <c r="G4" s="24" t="str">
        <f t="shared" si="1"/>
        <v>002.01.863595</v>
      </c>
      <c r="H4" s="24" t="str">
        <f t="shared" si="2"/>
        <v>19/02/2026</v>
      </c>
      <c r="I4" s="24" t="str">
        <f t="shared" ca="1" si="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'002.01.863595' ), '19/02/2026', ( SELECT MAX(NROCUPACAOM) FROM GPE_OCUPACAOH WHERE NRORG = 1038 AND CDINTEGRACAO = '1595' ), 1, 'Alteracao incluida via migracao realizada em: ' || TO_CHAR(SYSDATE), SYSDATE, 1038, '000000099991', 1 ); COMMIT;</v>
      </c>
      <c r="J4" s="29" t="str">
        <f t="shared" ca="1" si="4"/>
        <v/>
      </c>
      <c r="K4" s="45" t="s">
        <v>43</v>
      </c>
      <c r="L4" s="47">
        <f>COUNTA( A:A )</f>
        <v>30</v>
      </c>
      <c r="M4" s="16" t="str">
        <f ca="1"/>
        <v>002.01.863595190220261595</v>
      </c>
      <c r="N4" s="16" t="str">
        <f ca="1"/>
        <v>não existe</v>
      </c>
      <c r="Q4" s="16" t="str">
        <f ca="1"/>
        <v>002.01.863595</v>
      </c>
      <c r="R4" s="48" t="str">
        <f ca="1"/>
        <v xml:space="preserve">  - 002.01.863761</v>
      </c>
      <c r="S4" s="16">
        <f ca="1"/>
        <v>1595</v>
      </c>
      <c r="T4" s="48" t="str">
        <f ca="1"/>
        <v xml:space="preserve">  - 664</v>
      </c>
      <c r="U4" s="48" t="str">
        <f ca="1"/>
        <v xml:space="preserve">  - Ocupação: 1099, vínculo (matrícula): 008.01.863941</v>
      </c>
      <c r="V4" s="6" t="s">
        <v>15</v>
      </c>
      <c r="W4" s="11" t="s">
        <v>21</v>
      </c>
      <c r="X4" s="6" t="s">
        <v>15</v>
      </c>
      <c r="Y4" s="10" t="str">
        <f t="shared" si="5"/>
        <v>GPE_ALTEOCUPACAO</v>
      </c>
      <c r="Z4" s="6" t="s">
        <v>15</v>
      </c>
      <c r="AA4" s="10" t="str">
        <f>Y4</f>
        <v>GPE_ALTEOCUPACAO</v>
      </c>
      <c r="AB4" s="7"/>
    </row>
    <row r="5" spans="1:30" x14ac:dyDescent="0.25">
      <c r="A5" t="s">
        <v>173</v>
      </c>
      <c r="B5" s="42">
        <v>46084</v>
      </c>
      <c r="C5">
        <v>811</v>
      </c>
      <c r="D5" s="8"/>
      <c r="E5" s="52" t="s">
        <v>57</v>
      </c>
      <c r="F5" s="24">
        <f t="shared" ca="1" si="0"/>
        <v>83350</v>
      </c>
      <c r="G5" s="24" t="str">
        <f t="shared" si="1"/>
        <v>002.01.863761</v>
      </c>
      <c r="H5" s="24" t="str">
        <f t="shared" si="2"/>
        <v>03/03/2026</v>
      </c>
      <c r="I5" s="24" t="str">
        <f t="shared" ca="1" si="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'002.01.863761' ), '03/03/2026', ( SELECT MAX(NROCUPACAOM) FROM GPE_OCUPACAOH WHERE NRORG = 1038 AND CDINTEGRACAO = '811' ), 1, 'Alteracao incluida via migracao realizada em: ' || TO_CHAR(SYSDATE), SYSDATE, 1038, '000000099991', 1 ); COMMIT;</v>
      </c>
      <c r="J5" s="29" t="str">
        <f t="shared" ca="1" si="4"/>
        <v/>
      </c>
      <c r="K5" s="45" t="s">
        <v>44</v>
      </c>
      <c r="L5" s="47" t="str">
        <f>"G3:G" &amp; $L$4</f>
        <v>G3:G30</v>
      </c>
      <c r="M5" s="16" t="str">
        <f ca="1"/>
        <v>002.01.86376103032026811</v>
      </c>
      <c r="N5" s="16" t="str">
        <f ca="1"/>
        <v>não existe</v>
      </c>
      <c r="Q5" s="16" t="str">
        <f ca="1"/>
        <v>002.01.863761</v>
      </c>
      <c r="R5" s="48" t="str">
        <f ca="1"/>
        <v xml:space="preserve">  - 002.01.863875</v>
      </c>
      <c r="S5" s="16">
        <f ca="1"/>
        <v>811</v>
      </c>
      <c r="T5" s="48" t="str">
        <f ca="1"/>
        <v xml:space="preserve">  - 811</v>
      </c>
      <c r="U5" s="48" t="str">
        <f ca="1"/>
        <v xml:space="preserve">  - Ocupação: 1348, vínculo (matrícula): 500.01.048303</v>
      </c>
      <c r="V5" s="6" t="s">
        <v>16</v>
      </c>
      <c r="W5" s="11" t="s">
        <v>11</v>
      </c>
      <c r="X5" s="6" t="s">
        <v>16</v>
      </c>
      <c r="Y5" s="10" t="str">
        <f t="shared" si="5"/>
        <v>NRALTEOCUPACAO</v>
      </c>
      <c r="Z5" s="6" t="s">
        <v>16</v>
      </c>
      <c r="AA5" s="10" t="str">
        <f>Y5</f>
        <v>NRALTEOCUPACAO</v>
      </c>
      <c r="AB5" s="7"/>
      <c r="AD5" s="39"/>
    </row>
    <row r="6" spans="1:30" x14ac:dyDescent="0.25">
      <c r="A6" t="s">
        <v>174</v>
      </c>
      <c r="B6" s="42">
        <v>46091</v>
      </c>
      <c r="C6">
        <v>1595</v>
      </c>
      <c r="D6" s="8"/>
      <c r="E6" s="53" t="s">
        <v>58</v>
      </c>
      <c r="F6" s="24">
        <f t="shared" ca="1" si="0"/>
        <v>83350</v>
      </c>
      <c r="G6" s="24" t="str">
        <f t="shared" si="1"/>
        <v>002.01.863875</v>
      </c>
      <c r="H6" s="24" t="str">
        <f t="shared" si="2"/>
        <v>10/03/2026</v>
      </c>
      <c r="I6" s="24" t="str">
        <f t="shared" ca="1" si="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'002.01.863875' ), '10/03/2026', ( SELECT MAX(NROCUPACAOM) FROM GPE_OCUPACAOH WHERE NRORG = 1038 AND CDINTEGRACAO = '1595' ), 1, 'Alteracao incluida via migracao realizada em: ' || TO_CHAR(SYSDATE), SYSDATE, 1038, '000000099991', 1 ); COMMIT;</v>
      </c>
      <c r="J6" s="29" t="str">
        <f t="shared" ca="1" si="4"/>
        <v/>
      </c>
      <c r="K6" s="45" t="s">
        <v>8</v>
      </c>
      <c r="L6" s="47" t="str">
        <f>"C3:C" &amp; $L$4</f>
        <v>C3:C30</v>
      </c>
      <c r="M6" s="16" t="str">
        <f ca="1"/>
        <v>002.01.863875100320261595</v>
      </c>
      <c r="N6" s="16" t="str">
        <f ca="1"/>
        <v>não existe</v>
      </c>
      <c r="Q6" s="16" t="str">
        <f ca="1"/>
        <v>002.01.863875</v>
      </c>
      <c r="R6" s="48" t="str">
        <f ca="1"/>
        <v xml:space="preserve">  - 002.01.863948</v>
      </c>
      <c r="S6" s="16">
        <f ca="1"/>
        <v>1595</v>
      </c>
      <c r="T6" s="48" t="str">
        <f ca="1"/>
        <v xml:space="preserve">  - 910</v>
      </c>
      <c r="U6" s="48" t="str">
        <f ca="1"/>
        <v xml:space="preserve">  - Ocupação: 1357, vínculo (matrícula): 500.01.048128</v>
      </c>
      <c r="V6" s="6" t="s">
        <v>17</v>
      </c>
      <c r="W6" s="12">
        <f ca="1">MIN( OFFSET( $A$1, 2, MATCH( W$3, $1:$1, 0 ) - 1, 1048574, 1 ) )</f>
        <v>83350</v>
      </c>
      <c r="X6" s="6" t="s">
        <v>17</v>
      </c>
      <c r="Y6" s="10">
        <f t="shared" ca="1" si="5"/>
        <v>83350</v>
      </c>
      <c r="Z6" s="6"/>
      <c r="AA6" s="10"/>
      <c r="AB6" s="7"/>
      <c r="AD6" s="39"/>
    </row>
    <row r="7" spans="1:30" x14ac:dyDescent="0.25">
      <c r="A7" t="s">
        <v>175</v>
      </c>
      <c r="B7" s="42">
        <v>46097</v>
      </c>
      <c r="C7">
        <v>664</v>
      </c>
      <c r="D7" s="8"/>
      <c r="E7" s="53" t="s">
        <v>58</v>
      </c>
      <c r="F7" s="24">
        <f t="shared" ca="1" si="0"/>
        <v>83350</v>
      </c>
      <c r="G7" s="24" t="str">
        <f t="shared" si="1"/>
        <v>002.01.863948</v>
      </c>
      <c r="H7" s="24" t="str">
        <f t="shared" si="2"/>
        <v>16/03/2026</v>
      </c>
      <c r="I7" s="24" t="str">
        <f t="shared" ca="1" si="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'002.01.863948' ), '16/03/2026', ( SELECT MAX(NROCUPACAOM) FROM GPE_OCUPACAOH WHERE NRORG = 1038 AND CDINTEGRACAO = '664' ), 1, 'Alteracao incluida via migracao realizada em: ' || TO_CHAR(SYSDATE), SYSDATE, 1038, '000000099991', 1 ); COMMIT;</v>
      </c>
      <c r="J7" s="29" t="str">
        <f t="shared" ca="1" si="4"/>
        <v/>
      </c>
      <c r="K7" s="45" t="s">
        <v>51</v>
      </c>
      <c r="L7" s="47" t="str">
        <f>"H3:H" &amp; $L$4</f>
        <v>H3:H30</v>
      </c>
      <c r="M7" s="16" t="str">
        <f ca="1"/>
        <v>002.01.86394816032026664</v>
      </c>
      <c r="N7" s="16" t="str">
        <f ca="1"/>
        <v>não existe</v>
      </c>
      <c r="Q7" s="16" t="str">
        <f ca="1"/>
        <v>002.01.863948</v>
      </c>
      <c r="R7" s="48" t="str">
        <f ca="1"/>
        <v xml:space="preserve">  - 003.01.863751</v>
      </c>
      <c r="S7" s="16">
        <f ca="1"/>
        <v>664</v>
      </c>
      <c r="T7" s="48" t="str">
        <f ca="1"/>
        <v xml:space="preserve">  - 1099</v>
      </c>
      <c r="U7" s="48" t="str">
        <f ca="1"/>
        <v xml:space="preserve">  - Ocupação: 1362, vínculo (matrícula): 500.01.048211</v>
      </c>
      <c r="V7" s="6" t="s">
        <v>18</v>
      </c>
      <c r="W7" s="12">
        <f ca="1">MAX(OFFSET($A$1,2,MATCH(W$3,$1:$1,0)-1,1048574,1))</f>
        <v>83350</v>
      </c>
      <c r="X7" s="6" t="s">
        <v>18</v>
      </c>
      <c r="Y7" s="10">
        <f t="shared" ca="1" si="5"/>
        <v>83350</v>
      </c>
      <c r="Z7" s="6"/>
      <c r="AA7" s="10"/>
      <c r="AB7" s="7"/>
      <c r="AD7" s="39"/>
    </row>
    <row r="8" spans="1:30" x14ac:dyDescent="0.25">
      <c r="A8" t="s">
        <v>176</v>
      </c>
      <c r="B8" s="42">
        <v>46097</v>
      </c>
      <c r="C8">
        <v>1099</v>
      </c>
      <c r="D8" s="8"/>
      <c r="E8" s="53" t="s">
        <v>58</v>
      </c>
      <c r="F8" s="24">
        <f t="shared" ca="1" si="0"/>
        <v>83350</v>
      </c>
      <c r="G8" s="24" t="str">
        <f t="shared" si="1"/>
        <v>008.01.863941</v>
      </c>
      <c r="H8" s="24" t="str">
        <f t="shared" si="2"/>
        <v>16/03/2026</v>
      </c>
      <c r="I8" s="24" t="str">
        <f t="shared" ca="1" si="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'008.01.863941' ), '16/03/2026', ( SELECT MAX(NROCUPACAOM) FROM GPE_OCUPACAOH WHERE NRORG = 1038 AND CDINTEGRACAO = '1099' ), 1, 'Alteracao incluida via migracao realizada em: ' || TO_CHAR(SYSDATE), SYSDATE, 1038, '000000099991', 1 ); COMMIT;</v>
      </c>
      <c r="J8" s="29" t="str">
        <f ca="1">IF( AND( Q8 = "existe", S8 = "existe", N8 = "não existe" ), I8, "" )</f>
        <v/>
      </c>
      <c r="M8" s="16" t="str">
        <f ca="1"/>
        <v>008.01.863941160320261099</v>
      </c>
      <c r="N8" s="16" t="str">
        <f ca="1"/>
        <v>não existe</v>
      </c>
      <c r="Q8" s="16" t="str">
        <f ca="1"/>
        <v>008.01.863941</v>
      </c>
      <c r="R8" s="48" t="str">
        <f ca="1"/>
        <v xml:space="preserve">  - 008.01.863941</v>
      </c>
      <c r="S8" s="16">
        <f ca="1"/>
        <v>1099</v>
      </c>
      <c r="T8" s="48" t="str">
        <f ca="1"/>
        <v xml:space="preserve">  - 1348</v>
      </c>
      <c r="U8" s="48" t="str">
        <f ca="1"/>
        <v xml:space="preserve">  - Ocupação: 1368, vínculo (matrícula): 500.01.048187</v>
      </c>
      <c r="V8" s="6" t="s">
        <v>19</v>
      </c>
      <c r="W8" s="12">
        <f ca="1">W7-W6+1</f>
        <v>1</v>
      </c>
      <c r="X8" s="6" t="s">
        <v>19</v>
      </c>
      <c r="Y8" s="10">
        <f t="shared" ca="1" si="5"/>
        <v>1</v>
      </c>
      <c r="Z8" s="6"/>
      <c r="AA8" s="10"/>
      <c r="AB8" s="7"/>
      <c r="AD8" s="39"/>
    </row>
    <row r="9" spans="1:30" x14ac:dyDescent="0.25">
      <c r="A9" t="s">
        <v>177</v>
      </c>
      <c r="B9" s="42">
        <v>46050</v>
      </c>
      <c r="C9">
        <v>1005</v>
      </c>
      <c r="D9" s="8"/>
      <c r="E9" s="53" t="s">
        <v>58</v>
      </c>
      <c r="F9" s="24">
        <f t="shared" ca="1" si="0"/>
        <v>83350</v>
      </c>
      <c r="G9" s="24" t="str">
        <f t="shared" si="1"/>
        <v>500.01.047929</v>
      </c>
      <c r="H9" s="24" t="str">
        <f t="shared" si="2"/>
        <v>28/01/2026</v>
      </c>
      <c r="I9" s="24" t="str">
        <f t="shared" ca="1" si="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'500.01.047929' ), '28/01/2026', ( SELECT MAX(NROCUPACAOM) FROM GPE_OCUPACAOH WHERE NRORG = 1038 AND CDINTEGRACAO = '1005' ), 1, 'Alteracao incluida via migracao realizada em: ' || TO_CHAR(SYSDATE), SYSDATE, 1038, '000000099991', 1 ); COMMIT;</v>
      </c>
      <c r="J9" s="29" t="str">
        <f t="shared" ref="J9:J30" ca="1" si="6">IF( AND( Q9 = "existe", S9 = "existe", N9 = "não existe" ), I9, "" )</f>
        <v/>
      </c>
      <c r="K9" s="46" t="s">
        <v>45</v>
      </c>
      <c r="M9" s="16" t="str">
        <f ca="1"/>
        <v>500.01.047929280120261005</v>
      </c>
      <c r="N9" s="16" t="str">
        <f ca="1"/>
        <v>não existe</v>
      </c>
      <c r="Q9" s="16" t="str">
        <f ca="1"/>
        <v>500.01.047929</v>
      </c>
      <c r="R9" s="48" t="str">
        <f ca="1"/>
        <v xml:space="preserve">  - 500.01.047929</v>
      </c>
      <c r="S9" s="16" t="str">
        <f ca="1"/>
        <v>existe</v>
      </c>
      <c r="T9" s="48" t="str">
        <f ca="1"/>
        <v xml:space="preserve">  - 1357</v>
      </c>
      <c r="U9" s="48" t="str">
        <f ca="1"/>
        <v xml:space="preserve">  - Ocupação: 1392, vínculo (matrícula): 500.01.048235</v>
      </c>
      <c r="V9" s="6" t="s">
        <v>20</v>
      </c>
      <c r="W9" s="12">
        <f ca="1">OFFSET($A$1,1,MATCH(V9,$1:$1,0)-1)</f>
        <v>1038</v>
      </c>
      <c r="X9" s="6" t="s">
        <v>20</v>
      </c>
      <c r="Y9" s="10">
        <f t="shared" ca="1" si="5"/>
        <v>1038</v>
      </c>
      <c r="Z9" s="6" t="s">
        <v>20</v>
      </c>
      <c r="AA9" s="10">
        <f ca="1">Y9</f>
        <v>1038</v>
      </c>
      <c r="AB9" s="7"/>
      <c r="AD9" s="39"/>
    </row>
    <row r="10" spans="1:30" ht="12.75" x14ac:dyDescent="0.2">
      <c r="A10" t="s">
        <v>178</v>
      </c>
      <c r="B10" s="42">
        <v>46050</v>
      </c>
      <c r="C10">
        <v>1005</v>
      </c>
      <c r="E10" s="53" t="s">
        <v>58</v>
      </c>
      <c r="F10" s="24">
        <f t="shared" ca="1" si="0"/>
        <v>83350</v>
      </c>
      <c r="G10" s="24" t="str">
        <f t="shared" ref="G10:G22" si="7">A10</f>
        <v>500.01.047950</v>
      </c>
      <c r="H10" s="24" t="str">
        <f t="shared" ref="H10:H22" si="8">TEXT(B10,"DD/MM/AAAA")</f>
        <v>28/01/2026</v>
      </c>
      <c r="I10" s="24" t="str">
        <f t="shared" ref="I10:I22" ca="1" si="9">SUBSTITUTE(SUBSTITUTE(SUBSTITUTE(SUBSTITUTE(SUBSTITUTE(SUBSTITUTE(SUBSTITUTE($I$2,"@NRORG@",$E$2),$A$1,A10),$A$1,A10),$C$1,C10),$F$1,F10),$G$1,G10),$H$1,H10)</f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'500.01.047950' ), '28/01/2026', ( SELECT MAX(NROCUPACAOM) FROM GPE_OCUPACAOH WHERE NRORG = 1038 AND CDINTEGRACAO = '1005' ), 1, 'Alteracao incluida via migracao realizada em: ' || TO_CHAR(SYSDATE), SYSDATE, 1038, '000000099991', 1 ); COMMIT;</v>
      </c>
      <c r="J10" s="29" t="str">
        <f t="shared" ca="1" si="6"/>
        <v/>
      </c>
      <c r="K10" s="45" t="s">
        <v>43</v>
      </c>
      <c r="L10" s="47">
        <f>COUNTA( Base!B:B )</f>
        <v>30</v>
      </c>
      <c r="M10" s="16" t="str">
        <f ca="1"/>
        <v>500.01.047950280120261005</v>
      </c>
      <c r="N10" s="16" t="str">
        <f ca="1"/>
        <v>não existe</v>
      </c>
      <c r="Q10" s="16" t="str">
        <f ca="1"/>
        <v>500.01.047950</v>
      </c>
      <c r="R10" s="48" t="str">
        <f ca="1"/>
        <v xml:space="preserve">  - 500.01.047950</v>
      </c>
      <c r="S10" s="16" t="str">
        <f ca="1"/>
        <v>existe</v>
      </c>
      <c r="T10" s="48" t="str">
        <f ca="1"/>
        <v xml:space="preserve">  - 1362</v>
      </c>
      <c r="U10" s="48" t="str">
        <f ca="1"/>
        <v xml:space="preserve">  - Ocupação: 1392, vínculo (matrícula): 500.01.048320</v>
      </c>
    </row>
    <row r="11" spans="1:30" ht="12.75" x14ac:dyDescent="0.2">
      <c r="A11" t="s">
        <v>179</v>
      </c>
      <c r="B11" s="42">
        <v>46051</v>
      </c>
      <c r="C11">
        <v>1005</v>
      </c>
      <c r="E11" s="53" t="s">
        <v>58</v>
      </c>
      <c r="F11" s="24">
        <f t="shared" ca="1" si="0"/>
        <v>83350</v>
      </c>
      <c r="G11" s="24" t="str">
        <f t="shared" si="7"/>
        <v>500.01.048025</v>
      </c>
      <c r="H11" s="24" t="str">
        <f t="shared" si="8"/>
        <v>29/01/2026</v>
      </c>
      <c r="I11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'500.01.048025' ), '29/01/2026', ( SELECT MAX(NROCUPACAOM) FROM GPE_OCUPACAOH WHERE NRORG = 1038 AND CDINTEGRACAO = '1005' ), 1, 'Alteracao incluida via migracao realizada em: ' || TO_CHAR(SYSDATE), SYSDATE, 1038, '000000099991', 1 ); COMMIT;</v>
      </c>
      <c r="J11" s="29" t="str">
        <f t="shared" ca="1" si="6"/>
        <v/>
      </c>
      <c r="K11" s="45" t="s">
        <v>44</v>
      </c>
      <c r="L11" s="47" t="str">
        <f>"Base!A2:A" &amp; $L$10</f>
        <v>Base!A2:A30</v>
      </c>
      <c r="M11" s="16" t="str">
        <f ca="1"/>
        <v>500.01.048025290120261005</v>
      </c>
      <c r="N11" s="16" t="str">
        <f ca="1"/>
        <v>não existe</v>
      </c>
      <c r="Q11" s="16" t="str">
        <f ca="1"/>
        <v>500.01.048025</v>
      </c>
      <c r="R11" s="48" t="str">
        <f ca="1"/>
        <v xml:space="preserve">  - 500.01.048025</v>
      </c>
      <c r="S11" s="16" t="str">
        <f ca="1"/>
        <v>existe</v>
      </c>
      <c r="T11" s="48" t="str">
        <f ca="1"/>
        <v xml:space="preserve">  - 1368</v>
      </c>
      <c r="U11" s="48" t="str">
        <f ca="1"/>
        <v xml:space="preserve">  - Ocupação: 1595, vínculo (matrícula): 002.01.863595</v>
      </c>
    </row>
    <row r="12" spans="1:30" ht="12.75" x14ac:dyDescent="0.2">
      <c r="A12" t="s">
        <v>180</v>
      </c>
      <c r="B12" s="42">
        <v>46055</v>
      </c>
      <c r="C12">
        <v>1005</v>
      </c>
      <c r="E12" s="53" t="s">
        <v>58</v>
      </c>
      <c r="F12" s="24">
        <f t="shared" ca="1" si="0"/>
        <v>83350</v>
      </c>
      <c r="G12" s="24" t="str">
        <f t="shared" si="7"/>
        <v>500.01.048056</v>
      </c>
      <c r="H12" s="24" t="str">
        <f t="shared" si="8"/>
        <v>02/02/2026</v>
      </c>
      <c r="I12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'500.01.048056' ), '02/02/2026', ( SELECT MAX(NROCUPACAOM) FROM GPE_OCUPACAOH WHERE NRORG = 1038 AND CDINTEGRACAO = '1005' ), 1, 'Alteracao incluida via migracao realizada em: ' || TO_CHAR(SYSDATE), SYSDATE, 1038, '000000099991', 1 ); COMMIT;</v>
      </c>
      <c r="J12" s="29" t="str">
        <f t="shared" ca="1" si="6"/>
        <v/>
      </c>
      <c r="K12" s="45" t="s">
        <v>46</v>
      </c>
      <c r="M12" s="16" t="str">
        <f ca="1"/>
        <v>500.01.048056020220261005</v>
      </c>
      <c r="N12" s="16" t="str">
        <f ca="1"/>
        <v>não existe</v>
      </c>
      <c r="Q12" s="16" t="str">
        <f ca="1"/>
        <v>500.01.048056</v>
      </c>
      <c r="R12" s="48" t="str">
        <f ca="1"/>
        <v xml:space="preserve">  - 500.01.048056</v>
      </c>
      <c r="S12" s="16" t="str">
        <f ca="1"/>
        <v>existe</v>
      </c>
      <c r="T12" s="48" t="str">
        <f ca="1"/>
        <v xml:space="preserve">  - 1392</v>
      </c>
      <c r="U12" s="48" t="str">
        <f ca="1"/>
        <v xml:space="preserve">  - Ocupação: 1595, vínculo (matrícula): 002.01.863875</v>
      </c>
    </row>
    <row r="13" spans="1:30" ht="12.75" x14ac:dyDescent="0.2">
      <c r="A13" t="s">
        <v>181</v>
      </c>
      <c r="B13" s="42">
        <v>46055</v>
      </c>
      <c r="C13">
        <v>1005</v>
      </c>
      <c r="E13" s="53" t="s">
        <v>58</v>
      </c>
      <c r="F13" s="24">
        <f t="shared" ca="1" si="0"/>
        <v>83350</v>
      </c>
      <c r="G13" s="24" t="str">
        <f t="shared" si="7"/>
        <v>500.01.048074</v>
      </c>
      <c r="H13" s="24" t="str">
        <f t="shared" si="8"/>
        <v>02/02/2026</v>
      </c>
      <c r="I13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'500.01.048074' ), '02/02/2026', ( SELECT MAX(NROCUPACAOM) FROM GPE_OCUPACAOH WHERE NRORG = 1038 AND CDINTEGRACAO = '1005' ), 1, 'Alteracao incluida via migracao realizada em: ' || TO_CHAR(SYSDATE), SYSDATE, 1038, '000000099991', 1 ); COMMIT;</v>
      </c>
      <c r="J13" s="29" t="str">
        <f t="shared" ca="1" si="6"/>
        <v/>
      </c>
      <c r="K13" s="46" t="s">
        <v>47</v>
      </c>
      <c r="M13" s="16" t="str">
        <f ca="1"/>
        <v>500.01.048074020220261005</v>
      </c>
      <c r="N13" s="16" t="str">
        <f ca="1"/>
        <v>não existe</v>
      </c>
      <c r="Q13" s="16" t="str">
        <f ca="1"/>
        <v>500.01.048074</v>
      </c>
      <c r="R13" s="48" t="str">
        <f ca="1"/>
        <v xml:space="preserve">  - 500.01.048074</v>
      </c>
      <c r="S13" s="16" t="str">
        <f ca="1"/>
        <v>existe</v>
      </c>
      <c r="T13" s="48" t="str">
        <f ca="1"/>
        <v xml:space="preserve">  - 1595</v>
      </c>
      <c r="U13" s="48" t="str">
        <f ca="1"/>
        <v xml:space="preserve">  - Ocupação: 29, vínculo (matrícula): 500.01.048320</v>
      </c>
    </row>
    <row r="14" spans="1:30" ht="12.75" x14ac:dyDescent="0.2">
      <c r="A14" t="s">
        <v>182</v>
      </c>
      <c r="B14" s="42">
        <v>46055</v>
      </c>
      <c r="C14">
        <v>1005</v>
      </c>
      <c r="E14" s="53" t="s">
        <v>58</v>
      </c>
      <c r="F14" s="24">
        <f t="shared" ca="1" si="0"/>
        <v>83350</v>
      </c>
      <c r="G14" s="24" t="str">
        <f t="shared" si="7"/>
        <v>500.01.048091</v>
      </c>
      <c r="H14" s="24" t="str">
        <f t="shared" si="8"/>
        <v>02/02/2026</v>
      </c>
      <c r="I14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'500.01.048091' ), '02/02/2026', ( SELECT MAX(NROCUPACAOM) FROM GPE_OCUPACAOH WHERE NRORG = 1038 AND CDINTEGRACAO = '1005' ), 1, 'Alteracao incluida via migracao realizada em: ' || TO_CHAR(SYSDATE), SYSDATE, 1038, '000000099991', 1 ); COMMIT;</v>
      </c>
      <c r="J14" s="29" t="str">
        <f t="shared" ca="1" si="6"/>
        <v/>
      </c>
      <c r="K14" s="45" t="s">
        <v>43</v>
      </c>
      <c r="L14" s="47">
        <f>COUNTA( Base!G:G )</f>
        <v>30</v>
      </c>
      <c r="M14" s="16" t="str">
        <f ca="1"/>
        <v>500.01.048091020220261005</v>
      </c>
      <c r="N14" s="16" t="str">
        <f ca="1"/>
        <v>não existe</v>
      </c>
      <c r="Q14" s="16" t="str">
        <f ca="1"/>
        <v>500.01.048091</v>
      </c>
      <c r="R14" s="48" t="str">
        <f ca="1"/>
        <v xml:space="preserve">  - 500.01.048091</v>
      </c>
      <c r="S14" s="16" t="str">
        <f ca="1"/>
        <v>existe</v>
      </c>
      <c r="T14" s="48" t="str">
        <f ca="1"/>
        <v xml:space="preserve">  - </v>
      </c>
      <c r="U14" s="48" t="str">
        <f ca="1"/>
        <v xml:space="preserve">  - Ocupação: 664, vínculo (matrícula): 002.01.863948</v>
      </c>
    </row>
    <row r="15" spans="1:30" ht="12.75" x14ac:dyDescent="0.2">
      <c r="A15" t="s">
        <v>183</v>
      </c>
      <c r="B15" s="42">
        <v>46056</v>
      </c>
      <c r="C15">
        <v>1005</v>
      </c>
      <c r="E15" s="53" t="s">
        <v>58</v>
      </c>
      <c r="F15" s="24">
        <f t="shared" ca="1" si="0"/>
        <v>83350</v>
      </c>
      <c r="G15" s="24" t="str">
        <f t="shared" si="7"/>
        <v>500.01.048110</v>
      </c>
      <c r="H15" s="24" t="str">
        <f t="shared" si="8"/>
        <v>03/02/2026</v>
      </c>
      <c r="I15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'500.01.048110' ), '03/02/2026', ( SELECT MAX(NROCUPACAOM) FROM GPE_OCUPACAOH WHERE NRORG = 1038 AND CDINTEGRACAO = '1005' ), 1, 'Alteracao incluida via migracao realizada em: ' || TO_CHAR(SYSDATE), SYSDATE, 1038, '000000099991', 1 ); COMMIT;</v>
      </c>
      <c r="J15" s="29" t="str">
        <f t="shared" ca="1" si="6"/>
        <v/>
      </c>
      <c r="K15" s="45" t="s">
        <v>48</v>
      </c>
      <c r="L15" s="47" t="str">
        <f>"Base!F2:F" &amp; $L$14</f>
        <v>Base!F2:F30</v>
      </c>
      <c r="M15" s="16" t="str">
        <f ca="1"/>
        <v>500.01.048110030220261005</v>
      </c>
      <c r="N15" s="16" t="str">
        <f ca="1"/>
        <v>não existe</v>
      </c>
      <c r="Q15" s="16" t="str">
        <f ca="1"/>
        <v>500.01.048110</v>
      </c>
      <c r="R15" s="48" t="str">
        <f ca="1"/>
        <v xml:space="preserve">  - 500.01.048110</v>
      </c>
      <c r="S15" s="16" t="str">
        <f ca="1"/>
        <v>existe</v>
      </c>
      <c r="U15" s="48" t="str">
        <f ca="1"/>
        <v xml:space="preserve">  - Ocupação: 664, vínculo (matrícula): 500.01.048187</v>
      </c>
    </row>
    <row r="16" spans="1:30" ht="12.75" x14ac:dyDescent="0.2">
      <c r="A16" t="s">
        <v>184</v>
      </c>
      <c r="B16" s="42">
        <v>46062</v>
      </c>
      <c r="C16">
        <v>1357</v>
      </c>
      <c r="E16" s="53" t="s">
        <v>58</v>
      </c>
      <c r="F16" s="24">
        <f t="shared" ca="1" si="0"/>
        <v>83350</v>
      </c>
      <c r="G16" s="24" t="str">
        <f t="shared" si="7"/>
        <v>500.01.048128</v>
      </c>
      <c r="H16" s="24" t="str">
        <f t="shared" si="8"/>
        <v>09/02/2026</v>
      </c>
      <c r="I16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'500.01.048128' ), '09/02/2026', ( SELECT MAX(NROCUPACAOM) FROM GPE_OCUPACAOH WHERE NRORG = 1038 AND CDINTEGRACAO = '1357' ), 1, 'Alteracao incluida via migracao realizada em: ' || TO_CHAR(SYSDATE), SYSDATE, 1038, '000000099991', 1 ); COMMIT;</v>
      </c>
      <c r="J16" s="29" t="str">
        <f t="shared" ca="1" si="6"/>
        <v/>
      </c>
      <c r="K16" s="45" t="s">
        <v>46</v>
      </c>
      <c r="M16" s="16" t="str">
        <f ca="1"/>
        <v>500.01.048128090220261357</v>
      </c>
      <c r="N16" s="16" t="str">
        <f ca="1"/>
        <v>não existe</v>
      </c>
      <c r="Q16" s="16" t="str">
        <f ca="1"/>
        <v>500.01.048128</v>
      </c>
      <c r="R16" s="48" t="str">
        <f ca="1"/>
        <v xml:space="preserve">  - 500.01.048128</v>
      </c>
      <c r="S16" s="16">
        <f ca="1"/>
        <v>1357</v>
      </c>
      <c r="U16" s="48" t="str">
        <f ca="1"/>
        <v xml:space="preserve">  - Ocupação: 811, vínculo (matrícula): 002.01.863761</v>
      </c>
    </row>
    <row r="17" spans="1:21" ht="12.75" x14ac:dyDescent="0.2">
      <c r="A17" t="s">
        <v>185</v>
      </c>
      <c r="B17" s="42">
        <v>46072</v>
      </c>
      <c r="C17">
        <v>1005</v>
      </c>
      <c r="E17" s="53" t="s">
        <v>58</v>
      </c>
      <c r="F17" s="24">
        <f t="shared" ca="1" si="0"/>
        <v>83350</v>
      </c>
      <c r="G17" s="24" t="str">
        <f t="shared" si="7"/>
        <v>500.01.048153</v>
      </c>
      <c r="H17" s="24" t="str">
        <f t="shared" si="8"/>
        <v>19/02/2026</v>
      </c>
      <c r="I17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'500.01.048153' ), '19/02/2026', ( SELECT MAX(NROCUPACAOM) FROM GPE_OCUPACAOH WHERE NRORG = 1038 AND CDINTEGRACAO = '1005' ), 1, 'Alteracao incluida via migracao realizada em: ' || TO_CHAR(SYSDATE), SYSDATE, 1038, '000000099991', 1 ); COMMIT;</v>
      </c>
      <c r="J17" s="29" t="str">
        <f t="shared" ca="1" si="6"/>
        <v/>
      </c>
      <c r="K17" s="45" t="s">
        <v>53</v>
      </c>
      <c r="M17" s="16" t="str">
        <f ca="1"/>
        <v>500.01.048153190220261005</v>
      </c>
      <c r="N17" s="16" t="str">
        <f ca="1"/>
        <v>não existe</v>
      </c>
      <c r="Q17" s="16" t="str">
        <f ca="1"/>
        <v>500.01.048153</v>
      </c>
      <c r="R17" s="48" t="str">
        <f ca="1"/>
        <v xml:space="preserve">  - 500.01.048153</v>
      </c>
      <c r="S17" s="16" t="str">
        <f ca="1"/>
        <v>existe</v>
      </c>
      <c r="U17" s="48" t="str">
        <f ca="1"/>
        <v xml:space="preserve">  - Ocupação: 910, vínculo (matrícula): 003.01.863751</v>
      </c>
    </row>
    <row r="18" spans="1:21" ht="12.75" x14ac:dyDescent="0.2">
      <c r="A18" t="s">
        <v>185</v>
      </c>
      <c r="B18" s="42">
        <v>46078</v>
      </c>
      <c r="C18">
        <v>1005</v>
      </c>
      <c r="E18" s="53" t="s">
        <v>58</v>
      </c>
      <c r="F18" s="24">
        <f t="shared" ca="1" si="0"/>
        <v>83350</v>
      </c>
      <c r="G18" s="24" t="str">
        <f t="shared" si="7"/>
        <v>500.01.048153</v>
      </c>
      <c r="H18" s="24" t="str">
        <f t="shared" si="8"/>
        <v>25/02/2026</v>
      </c>
      <c r="I18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'500.01.048153' ), '25/02/2026', ( SELECT MAX(NROCUPACAOM) FROM GPE_OCUPACAOH WHERE NRORG = 1038 AND CDINTEGRACAO = '1005' ), 1, 'Alteracao incluida via migracao realizada em: ' || TO_CHAR(SYSDATE), SYSDATE, 1038, '000000099991', 1 ); COMMIT;</v>
      </c>
      <c r="J18" s="29" t="str">
        <f t="shared" ca="1" si="6"/>
        <v/>
      </c>
      <c r="K18" s="45" t="s">
        <v>43</v>
      </c>
      <c r="L18" s="47">
        <f>COUNTA( Base!K:K )</f>
        <v>30</v>
      </c>
      <c r="M18" s="16" t="str">
        <f ca="1"/>
        <v>500.01.048153250220261005</v>
      </c>
      <c r="N18" s="16" t="str">
        <f ca="1"/>
        <v>não existe</v>
      </c>
      <c r="Q18" s="16" t="str">
        <f ca="1"/>
        <v>500.01.048153</v>
      </c>
      <c r="R18" s="48" t="str">
        <f ca="1"/>
        <v xml:space="preserve">  - 500.01.048169</v>
      </c>
      <c r="S18" s="16" t="str">
        <f ca="1"/>
        <v>existe</v>
      </c>
    </row>
    <row r="19" spans="1:21" ht="12.75" x14ac:dyDescent="0.2">
      <c r="A19" t="s">
        <v>186</v>
      </c>
      <c r="B19" s="42">
        <v>46072</v>
      </c>
      <c r="C19">
        <v>1005</v>
      </c>
      <c r="E19" s="53" t="s">
        <v>58</v>
      </c>
      <c r="F19" s="24">
        <f t="shared" ca="1" si="0"/>
        <v>83350</v>
      </c>
      <c r="G19" s="24" t="str">
        <f t="shared" si="7"/>
        <v>500.01.048169</v>
      </c>
      <c r="H19" s="24" t="str">
        <f t="shared" si="8"/>
        <v>19/02/2026</v>
      </c>
      <c r="I19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'500.01.048169' ), '19/02/2026', ( SELECT MAX(NROCUPACAOM) FROM GPE_OCUPACAOH WHERE NRORG = 1038 AND CDINTEGRACAO = '1005' ), 1, 'Alteracao incluida via migracao realizada em: ' || TO_CHAR(SYSDATE), SYSDATE, 1038, '000000099991', 1 ); COMMIT;</v>
      </c>
      <c r="J19" s="29" t="str">
        <f t="shared" ca="1" si="6"/>
        <v/>
      </c>
      <c r="K19" s="45" t="s">
        <v>54</v>
      </c>
      <c r="L19" s="47" t="str">
        <f>"Base!J2:J" &amp; $L$18</f>
        <v>Base!J2:J30</v>
      </c>
      <c r="M19" s="16" t="str">
        <f ca="1"/>
        <v>500.01.048169190220261005</v>
      </c>
      <c r="N19" s="16" t="str">
        <f ca="1"/>
        <v>não existe</v>
      </c>
      <c r="Q19" s="16" t="str">
        <f ca="1"/>
        <v>500.01.048169</v>
      </c>
      <c r="R19" s="48" t="str">
        <f ca="1"/>
        <v xml:space="preserve">  - 500.01.048187</v>
      </c>
      <c r="S19" s="16" t="str">
        <f ca="1"/>
        <v>existe</v>
      </c>
    </row>
    <row r="20" spans="1:21" ht="12.75" x14ac:dyDescent="0.2">
      <c r="A20" t="s">
        <v>187</v>
      </c>
      <c r="B20" s="42">
        <v>46072</v>
      </c>
      <c r="C20">
        <v>664</v>
      </c>
      <c r="E20" s="53" t="s">
        <v>58</v>
      </c>
      <c r="F20" s="24">
        <f t="shared" ca="1" si="0"/>
        <v>83350</v>
      </c>
      <c r="G20" s="24" t="str">
        <f t="shared" si="7"/>
        <v>500.01.048187</v>
      </c>
      <c r="H20" s="24" t="str">
        <f t="shared" si="8"/>
        <v>19/02/2026</v>
      </c>
      <c r="I20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'500.01.048187' ), '19/02/2026', ( SELECT MAX(NROCUPACAOM) FROM GPE_OCUPACAOH WHERE NRORG = 1038 AND CDINTEGRACAO = '664' ), 1, 'Alteracao incluida via migracao realizada em: ' || TO_CHAR(SYSDATE), SYSDATE, 1038, '000000099991', 1 ); COMMIT;</v>
      </c>
      <c r="J20" s="29" t="str">
        <f t="shared" ca="1" si="6"/>
        <v/>
      </c>
      <c r="K20" s="45" t="s">
        <v>55</v>
      </c>
      <c r="L20" s="47" t="str">
        <f>"Base!N2:N" &amp; $L$18</f>
        <v>Base!N2:N30</v>
      </c>
      <c r="M20" s="16" t="str">
        <f ca="1"/>
        <v>500.01.04818719022026664</v>
      </c>
      <c r="N20" s="16" t="str">
        <f ca="1"/>
        <v>não existe</v>
      </c>
      <c r="Q20" s="16" t="str">
        <f ca="1"/>
        <v>500.01.048187</v>
      </c>
      <c r="R20" s="48" t="str">
        <f ca="1"/>
        <v xml:space="preserve">  - 500.01.048211</v>
      </c>
      <c r="S20" s="16">
        <f ca="1"/>
        <v>664</v>
      </c>
    </row>
    <row r="21" spans="1:21" ht="12.75" x14ac:dyDescent="0.2">
      <c r="A21" t="s">
        <v>187</v>
      </c>
      <c r="B21" s="42">
        <v>46127</v>
      </c>
      <c r="C21">
        <v>1368</v>
      </c>
      <c r="E21" s="53" t="s">
        <v>58</v>
      </c>
      <c r="F21" s="24">
        <f t="shared" ca="1" si="0"/>
        <v>83350</v>
      </c>
      <c r="G21" s="24" t="str">
        <f t="shared" si="7"/>
        <v>500.01.048187</v>
      </c>
      <c r="H21" s="24" t="str">
        <f t="shared" si="8"/>
        <v>15/04/2026</v>
      </c>
      <c r="I21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'500.01.048187' ), '15/04/2026', ( SELECT MAX(NROCUPACAOM) FROM GPE_OCUPACAOH WHERE NRORG = 1038 AND CDINTEGRACAO = '1368' ), 1, 'Alteracao incluida via migracao realizada em: ' || TO_CHAR(SYSDATE), SYSDATE, 1038, '000000099991', 1 ); COMMIT;</v>
      </c>
      <c r="J21" s="29" t="str">
        <f t="shared" ca="1" si="6"/>
        <v/>
      </c>
      <c r="K21" s="45" t="s">
        <v>46</v>
      </c>
      <c r="M21" s="16" t="str">
        <f ca="1"/>
        <v>500.01.048187150420261368</v>
      </c>
      <c r="N21" s="16" t="str">
        <f ca="1"/>
        <v>não existe</v>
      </c>
      <c r="Q21" s="16" t="str">
        <f ca="1"/>
        <v>500.01.048187</v>
      </c>
      <c r="R21" s="48" t="str">
        <f ca="1"/>
        <v xml:space="preserve">  - 500.01.048235</v>
      </c>
      <c r="S21" s="16">
        <f ca="1"/>
        <v>1368</v>
      </c>
    </row>
    <row r="22" spans="1:21" ht="12.75" x14ac:dyDescent="0.2">
      <c r="A22" t="s">
        <v>188</v>
      </c>
      <c r="B22" s="42">
        <v>46083</v>
      </c>
      <c r="C22">
        <v>1362</v>
      </c>
      <c r="E22" s="26"/>
      <c r="F22" s="24">
        <f t="shared" ca="1" si="0"/>
        <v>83350</v>
      </c>
      <c r="G22" s="24" t="str">
        <f t="shared" si="7"/>
        <v>500.01.048211</v>
      </c>
      <c r="H22" s="24" t="str">
        <f t="shared" si="8"/>
        <v>02/03/2026</v>
      </c>
      <c r="I22" s="24" t="str">
        <f t="shared" ca="1" si="9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'500.01.048211' ), '02/03/2026', ( SELECT MAX(NROCUPACAOM) FROM GPE_OCUPACAOH WHERE NRORG = 1038 AND CDINTEGRACAO = '1362' ), 1, 'Alteracao incluida via migracao realizada em: ' || TO_CHAR(SYSDATE), SYSDATE, 1038, '000000099991', 1 ); COMMIT;</v>
      </c>
      <c r="J22" s="29" t="str">
        <f t="shared" ca="1" si="6"/>
        <v/>
      </c>
      <c r="M22" s="16" t="str">
        <f ca="1"/>
        <v>500.01.048211020320261362</v>
      </c>
      <c r="N22" s="16" t="str">
        <f ca="1"/>
        <v>não existe</v>
      </c>
      <c r="Q22" s="16" t="str">
        <f ca="1"/>
        <v>500.01.048211</v>
      </c>
      <c r="R22" s="48" t="str">
        <f ca="1"/>
        <v xml:space="preserve">  - 500.01.048255</v>
      </c>
      <c r="S22" s="16">
        <f ca="1"/>
        <v>1362</v>
      </c>
    </row>
    <row r="23" spans="1:21" ht="12.75" x14ac:dyDescent="0.2">
      <c r="A23" t="s">
        <v>189</v>
      </c>
      <c r="B23" s="42">
        <v>46090</v>
      </c>
      <c r="C23">
        <v>1392</v>
      </c>
      <c r="E23" s="26"/>
      <c r="F23" s="24">
        <f t="shared" ref="F23:F30" ca="1" si="10">IF( AND( Q23 = "existe", S23 = "existe" ), F22 + 1, F22 )</f>
        <v>83350</v>
      </c>
      <c r="G23" s="24" t="str">
        <f t="shared" ref="G23:G30" si="11">A23</f>
        <v>500.01.048235</v>
      </c>
      <c r="H23" s="24" t="str">
        <f t="shared" ref="H23:H30" si="12">TEXT(B23,"DD/MM/AAAA")</f>
        <v>09/03/2026</v>
      </c>
      <c r="I23" s="24" t="str">
        <f t="shared" ref="I23:I30" ca="1" si="13">SUBSTITUTE(SUBSTITUTE(SUBSTITUTE(SUBSTITUTE(SUBSTITUTE(SUBSTITUTE(SUBSTITUTE($I$2,"@NRORG@",$E$2),$A$1,A23),$A$1,A23),$C$1,C23),$F$1,F23),$G$1,G23),$H$1,H23)</f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'500.01.048235' ), '09/03/2026', ( SELECT MAX(NROCUPACAOM) FROM GPE_OCUPACAOH WHERE NRORG = 1038 AND CDINTEGRACAO = '1392' ), 1, 'Alteracao incluida via migracao realizada em: ' || TO_CHAR(SYSDATE), SYSDATE, 1038, '000000099991', 1 ); COMMIT;</v>
      </c>
      <c r="J23" s="29" t="str">
        <f t="shared" ca="1" si="6"/>
        <v/>
      </c>
      <c r="M23" s="16" t="str">
        <f ca="1"/>
        <v>500.01.048235090320261392</v>
      </c>
      <c r="N23" s="16" t="str">
        <f ca="1"/>
        <v>não existe</v>
      </c>
      <c r="Q23" s="16" t="str">
        <f ca="1"/>
        <v>500.01.048235</v>
      </c>
      <c r="R23" s="48" t="str">
        <f ca="1"/>
        <v xml:space="preserve">  - 500.01.048279</v>
      </c>
      <c r="S23" s="16">
        <f ca="1"/>
        <v>1392</v>
      </c>
    </row>
    <row r="24" spans="1:21" ht="12.75" x14ac:dyDescent="0.2">
      <c r="A24" t="s">
        <v>190</v>
      </c>
      <c r="B24" s="42">
        <v>46099</v>
      </c>
      <c r="C24">
        <v>1005</v>
      </c>
      <c r="E24" s="26"/>
      <c r="F24" s="24">
        <f t="shared" ca="1" si="10"/>
        <v>83350</v>
      </c>
      <c r="G24" s="24" t="str">
        <f t="shared" si="11"/>
        <v>500.01.048255</v>
      </c>
      <c r="H24" s="24" t="str">
        <f t="shared" si="12"/>
        <v>18/03/2026</v>
      </c>
      <c r="I24" s="24" t="str">
        <f t="shared" ca="1" si="1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'500.01.048255' ), '18/03/2026', ( SELECT MAX(NROCUPACAOM) FROM GPE_OCUPACAOH WHERE NRORG = 1038 AND CDINTEGRACAO = '1005' ), 1, 'Alteracao incluida via migracao realizada em: ' || TO_CHAR(SYSDATE), SYSDATE, 1038, '000000099991', 1 ); COMMIT;</v>
      </c>
      <c r="J24" s="29" t="str">
        <f t="shared" ca="1" si="6"/>
        <v/>
      </c>
      <c r="M24" s="16" t="str">
        <f ca="1"/>
        <v>500.01.048255180320261005</v>
      </c>
      <c r="N24" s="16" t="str">
        <f ca="1"/>
        <v>não existe</v>
      </c>
      <c r="Q24" s="16" t="str">
        <f ca="1"/>
        <v>500.01.048255</v>
      </c>
      <c r="R24" s="48" t="str">
        <f ca="1"/>
        <v xml:space="preserve">  - 500.01.048303</v>
      </c>
      <c r="S24" s="16" t="str">
        <f ca="1"/>
        <v>existe</v>
      </c>
    </row>
    <row r="25" spans="1:21" ht="12.75" x14ac:dyDescent="0.2">
      <c r="A25" t="s">
        <v>191</v>
      </c>
      <c r="B25" s="42">
        <v>46104</v>
      </c>
      <c r="C25">
        <v>1009</v>
      </c>
      <c r="E25" s="26"/>
      <c r="F25" s="24">
        <f t="shared" ca="1" si="10"/>
        <v>83350</v>
      </c>
      <c r="G25" s="24" t="str">
        <f t="shared" si="11"/>
        <v>500.01.048279</v>
      </c>
      <c r="H25" s="24" t="str">
        <f t="shared" si="12"/>
        <v>23/03/2026</v>
      </c>
      <c r="I25" s="24" t="str">
        <f t="shared" ca="1" si="1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'500.01.048279' ), '23/03/2026', ( SELECT MAX(NROCUPACAOM) FROM GPE_OCUPACAOH WHERE NRORG = 1038 AND CDINTEGRACAO = '1009' ), 1, 'Alteracao incluida via migracao realizada em: ' || TO_CHAR(SYSDATE), SYSDATE, 1038, '000000099991', 1 ); COMMIT;</v>
      </c>
      <c r="J25" s="29" t="str">
        <f t="shared" ca="1" si="6"/>
        <v/>
      </c>
      <c r="M25" s="16" t="str">
        <f ca="1"/>
        <v>500.01.048279230320261009</v>
      </c>
      <c r="N25" s="16" t="str">
        <f ca="1"/>
        <v>não existe</v>
      </c>
      <c r="Q25" s="16" t="str">
        <f ca="1"/>
        <v>500.01.048279</v>
      </c>
      <c r="R25" s="48" t="str">
        <f ca="1"/>
        <v xml:space="preserve">  - 500.01.048320</v>
      </c>
      <c r="S25" s="16" t="str">
        <f ca="1"/>
        <v>existe</v>
      </c>
    </row>
    <row r="26" spans="1:21" ht="12.75" x14ac:dyDescent="0.2">
      <c r="A26" t="s">
        <v>192</v>
      </c>
      <c r="B26" s="42">
        <v>46110</v>
      </c>
      <c r="C26">
        <v>1348</v>
      </c>
      <c r="E26" s="26"/>
      <c r="F26" s="24">
        <f t="shared" ca="1" si="10"/>
        <v>83350</v>
      </c>
      <c r="G26" s="24" t="str">
        <f t="shared" si="11"/>
        <v>500.01.048303</v>
      </c>
      <c r="H26" s="24" t="str">
        <f t="shared" si="12"/>
        <v>29/03/2026</v>
      </c>
      <c r="I26" s="24" t="str">
        <f t="shared" ca="1" si="1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'500.01.048303' ), '29/03/2026', ( SELECT MAX(NROCUPACAOM) FROM GPE_OCUPACAOH WHERE NRORG = 1038 AND CDINTEGRACAO = '1348' ), 1, 'Alteracao incluida via migracao realizada em: ' || TO_CHAR(SYSDATE), SYSDATE, 1038, '000000099991', 1 ); COMMIT;</v>
      </c>
      <c r="J26" s="29" t="str">
        <f t="shared" ca="1" si="6"/>
        <v/>
      </c>
      <c r="M26" s="16" t="str">
        <f ca="1"/>
        <v>500.01.048303290320261348</v>
      </c>
      <c r="N26" s="16" t="str">
        <f ca="1"/>
        <v>não existe</v>
      </c>
      <c r="Q26" s="16" t="str">
        <f ca="1"/>
        <v>500.01.048303</v>
      </c>
      <c r="R26" s="48" t="str">
        <f ca="1"/>
        <v xml:space="preserve">  - 500.01.048336</v>
      </c>
      <c r="S26" s="16">
        <f ca="1"/>
        <v>1348</v>
      </c>
    </row>
    <row r="27" spans="1:21" ht="12.75" x14ac:dyDescent="0.2">
      <c r="A27" t="s">
        <v>193</v>
      </c>
      <c r="B27" s="42">
        <v>46120</v>
      </c>
      <c r="C27">
        <v>1392</v>
      </c>
      <c r="E27" s="26"/>
      <c r="F27" s="24">
        <f t="shared" ca="1" si="10"/>
        <v>83350</v>
      </c>
      <c r="G27" s="24" t="str">
        <f t="shared" si="11"/>
        <v>500.01.048320</v>
      </c>
      <c r="H27" s="24" t="str">
        <f t="shared" si="12"/>
        <v>08/04/2026</v>
      </c>
      <c r="I27" s="24" t="str">
        <f t="shared" ca="1" si="1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'500.01.048320' ), '08/04/2026', ( SELECT MAX(NROCUPACAOM) FROM GPE_OCUPACAOH WHERE NRORG = 1038 AND CDINTEGRACAO = '1392' ), 1, 'Alteracao incluida via migracao realizada em: ' || TO_CHAR(SYSDATE), SYSDATE, 1038, '000000099991', 1 ); COMMIT;</v>
      </c>
      <c r="J27" s="29" t="str">
        <f t="shared" ca="1" si="6"/>
        <v/>
      </c>
      <c r="M27" s="16" t="str">
        <f ca="1"/>
        <v>500.01.048320080420261392</v>
      </c>
      <c r="N27" s="16" t="str">
        <f ca="1"/>
        <v>não existe</v>
      </c>
      <c r="Q27" s="16" t="str">
        <f ca="1"/>
        <v>500.01.048320</v>
      </c>
      <c r="R27" s="48" t="str">
        <f ca="1"/>
        <v xml:space="preserve">  - 500.01.048352</v>
      </c>
      <c r="S27" s="16">
        <f ca="1"/>
        <v>1392</v>
      </c>
    </row>
    <row r="28" spans="1:21" ht="12.75" x14ac:dyDescent="0.2">
      <c r="A28" t="s">
        <v>193</v>
      </c>
      <c r="B28" s="42">
        <v>46127</v>
      </c>
      <c r="C28">
        <v>29</v>
      </c>
      <c r="E28" s="26"/>
      <c r="F28" s="24">
        <f t="shared" ca="1" si="10"/>
        <v>83350</v>
      </c>
      <c r="G28" s="24" t="str">
        <f t="shared" si="11"/>
        <v>500.01.048320</v>
      </c>
      <c r="H28" s="24" t="str">
        <f t="shared" si="12"/>
        <v>15/04/2026</v>
      </c>
      <c r="I28" s="24" t="str">
        <f t="shared" ca="1" si="1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'500.01.048320' ), '15/04/2026', ( SELECT MAX(NROCUPACAOM) FROM GPE_OCUPACAOH WHERE NRORG = 1038 AND CDINTEGRACAO = '29' ), 1, 'Alteracao incluida via migracao realizada em: ' || TO_CHAR(SYSDATE), SYSDATE, 1038, '000000099991', 1 ); COMMIT;</v>
      </c>
      <c r="J28" s="29" t="str">
        <f t="shared" ca="1" si="6"/>
        <v/>
      </c>
      <c r="M28" s="16" t="str">
        <f ca="1"/>
        <v>500.01.0483201504202629</v>
      </c>
      <c r="N28" s="16" t="str">
        <f ca="1"/>
        <v>não existe</v>
      </c>
      <c r="Q28" s="16" t="str">
        <f ca="1"/>
        <v>500.01.048320</v>
      </c>
      <c r="S28" s="16">
        <f ca="1"/>
        <v>29</v>
      </c>
    </row>
    <row r="29" spans="1:21" ht="12.75" x14ac:dyDescent="0.2">
      <c r="A29" t="s">
        <v>194</v>
      </c>
      <c r="B29" s="42">
        <v>46127</v>
      </c>
      <c r="C29">
        <v>1005</v>
      </c>
      <c r="E29" s="26"/>
      <c r="F29" s="24">
        <f t="shared" ca="1" si="10"/>
        <v>83350</v>
      </c>
      <c r="G29" s="24" t="str">
        <f t="shared" si="11"/>
        <v>500.01.048336</v>
      </c>
      <c r="H29" s="24" t="str">
        <f t="shared" si="12"/>
        <v>15/04/2026</v>
      </c>
      <c r="I29" s="24" t="str">
        <f t="shared" ca="1" si="1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'500.01.048336' ), '15/04/2026', ( SELECT MAX(NROCUPACAOM) FROM GPE_OCUPACAOH WHERE NRORG = 1038 AND CDINTEGRACAO = '1005' ), 1, 'Alteracao incluida via migracao realizada em: ' || TO_CHAR(SYSDATE), SYSDATE, 1038, '000000099991', 1 ); COMMIT;</v>
      </c>
      <c r="J29" s="29" t="str">
        <f t="shared" ca="1" si="6"/>
        <v/>
      </c>
      <c r="M29" s="16" t="str">
        <f ca="1"/>
        <v>500.01.048336150420261005</v>
      </c>
      <c r="N29" s="16" t="str">
        <f ca="1"/>
        <v>não existe</v>
      </c>
      <c r="Q29" s="16" t="str">
        <f ca="1"/>
        <v>500.01.048336</v>
      </c>
      <c r="S29" s="16" t="str">
        <f ca="1"/>
        <v>existe</v>
      </c>
    </row>
    <row r="30" spans="1:21" ht="12.75" x14ac:dyDescent="0.2">
      <c r="A30" t="s">
        <v>195</v>
      </c>
      <c r="B30" s="42">
        <v>46139</v>
      </c>
      <c r="C30">
        <v>1005</v>
      </c>
      <c r="E30" s="26"/>
      <c r="F30" s="24">
        <f t="shared" ca="1" si="10"/>
        <v>83350</v>
      </c>
      <c r="G30" s="24" t="str">
        <f t="shared" si="11"/>
        <v>500.01.048352</v>
      </c>
      <c r="H30" s="24" t="str">
        <f t="shared" si="12"/>
        <v>27/04/2026</v>
      </c>
      <c r="I30" s="24" t="str">
        <f t="shared" ca="1" si="13"/>
        <v>INSERT INTO GPE_ALTEOCUPACAO ( NRORG, NRALTEOCUPACAO, NRVINCULOM, DTINIOCUPACAO, NROCUPACAOM, NRTPMODALIDSAL, DSOBSERVACAO, DTINCLUSAO, NRORGINCLUSAO, CDOPERINCLUSAO, NRTIPOOCUPACAO ) VALUES ( 1038, 83350, ( SELECT /*MAX(*/NRVINCULOM/*)*/ FROM GPE_VINCULOM WHERE NRORG = 1038 AND CDMATRICULA = '500.01.048352' ), '27/04/2026', ( SELECT MAX(NROCUPACAOM) FROM GPE_OCUPACAOH WHERE NRORG = 1038 AND CDINTEGRACAO = '1005' ), 1, 'Alteracao incluida via migracao realizada em: ' || TO_CHAR(SYSDATE), SYSDATE, 1038, '000000099991', 1 ); COMMIT;</v>
      </c>
      <c r="J30" s="29" t="str">
        <f t="shared" ca="1" si="6"/>
        <v/>
      </c>
      <c r="M30" s="16" t="str">
        <f ca="1"/>
        <v>500.01.048352270420261005</v>
      </c>
      <c r="N30" s="16" t="str">
        <f ca="1"/>
        <v>não existe</v>
      </c>
      <c r="Q30" s="16" t="str">
        <f ca="1"/>
        <v>500.01.048352</v>
      </c>
      <c r="S30" s="16" t="str">
        <f ca="1"/>
        <v>existe</v>
      </c>
    </row>
    <row r="31" spans="1:21" ht="12.75" x14ac:dyDescent="0.2">
      <c r="A31"/>
      <c r="B31" s="42"/>
      <c r="C31"/>
      <c r="E31" s="26"/>
      <c r="F31" s="24"/>
      <c r="G31" s="24"/>
      <c r="H31" s="24"/>
      <c r="I31" s="24"/>
      <c r="J31" s="29"/>
    </row>
    <row r="32" spans="1:21" ht="12.75" x14ac:dyDescent="0.2">
      <c r="A32"/>
      <c r="B32" s="42"/>
      <c r="C32"/>
      <c r="E32" s="26"/>
      <c r="F32" s="24"/>
      <c r="G32" s="24"/>
      <c r="H32" s="24"/>
      <c r="I32" s="24"/>
      <c r="J32" s="29"/>
    </row>
    <row r="33" spans="1:10" ht="12.75" x14ac:dyDescent="0.2">
      <c r="A33"/>
      <c r="B33" s="42"/>
      <c r="C33"/>
      <c r="E33" s="26"/>
      <c r="F33" s="24"/>
      <c r="G33" s="24"/>
      <c r="H33" s="24"/>
      <c r="I33" s="24"/>
      <c r="J33" s="29"/>
    </row>
    <row r="34" spans="1:10" ht="12.75" x14ac:dyDescent="0.2">
      <c r="A34"/>
      <c r="B34" s="42"/>
      <c r="C34"/>
      <c r="E34" s="26"/>
      <c r="F34" s="24"/>
      <c r="G34" s="24"/>
      <c r="H34" s="24"/>
      <c r="I34" s="24"/>
      <c r="J34" s="29"/>
    </row>
    <row r="35" spans="1:10" ht="12.75" x14ac:dyDescent="0.2">
      <c r="A35"/>
      <c r="B35" s="42"/>
      <c r="C35"/>
      <c r="E35" s="26"/>
      <c r="F35" s="24"/>
      <c r="G35" s="24"/>
      <c r="H35" s="24"/>
      <c r="I35" s="24"/>
      <c r="J35" s="29"/>
    </row>
    <row r="36" spans="1:10" ht="12.75" x14ac:dyDescent="0.2">
      <c r="A36"/>
      <c r="B36" s="42"/>
      <c r="C36"/>
      <c r="E36" s="26"/>
      <c r="F36" s="24"/>
      <c r="G36" s="24"/>
      <c r="H36" s="24"/>
      <c r="I36" s="24"/>
      <c r="J36" s="29"/>
    </row>
    <row r="37" spans="1:10" ht="12.75" x14ac:dyDescent="0.2">
      <c r="A37"/>
      <c r="B37" s="42"/>
      <c r="C37"/>
      <c r="E37" s="26"/>
      <c r="F37" s="24"/>
      <c r="G37" s="24"/>
      <c r="H37" s="24"/>
      <c r="I37" s="24"/>
      <c r="J37" s="29"/>
    </row>
    <row r="38" spans="1:10" ht="12.75" x14ac:dyDescent="0.2">
      <c r="A38"/>
      <c r="B38" s="42"/>
      <c r="C38"/>
      <c r="E38" s="26"/>
      <c r="F38" s="24"/>
      <c r="G38" s="24"/>
      <c r="H38" s="24"/>
      <c r="I38" s="24"/>
      <c r="J38" s="29"/>
    </row>
    <row r="39" spans="1:10" ht="12.75" x14ac:dyDescent="0.2">
      <c r="A39"/>
      <c r="B39" s="42"/>
      <c r="C39"/>
      <c r="E39" s="26"/>
      <c r="F39" s="24"/>
      <c r="G39" s="24"/>
      <c r="H39" s="24"/>
      <c r="I39" s="24"/>
      <c r="J39" s="29"/>
    </row>
    <row r="40" spans="1:10" ht="12.75" x14ac:dyDescent="0.2">
      <c r="A40"/>
      <c r="B40" s="42"/>
      <c r="C40"/>
      <c r="E40" s="26"/>
      <c r="F40" s="24"/>
      <c r="G40" s="24"/>
      <c r="H40" s="24"/>
      <c r="I40" s="24"/>
      <c r="J40" s="29"/>
    </row>
    <row r="41" spans="1:10" ht="12.75" x14ac:dyDescent="0.2">
      <c r="A41"/>
      <c r="B41" s="42"/>
      <c r="C41"/>
      <c r="E41" s="26"/>
      <c r="F41" s="24"/>
      <c r="G41" s="24"/>
      <c r="H41" s="24"/>
      <c r="I41" s="24"/>
      <c r="J41" s="29"/>
    </row>
    <row r="42" spans="1:10" ht="12.75" x14ac:dyDescent="0.2">
      <c r="A42"/>
      <c r="B42" s="42"/>
      <c r="C42"/>
      <c r="E42" s="26"/>
      <c r="F42" s="24"/>
      <c r="G42" s="24"/>
      <c r="H42" s="24"/>
      <c r="I42" s="24"/>
      <c r="J42" s="29"/>
    </row>
    <row r="43" spans="1:10" ht="12.75" x14ac:dyDescent="0.2">
      <c r="A43"/>
      <c r="B43" s="42"/>
      <c r="C43"/>
      <c r="E43" s="26"/>
      <c r="F43" s="24"/>
      <c r="G43" s="24"/>
      <c r="H43" s="24"/>
      <c r="I43" s="24"/>
      <c r="J43" s="29"/>
    </row>
    <row r="44" spans="1:10" ht="12.75" x14ac:dyDescent="0.2">
      <c r="A44"/>
      <c r="B44" s="42"/>
      <c r="C44"/>
      <c r="E44" s="26"/>
      <c r="F44" s="24"/>
      <c r="G44" s="24"/>
      <c r="H44" s="24"/>
      <c r="I44" s="24"/>
      <c r="J44" s="29"/>
    </row>
    <row r="45" spans="1:10" ht="12.75" x14ac:dyDescent="0.2">
      <c r="A45"/>
      <c r="B45" s="42"/>
      <c r="C45"/>
      <c r="E45" s="26"/>
      <c r="F45" s="24"/>
      <c r="G45" s="24"/>
      <c r="H45" s="24"/>
      <c r="I45" s="24"/>
      <c r="J45" s="29"/>
    </row>
    <row r="46" spans="1:10" ht="12.75" x14ac:dyDescent="0.2">
      <c r="A46"/>
      <c r="B46" s="42"/>
      <c r="C46"/>
      <c r="E46" s="26"/>
      <c r="F46" s="24"/>
      <c r="G46" s="24"/>
      <c r="H46" s="24"/>
      <c r="I46" s="24"/>
      <c r="J46" s="29"/>
    </row>
    <row r="47" spans="1:10" ht="12.75" x14ac:dyDescent="0.2">
      <c r="A47"/>
      <c r="B47" s="42"/>
      <c r="C47"/>
      <c r="E47" s="26"/>
      <c r="F47" s="24"/>
      <c r="G47" s="24"/>
      <c r="H47" s="24"/>
      <c r="I47" s="24"/>
      <c r="J47" s="29"/>
    </row>
    <row r="48" spans="1:10" ht="12.75" x14ac:dyDescent="0.2">
      <c r="A48"/>
      <c r="B48" s="42"/>
      <c r="C48"/>
      <c r="E48" s="26"/>
      <c r="F48" s="24"/>
      <c r="G48" s="24"/>
      <c r="H48" s="24"/>
      <c r="I48" s="24"/>
      <c r="J48" s="29"/>
    </row>
    <row r="49" spans="1:10" ht="12.75" x14ac:dyDescent="0.2">
      <c r="A49"/>
      <c r="B49" s="42"/>
      <c r="C49"/>
      <c r="E49" s="26"/>
      <c r="F49" s="24"/>
      <c r="G49" s="24"/>
      <c r="H49" s="24"/>
      <c r="I49" s="24"/>
      <c r="J49" s="29"/>
    </row>
    <row r="50" spans="1:10" ht="12.75" x14ac:dyDescent="0.2">
      <c r="A50"/>
      <c r="B50" s="42"/>
      <c r="C50"/>
      <c r="E50" s="26"/>
      <c r="F50" s="24"/>
      <c r="G50" s="24"/>
      <c r="H50" s="24"/>
      <c r="I50" s="24"/>
      <c r="J50" s="29"/>
    </row>
    <row r="51" spans="1:10" ht="12.75" x14ac:dyDescent="0.2">
      <c r="A51"/>
      <c r="B51" s="42"/>
      <c r="C51"/>
      <c r="E51" s="26"/>
      <c r="F51" s="24"/>
      <c r="G51" s="24"/>
      <c r="H51" s="24"/>
      <c r="I51" s="24"/>
      <c r="J51" s="29"/>
    </row>
    <row r="52" spans="1:10" ht="12.75" x14ac:dyDescent="0.2">
      <c r="A52"/>
      <c r="B52" s="42"/>
      <c r="C52"/>
      <c r="E52" s="26"/>
      <c r="F52" s="24"/>
      <c r="G52" s="24"/>
      <c r="H52" s="24"/>
      <c r="I52" s="24"/>
      <c r="J52" s="29"/>
    </row>
    <row r="53" spans="1:10" ht="12.75" x14ac:dyDescent="0.2">
      <c r="A53"/>
      <c r="B53" s="42"/>
      <c r="C53"/>
      <c r="E53" s="26"/>
      <c r="F53" s="24"/>
      <c r="G53" s="24"/>
      <c r="H53" s="24"/>
      <c r="I53" s="24"/>
      <c r="J53" s="29"/>
    </row>
    <row r="54" spans="1:10" ht="12.75" x14ac:dyDescent="0.2">
      <c r="A54"/>
      <c r="B54" s="42"/>
      <c r="C54"/>
      <c r="E54" s="26"/>
      <c r="F54" s="24"/>
      <c r="G54" s="24"/>
      <c r="H54" s="24"/>
      <c r="I54" s="24"/>
      <c r="J54" s="29"/>
    </row>
    <row r="55" spans="1:10" ht="12.75" x14ac:dyDescent="0.2">
      <c r="A55"/>
      <c r="B55" s="42"/>
      <c r="C55"/>
      <c r="E55" s="26"/>
      <c r="F55" s="24"/>
      <c r="G55" s="24"/>
      <c r="H55" s="24"/>
      <c r="I55" s="24"/>
      <c r="J55" s="29"/>
    </row>
    <row r="56" spans="1:10" ht="12.75" x14ac:dyDescent="0.2">
      <c r="A56"/>
      <c r="B56" s="42"/>
      <c r="C56"/>
      <c r="E56" s="26"/>
      <c r="F56" s="24"/>
      <c r="G56" s="24"/>
      <c r="H56" s="24"/>
      <c r="I56" s="24"/>
      <c r="J56" s="29"/>
    </row>
    <row r="57" spans="1:10" ht="12.75" x14ac:dyDescent="0.2">
      <c r="A57"/>
      <c r="B57" s="42"/>
      <c r="C57"/>
      <c r="E57" s="26"/>
      <c r="F57" s="24"/>
      <c r="G57" s="24"/>
      <c r="H57" s="24"/>
      <c r="I57" s="24"/>
      <c r="J57" s="29"/>
    </row>
    <row r="58" spans="1:10" ht="12.75" x14ac:dyDescent="0.2">
      <c r="A58"/>
      <c r="B58" s="42"/>
      <c r="C58"/>
      <c r="E58" s="26"/>
      <c r="F58" s="24"/>
      <c r="G58" s="24"/>
      <c r="H58" s="24"/>
      <c r="I58" s="24"/>
      <c r="J58" s="29"/>
    </row>
    <row r="59" spans="1:10" ht="12.75" x14ac:dyDescent="0.2">
      <c r="A59"/>
      <c r="B59" s="42"/>
      <c r="C59"/>
      <c r="E59" s="26"/>
      <c r="F59" s="24"/>
      <c r="G59" s="24"/>
      <c r="H59" s="24"/>
      <c r="I59" s="24"/>
      <c r="J59" s="29"/>
    </row>
    <row r="60" spans="1:10" ht="12.75" x14ac:dyDescent="0.2">
      <c r="A60"/>
      <c r="B60" s="42"/>
      <c r="C60"/>
      <c r="E60" s="26"/>
      <c r="F60" s="24"/>
      <c r="G60" s="24"/>
      <c r="H60" s="24"/>
      <c r="I60" s="24"/>
      <c r="J60" s="29"/>
    </row>
    <row r="61" spans="1:10" ht="12.75" x14ac:dyDescent="0.2">
      <c r="A61"/>
      <c r="B61" s="42"/>
      <c r="C61"/>
      <c r="E61" s="26"/>
      <c r="F61" s="24"/>
      <c r="G61" s="24"/>
      <c r="H61" s="24"/>
      <c r="I61" s="24"/>
      <c r="J61" s="29"/>
    </row>
    <row r="62" spans="1:10" ht="12.75" x14ac:dyDescent="0.2">
      <c r="A62"/>
      <c r="B62" s="42"/>
      <c r="C62"/>
      <c r="E62" s="26"/>
      <c r="F62" s="24"/>
      <c r="G62" s="24"/>
      <c r="H62" s="24"/>
      <c r="I62" s="24"/>
      <c r="J62" s="29"/>
    </row>
    <row r="63" spans="1:10" ht="12.75" x14ac:dyDescent="0.2">
      <c r="A63"/>
      <c r="B63" s="42"/>
      <c r="C63"/>
      <c r="E63" s="26"/>
      <c r="F63" s="24"/>
      <c r="G63" s="24"/>
      <c r="H63" s="24"/>
      <c r="I63" s="24"/>
      <c r="J63" s="29"/>
    </row>
    <row r="64" spans="1:10" ht="12.75" x14ac:dyDescent="0.2">
      <c r="A64"/>
      <c r="B64" s="42"/>
      <c r="C64"/>
      <c r="E64" s="26"/>
      <c r="F64" s="24"/>
      <c r="G64" s="24"/>
      <c r="H64" s="24"/>
      <c r="I64" s="24"/>
      <c r="J64" s="29"/>
    </row>
    <row r="65" spans="1:10" ht="12.75" x14ac:dyDescent="0.2">
      <c r="A65"/>
      <c r="B65" s="42"/>
      <c r="C65"/>
      <c r="E65" s="26"/>
      <c r="F65" s="24"/>
      <c r="G65" s="24"/>
      <c r="H65" s="24"/>
      <c r="I65" s="24"/>
      <c r="J65" s="29"/>
    </row>
    <row r="66" spans="1:10" ht="12.75" x14ac:dyDescent="0.2">
      <c r="A66"/>
      <c r="B66" s="42"/>
      <c r="C66"/>
      <c r="E66" s="26"/>
      <c r="F66" s="24"/>
      <c r="G66" s="24"/>
      <c r="H66" s="24"/>
      <c r="I66" s="24"/>
      <c r="J66" s="29"/>
    </row>
    <row r="67" spans="1:10" ht="12.75" x14ac:dyDescent="0.2">
      <c r="A67"/>
      <c r="B67" s="42"/>
      <c r="C67"/>
      <c r="E67" s="26"/>
      <c r="F67" s="24"/>
      <c r="G67" s="24"/>
      <c r="H67" s="24"/>
      <c r="I67" s="24"/>
      <c r="J67" s="29"/>
    </row>
    <row r="68" spans="1:10" ht="12.75" x14ac:dyDescent="0.2">
      <c r="A68"/>
      <c r="B68" s="42"/>
      <c r="C68"/>
      <c r="E68" s="26"/>
      <c r="F68" s="24"/>
      <c r="G68" s="24"/>
      <c r="H68" s="24"/>
      <c r="I68" s="24"/>
      <c r="J68" s="29"/>
    </row>
    <row r="69" spans="1:10" ht="12.75" x14ac:dyDescent="0.2">
      <c r="A69"/>
      <c r="B69" s="42"/>
      <c r="C69"/>
      <c r="E69" s="26"/>
      <c r="F69" s="24"/>
      <c r="G69" s="24"/>
      <c r="H69" s="24"/>
      <c r="I69" s="24"/>
      <c r="J69" s="29"/>
    </row>
    <row r="70" spans="1:10" ht="12.75" x14ac:dyDescent="0.2">
      <c r="A70"/>
      <c r="B70" s="42"/>
      <c r="C70"/>
      <c r="E70" s="26"/>
      <c r="F70" s="24"/>
      <c r="G70" s="24"/>
      <c r="H70" s="24"/>
      <c r="I70" s="24"/>
      <c r="J70" s="29"/>
    </row>
    <row r="71" spans="1:10" ht="12.75" x14ac:dyDescent="0.2">
      <c r="A71"/>
      <c r="B71" s="42"/>
      <c r="C71"/>
      <c r="E71" s="26"/>
      <c r="F71" s="24"/>
      <c r="G71" s="24"/>
      <c r="H71" s="24"/>
      <c r="I71" s="24"/>
      <c r="J71" s="29"/>
    </row>
    <row r="72" spans="1:10" ht="12.75" x14ac:dyDescent="0.2">
      <c r="A72"/>
      <c r="B72" s="42"/>
      <c r="C72"/>
      <c r="E72" s="26"/>
      <c r="F72" s="24"/>
      <c r="G72" s="24"/>
      <c r="H72" s="24"/>
      <c r="I72" s="24"/>
      <c r="J72" s="29"/>
    </row>
    <row r="73" spans="1:10" ht="12.75" x14ac:dyDescent="0.2">
      <c r="A73"/>
      <c r="B73" s="42"/>
      <c r="C73"/>
      <c r="E73" s="26"/>
      <c r="F73" s="24"/>
      <c r="G73" s="24"/>
      <c r="H73" s="24"/>
      <c r="I73" s="24"/>
      <c r="J73" s="29"/>
    </row>
    <row r="74" spans="1:10" ht="12.75" x14ac:dyDescent="0.2">
      <c r="A74"/>
      <c r="B74" s="42"/>
      <c r="C74"/>
      <c r="E74" s="26"/>
      <c r="F74" s="24"/>
      <c r="G74" s="24"/>
      <c r="H74" s="24"/>
      <c r="I74" s="24"/>
      <c r="J74" s="29"/>
    </row>
    <row r="75" spans="1:10" ht="12.75" x14ac:dyDescent="0.2">
      <c r="A75"/>
      <c r="B75" s="42"/>
      <c r="C75"/>
      <c r="E75" s="26"/>
      <c r="F75" s="24"/>
      <c r="G75" s="24"/>
      <c r="H75" s="24"/>
      <c r="I75" s="24"/>
      <c r="J75" s="29"/>
    </row>
    <row r="76" spans="1:10" ht="12.75" x14ac:dyDescent="0.2">
      <c r="A76"/>
      <c r="B76" s="42"/>
      <c r="C76"/>
      <c r="E76" s="26"/>
      <c r="F76" s="24"/>
      <c r="G76" s="24"/>
      <c r="H76" s="24"/>
      <c r="I76" s="24"/>
      <c r="J76" s="29"/>
    </row>
    <row r="77" spans="1:10" ht="12.75" x14ac:dyDescent="0.2">
      <c r="A77"/>
      <c r="B77" s="42"/>
      <c r="C77"/>
      <c r="E77" s="26"/>
      <c r="F77" s="24"/>
      <c r="G77" s="24"/>
      <c r="H77" s="24"/>
      <c r="I77" s="24"/>
      <c r="J77" s="29"/>
    </row>
    <row r="78" spans="1:10" ht="12.75" x14ac:dyDescent="0.2">
      <c r="A78"/>
      <c r="B78" s="42"/>
      <c r="C78"/>
      <c r="E78" s="26"/>
      <c r="F78" s="24"/>
      <c r="G78" s="24"/>
      <c r="H78" s="24"/>
      <c r="I78" s="24"/>
      <c r="J78" s="29"/>
    </row>
    <row r="79" spans="1:10" ht="12.75" x14ac:dyDescent="0.2">
      <c r="A79"/>
      <c r="B79" s="42"/>
      <c r="C79"/>
      <c r="E79" s="26"/>
      <c r="F79" s="24"/>
      <c r="G79" s="24"/>
      <c r="H79" s="24"/>
      <c r="I79" s="24"/>
      <c r="J79" s="29"/>
    </row>
    <row r="80" spans="1:10" ht="12.75" x14ac:dyDescent="0.2">
      <c r="A80"/>
      <c r="B80" s="42"/>
      <c r="C80"/>
      <c r="E80" s="26"/>
      <c r="F80" s="24"/>
      <c r="G80" s="24"/>
      <c r="H80" s="24"/>
      <c r="I80" s="24"/>
      <c r="J80" s="29"/>
    </row>
    <row r="81" spans="1:10" ht="12.75" x14ac:dyDescent="0.2">
      <c r="A81"/>
      <c r="B81" s="42"/>
      <c r="C81"/>
      <c r="E81" s="26"/>
      <c r="F81" s="24"/>
      <c r="G81" s="24"/>
      <c r="H81" s="24"/>
      <c r="I81" s="24"/>
      <c r="J81" s="29"/>
    </row>
    <row r="82" spans="1:10" ht="12.75" x14ac:dyDescent="0.2">
      <c r="A82"/>
      <c r="B82" s="42"/>
      <c r="C82"/>
      <c r="E82" s="26"/>
      <c r="F82" s="24"/>
      <c r="G82" s="24"/>
      <c r="H82" s="24"/>
      <c r="I82" s="24"/>
      <c r="J82" s="29"/>
    </row>
    <row r="83" spans="1:10" ht="12.75" x14ac:dyDescent="0.2">
      <c r="A83"/>
      <c r="B83" s="42"/>
      <c r="C83"/>
      <c r="E83" s="26"/>
      <c r="F83" s="24"/>
      <c r="G83" s="24"/>
      <c r="H83" s="24"/>
      <c r="I83" s="24"/>
      <c r="J83" s="29"/>
    </row>
    <row r="84" spans="1:10" ht="12.75" x14ac:dyDescent="0.2">
      <c r="A84"/>
      <c r="B84" s="42"/>
      <c r="C84"/>
      <c r="E84" s="26"/>
      <c r="F84" s="24"/>
      <c r="G84" s="24"/>
      <c r="H84" s="24"/>
      <c r="I84" s="24"/>
      <c r="J84" s="29"/>
    </row>
    <row r="85" spans="1:10" ht="12.75" x14ac:dyDescent="0.2">
      <c r="A85"/>
      <c r="B85" s="42"/>
      <c r="C85"/>
      <c r="E85" s="26"/>
      <c r="F85" s="24"/>
      <c r="G85" s="24"/>
      <c r="H85" s="24"/>
      <c r="I85" s="24"/>
      <c r="J85" s="29"/>
    </row>
    <row r="86" spans="1:10" ht="12.75" x14ac:dyDescent="0.2">
      <c r="A86"/>
      <c r="B86" s="42"/>
      <c r="C86"/>
      <c r="E86" s="26"/>
      <c r="F86" s="24"/>
      <c r="G86" s="24"/>
      <c r="H86" s="24"/>
      <c r="I86" s="24"/>
      <c r="J86" s="29"/>
    </row>
    <row r="87" spans="1:10" ht="12.75" x14ac:dyDescent="0.2">
      <c r="A87"/>
      <c r="B87" s="42"/>
      <c r="C87"/>
      <c r="E87" s="26"/>
      <c r="F87" s="24"/>
      <c r="G87" s="24"/>
      <c r="H87" s="24"/>
      <c r="I87" s="24"/>
      <c r="J87" s="29"/>
    </row>
    <row r="88" spans="1:10" ht="12.75" x14ac:dyDescent="0.2">
      <c r="A88"/>
      <c r="B88" s="42"/>
      <c r="C88"/>
      <c r="E88" s="26"/>
      <c r="F88" s="24"/>
      <c r="G88" s="24"/>
      <c r="H88" s="24"/>
      <c r="I88" s="24"/>
      <c r="J88" s="29"/>
    </row>
    <row r="89" spans="1:10" ht="12.75" x14ac:dyDescent="0.2">
      <c r="A89"/>
      <c r="B89" s="42"/>
      <c r="C89"/>
      <c r="E89" s="26"/>
      <c r="F89" s="24"/>
      <c r="G89" s="24"/>
      <c r="H89" s="24"/>
      <c r="I89" s="24"/>
      <c r="J89" s="29"/>
    </row>
    <row r="90" spans="1:10" ht="12.75" x14ac:dyDescent="0.2">
      <c r="A90"/>
      <c r="B90" s="42"/>
      <c r="C90"/>
      <c r="E90" s="26"/>
      <c r="F90" s="24"/>
      <c r="G90" s="24"/>
      <c r="H90" s="24"/>
      <c r="I90" s="24"/>
      <c r="J90" s="29"/>
    </row>
    <row r="91" spans="1:10" ht="12.75" x14ac:dyDescent="0.2">
      <c r="A91"/>
      <c r="B91" s="42"/>
      <c r="C91"/>
      <c r="E91" s="26"/>
      <c r="F91" s="24"/>
      <c r="G91" s="24"/>
      <c r="H91" s="24"/>
      <c r="I91" s="24"/>
      <c r="J91" s="29"/>
    </row>
    <row r="92" spans="1:10" ht="12.75" x14ac:dyDescent="0.2">
      <c r="A92"/>
      <c r="B92" s="42"/>
      <c r="C92"/>
      <c r="E92" s="26"/>
      <c r="F92" s="24"/>
      <c r="G92" s="24"/>
      <c r="H92" s="24"/>
      <c r="I92" s="24"/>
      <c r="J92" s="29"/>
    </row>
    <row r="93" spans="1:10" ht="12.75" x14ac:dyDescent="0.2">
      <c r="A93"/>
      <c r="B93" s="42"/>
      <c r="C93"/>
      <c r="E93" s="26"/>
      <c r="F93" s="24"/>
      <c r="G93" s="24"/>
      <c r="H93" s="24"/>
      <c r="I93" s="24"/>
      <c r="J93" s="29"/>
    </row>
    <row r="94" spans="1:10" ht="12.75" x14ac:dyDescent="0.2">
      <c r="A94"/>
      <c r="B94" s="42"/>
      <c r="C94"/>
      <c r="E94" s="26"/>
      <c r="F94" s="24"/>
      <c r="G94" s="24"/>
      <c r="H94" s="24"/>
      <c r="I94" s="24"/>
      <c r="J94" s="29"/>
    </row>
    <row r="95" spans="1:10" ht="12.75" x14ac:dyDescent="0.2">
      <c r="A95"/>
      <c r="B95" s="42"/>
      <c r="C95"/>
      <c r="E95" s="26"/>
      <c r="F95" s="24"/>
      <c r="G95" s="24"/>
      <c r="H95" s="24"/>
      <c r="I95" s="24"/>
      <c r="J95" s="29"/>
    </row>
    <row r="96" spans="1:10" ht="12.75" x14ac:dyDescent="0.2">
      <c r="A96"/>
      <c r="B96" s="42"/>
      <c r="C96"/>
      <c r="E96" s="26"/>
      <c r="F96" s="24"/>
      <c r="G96" s="24"/>
      <c r="H96" s="24"/>
      <c r="I96" s="24"/>
      <c r="J96" s="29"/>
    </row>
    <row r="97" spans="1:10" ht="12.75" x14ac:dyDescent="0.2">
      <c r="A97"/>
      <c r="B97" s="42"/>
      <c r="C97"/>
      <c r="E97" s="26"/>
      <c r="F97" s="24"/>
      <c r="G97" s="24"/>
      <c r="H97" s="24"/>
      <c r="I97" s="24"/>
      <c r="J97" s="29"/>
    </row>
    <row r="98" spans="1:10" ht="12.75" x14ac:dyDescent="0.2">
      <c r="A98"/>
      <c r="B98" s="42"/>
      <c r="C98"/>
      <c r="E98" s="26"/>
      <c r="F98" s="24"/>
      <c r="G98" s="24"/>
      <c r="H98" s="24"/>
      <c r="I98" s="24"/>
      <c r="J98" s="29"/>
    </row>
    <row r="99" spans="1:10" ht="12.75" x14ac:dyDescent="0.2">
      <c r="A99"/>
      <c r="B99" s="42"/>
      <c r="C99"/>
      <c r="E99" s="26"/>
      <c r="F99" s="24"/>
      <c r="G99" s="24"/>
      <c r="H99" s="24"/>
      <c r="I99" s="24"/>
      <c r="J99" s="29"/>
    </row>
    <row r="100" spans="1:10" ht="12.75" x14ac:dyDescent="0.2">
      <c r="A100"/>
      <c r="B100" s="42"/>
      <c r="C100"/>
      <c r="E100" s="26"/>
      <c r="F100" s="24"/>
      <c r="G100" s="24"/>
      <c r="H100" s="24"/>
      <c r="I100" s="24"/>
      <c r="J100" s="29"/>
    </row>
    <row r="101" spans="1:10" ht="12.75" x14ac:dyDescent="0.2">
      <c r="A101"/>
      <c r="B101" s="42"/>
      <c r="C101"/>
      <c r="E101" s="26"/>
      <c r="F101" s="24"/>
      <c r="G101" s="24"/>
      <c r="H101" s="24"/>
      <c r="I101" s="24"/>
      <c r="J101" s="29"/>
    </row>
    <row r="102" spans="1:10" ht="12.75" x14ac:dyDescent="0.2">
      <c r="A102"/>
      <c r="B102" s="42"/>
      <c r="C102"/>
      <c r="E102" s="26"/>
      <c r="F102" s="24"/>
      <c r="G102" s="24"/>
      <c r="H102" s="24"/>
      <c r="I102" s="24"/>
      <c r="J102" s="29"/>
    </row>
    <row r="103" spans="1:10" ht="12.75" x14ac:dyDescent="0.2">
      <c r="A103"/>
      <c r="B103" s="42"/>
      <c r="C103"/>
      <c r="E103" s="26"/>
      <c r="F103" s="24"/>
      <c r="G103" s="24"/>
      <c r="H103" s="24"/>
      <c r="I103" s="24"/>
      <c r="J103" s="29"/>
    </row>
    <row r="104" spans="1:10" ht="12.75" x14ac:dyDescent="0.2">
      <c r="A104"/>
      <c r="B104" s="42"/>
      <c r="C104"/>
      <c r="E104" s="26"/>
      <c r="F104" s="24"/>
      <c r="G104" s="24"/>
      <c r="H104" s="24"/>
      <c r="I104" s="24"/>
      <c r="J104" s="29"/>
    </row>
    <row r="105" spans="1:10" ht="12.75" x14ac:dyDescent="0.2">
      <c r="A105"/>
      <c r="B105" s="42"/>
      <c r="C105"/>
      <c r="E105" s="26"/>
      <c r="F105" s="24"/>
      <c r="G105" s="24"/>
      <c r="H105" s="24"/>
      <c r="I105" s="24"/>
      <c r="J105" s="29"/>
    </row>
    <row r="106" spans="1:10" ht="12.75" x14ac:dyDescent="0.2">
      <c r="A106"/>
      <c r="B106" s="42"/>
      <c r="C106"/>
      <c r="E106" s="26"/>
      <c r="F106" s="24"/>
      <c r="G106" s="24"/>
      <c r="H106" s="24"/>
      <c r="I106" s="24"/>
      <c r="J106" s="29"/>
    </row>
    <row r="107" spans="1:10" ht="12.75" x14ac:dyDescent="0.2">
      <c r="A107"/>
      <c r="B107" s="42"/>
      <c r="C107"/>
      <c r="E107" s="26"/>
      <c r="F107" s="24"/>
      <c r="G107" s="24"/>
      <c r="H107" s="24"/>
      <c r="I107" s="24"/>
      <c r="J107" s="29"/>
    </row>
    <row r="108" spans="1:10" ht="12.75" x14ac:dyDescent="0.2">
      <c r="A108"/>
      <c r="B108" s="42"/>
      <c r="C108"/>
      <c r="E108" s="26"/>
      <c r="F108" s="24"/>
      <c r="G108" s="24"/>
      <c r="H108" s="24"/>
      <c r="I108" s="24"/>
      <c r="J108" s="29"/>
    </row>
    <row r="109" spans="1:10" ht="12.75" x14ac:dyDescent="0.2">
      <c r="A109"/>
      <c r="B109" s="42"/>
      <c r="C109"/>
      <c r="E109" s="26"/>
      <c r="F109" s="24"/>
      <c r="G109" s="24"/>
      <c r="H109" s="24"/>
      <c r="I109" s="24"/>
      <c r="J109" s="29"/>
    </row>
    <row r="110" spans="1:10" ht="12.75" x14ac:dyDescent="0.2">
      <c r="A110"/>
      <c r="B110" s="42"/>
      <c r="C110"/>
      <c r="E110" s="26"/>
      <c r="F110" s="24"/>
      <c r="G110" s="24"/>
      <c r="H110" s="24"/>
      <c r="I110" s="24"/>
      <c r="J110" s="29"/>
    </row>
    <row r="111" spans="1:10" ht="12.75" x14ac:dyDescent="0.2">
      <c r="A111"/>
      <c r="B111" s="42"/>
      <c r="C111"/>
      <c r="E111" s="26"/>
      <c r="F111" s="24"/>
      <c r="G111" s="24"/>
      <c r="H111" s="24"/>
      <c r="I111" s="24"/>
      <c r="J111" s="29"/>
    </row>
    <row r="112" spans="1:10" ht="12.75" x14ac:dyDescent="0.2">
      <c r="A112"/>
      <c r="B112" s="42"/>
      <c r="C112"/>
      <c r="E112" s="26"/>
      <c r="F112" s="24"/>
      <c r="G112" s="24"/>
      <c r="H112" s="24"/>
      <c r="I112" s="24"/>
      <c r="J112" s="29"/>
    </row>
    <row r="113" spans="1:10" ht="12.75" x14ac:dyDescent="0.2">
      <c r="A113"/>
      <c r="B113" s="42"/>
      <c r="C113"/>
      <c r="E113" s="26"/>
      <c r="F113" s="24"/>
      <c r="G113" s="24"/>
      <c r="H113" s="24"/>
      <c r="I113" s="24"/>
      <c r="J113" s="29"/>
    </row>
    <row r="114" spans="1:10" ht="12.75" x14ac:dyDescent="0.2">
      <c r="A114"/>
      <c r="B114" s="42"/>
      <c r="C114"/>
      <c r="E114" s="26"/>
      <c r="F114" s="24"/>
      <c r="G114" s="24"/>
      <c r="H114" s="24"/>
      <c r="I114" s="24"/>
      <c r="J114" s="29"/>
    </row>
    <row r="115" spans="1:10" ht="12.75" x14ac:dyDescent="0.2">
      <c r="A115"/>
      <c r="B115" s="42"/>
      <c r="C115"/>
      <c r="E115" s="26"/>
      <c r="F115" s="24"/>
      <c r="G115" s="24"/>
      <c r="H115" s="24"/>
      <c r="I115" s="24"/>
      <c r="J115" s="29"/>
    </row>
    <row r="116" spans="1:10" ht="12.75" x14ac:dyDescent="0.2">
      <c r="A116"/>
      <c r="B116" s="42"/>
      <c r="C116"/>
      <c r="E116" s="26"/>
      <c r="F116" s="24"/>
      <c r="G116" s="24"/>
      <c r="H116" s="24"/>
      <c r="I116" s="24"/>
      <c r="J116" s="29"/>
    </row>
    <row r="117" spans="1:10" ht="12.75" x14ac:dyDescent="0.2">
      <c r="A117"/>
      <c r="B117" s="42"/>
      <c r="C117"/>
      <c r="E117" s="26"/>
      <c r="F117" s="24"/>
      <c r="G117" s="24"/>
      <c r="H117" s="24"/>
      <c r="I117" s="24"/>
      <c r="J117" s="29"/>
    </row>
    <row r="118" spans="1:10" ht="12.75" x14ac:dyDescent="0.2">
      <c r="A118"/>
      <c r="B118" s="42"/>
      <c r="C118"/>
      <c r="E118" s="26"/>
      <c r="F118" s="24"/>
      <c r="G118" s="24"/>
      <c r="H118" s="24"/>
      <c r="I118" s="24"/>
      <c r="J118" s="29"/>
    </row>
    <row r="119" spans="1:10" ht="12.75" x14ac:dyDescent="0.2">
      <c r="A119"/>
      <c r="B119" s="42"/>
      <c r="C119"/>
      <c r="E119" s="26"/>
      <c r="F119" s="24"/>
      <c r="G119" s="24"/>
      <c r="H119" s="24"/>
      <c r="I119" s="24"/>
      <c r="J119" s="29"/>
    </row>
    <row r="120" spans="1:10" ht="12.75" x14ac:dyDescent="0.2">
      <c r="A120"/>
      <c r="B120" s="42"/>
      <c r="C120"/>
      <c r="E120" s="26"/>
      <c r="F120" s="24"/>
      <c r="G120" s="24"/>
      <c r="H120" s="24"/>
      <c r="I120" s="24"/>
      <c r="J120" s="29"/>
    </row>
    <row r="121" spans="1:10" ht="12.75" x14ac:dyDescent="0.2">
      <c r="A121"/>
      <c r="B121" s="42"/>
      <c r="C121"/>
      <c r="E121" s="26"/>
      <c r="F121" s="24"/>
      <c r="G121" s="24"/>
      <c r="H121" s="24"/>
      <c r="I121" s="24"/>
      <c r="J121" s="29"/>
    </row>
    <row r="122" spans="1:10" ht="12.75" x14ac:dyDescent="0.2">
      <c r="A122"/>
      <c r="B122" s="42"/>
      <c r="C122"/>
      <c r="E122" s="26"/>
      <c r="F122" s="24"/>
      <c r="G122" s="24"/>
      <c r="H122" s="24"/>
      <c r="I122" s="24"/>
      <c r="J122" s="29"/>
    </row>
    <row r="123" spans="1:10" ht="12.75" x14ac:dyDescent="0.2">
      <c r="A123"/>
      <c r="B123" s="42"/>
      <c r="C123"/>
      <c r="E123" s="26"/>
      <c r="F123" s="24"/>
      <c r="G123" s="24"/>
      <c r="H123" s="24"/>
      <c r="I123" s="24"/>
      <c r="J123" s="29"/>
    </row>
    <row r="124" spans="1:10" ht="12.75" x14ac:dyDescent="0.2">
      <c r="A124"/>
      <c r="B124" s="42"/>
      <c r="C124"/>
      <c r="E124" s="26"/>
      <c r="F124" s="24"/>
      <c r="G124" s="24"/>
      <c r="H124" s="24"/>
      <c r="I124" s="24"/>
      <c r="J124" s="29"/>
    </row>
    <row r="125" spans="1:10" ht="12.75" x14ac:dyDescent="0.2">
      <c r="A125"/>
      <c r="B125" s="42"/>
      <c r="C125"/>
      <c r="E125" s="26"/>
      <c r="F125" s="24"/>
      <c r="G125" s="24"/>
      <c r="H125" s="24"/>
      <c r="I125" s="24"/>
      <c r="J125" s="29"/>
    </row>
    <row r="126" spans="1:10" ht="12.75" x14ac:dyDescent="0.2">
      <c r="A126"/>
      <c r="B126" s="42"/>
      <c r="C126"/>
      <c r="E126" s="26"/>
      <c r="F126" s="24"/>
      <c r="G126" s="24"/>
      <c r="H126" s="24"/>
      <c r="I126" s="24"/>
      <c r="J126" s="29"/>
    </row>
    <row r="127" spans="1:10" ht="12.75" x14ac:dyDescent="0.2">
      <c r="A127"/>
      <c r="B127" s="42"/>
      <c r="C127"/>
      <c r="E127" s="26"/>
      <c r="F127" s="24"/>
      <c r="G127" s="24"/>
      <c r="H127" s="24"/>
      <c r="I127" s="24"/>
      <c r="J127" s="29"/>
    </row>
    <row r="128" spans="1:10" ht="12.75" x14ac:dyDescent="0.2">
      <c r="A128"/>
      <c r="B128" s="42"/>
      <c r="C128"/>
      <c r="E128" s="26"/>
      <c r="F128" s="24"/>
      <c r="G128" s="24"/>
      <c r="H128" s="24"/>
      <c r="I128" s="24"/>
      <c r="J128" s="29"/>
    </row>
    <row r="129" spans="1:10" ht="12.75" x14ac:dyDescent="0.2">
      <c r="A129"/>
      <c r="B129" s="42"/>
      <c r="C129"/>
      <c r="E129" s="26"/>
      <c r="F129" s="24"/>
      <c r="G129" s="24"/>
      <c r="H129" s="24"/>
      <c r="I129" s="24"/>
      <c r="J129" s="29"/>
    </row>
    <row r="130" spans="1:10" ht="12.75" x14ac:dyDescent="0.2">
      <c r="A130"/>
      <c r="B130" s="42"/>
      <c r="C130"/>
      <c r="E130" s="26"/>
      <c r="F130" s="24"/>
      <c r="G130" s="24"/>
      <c r="H130" s="24"/>
      <c r="I130" s="24"/>
      <c r="J130" s="29"/>
    </row>
    <row r="131" spans="1:10" ht="12.75" x14ac:dyDescent="0.2">
      <c r="A131"/>
      <c r="B131" s="42"/>
      <c r="C131"/>
      <c r="E131" s="26"/>
      <c r="F131" s="24"/>
      <c r="G131" s="24"/>
      <c r="H131" s="24"/>
      <c r="I131" s="24"/>
      <c r="J131" s="29"/>
    </row>
    <row r="132" spans="1:10" ht="12.75" x14ac:dyDescent="0.2">
      <c r="A132"/>
      <c r="B132" s="42"/>
      <c r="C132"/>
      <c r="E132" s="26"/>
      <c r="F132" s="24"/>
      <c r="G132" s="24"/>
      <c r="H132" s="24"/>
      <c r="I132" s="24"/>
      <c r="J132" s="29"/>
    </row>
    <row r="133" spans="1:10" ht="12.75" x14ac:dyDescent="0.2">
      <c r="A133"/>
      <c r="B133" s="42"/>
      <c r="C133"/>
      <c r="E133" s="26"/>
      <c r="F133" s="24"/>
      <c r="G133" s="24"/>
      <c r="H133" s="24"/>
      <c r="I133" s="24"/>
      <c r="J133" s="29"/>
    </row>
    <row r="134" spans="1:10" ht="12.75" x14ac:dyDescent="0.2">
      <c r="A134"/>
      <c r="B134" s="42"/>
      <c r="C134"/>
      <c r="E134" s="26"/>
      <c r="F134" s="24"/>
      <c r="G134" s="24"/>
      <c r="H134" s="24"/>
      <c r="I134" s="24"/>
      <c r="J134" s="29"/>
    </row>
    <row r="135" spans="1:10" ht="12.75" x14ac:dyDescent="0.2">
      <c r="A135"/>
      <c r="B135" s="42"/>
      <c r="C135"/>
      <c r="E135" s="26"/>
      <c r="F135" s="24"/>
      <c r="G135" s="24"/>
      <c r="H135" s="24"/>
      <c r="I135" s="24"/>
      <c r="J135" s="29"/>
    </row>
    <row r="136" spans="1:10" ht="12.75" x14ac:dyDescent="0.2">
      <c r="A136"/>
      <c r="B136" s="42"/>
      <c r="C136"/>
      <c r="E136" s="26"/>
      <c r="F136" s="24"/>
      <c r="G136" s="24"/>
      <c r="H136" s="24"/>
      <c r="I136" s="24"/>
      <c r="J136" s="29"/>
    </row>
    <row r="137" spans="1:10" ht="12.75" x14ac:dyDescent="0.2">
      <c r="A137"/>
      <c r="B137" s="42"/>
      <c r="C137"/>
      <c r="E137" s="26"/>
      <c r="F137" s="24"/>
      <c r="G137" s="24"/>
      <c r="H137" s="24"/>
      <c r="I137" s="24"/>
      <c r="J137" s="29"/>
    </row>
    <row r="138" spans="1:10" ht="12.75" x14ac:dyDescent="0.2">
      <c r="A138"/>
      <c r="B138" s="42"/>
      <c r="C138"/>
      <c r="E138" s="26"/>
      <c r="F138" s="24"/>
      <c r="G138" s="24"/>
      <c r="H138" s="24"/>
      <c r="I138" s="24"/>
      <c r="J138" s="29"/>
    </row>
    <row r="139" spans="1:10" ht="12.75" x14ac:dyDescent="0.2">
      <c r="A139"/>
      <c r="B139" s="42"/>
      <c r="C139"/>
      <c r="E139" s="26"/>
      <c r="F139" s="24"/>
      <c r="G139" s="24"/>
      <c r="H139" s="24"/>
      <c r="I139" s="24"/>
      <c r="J139" s="29"/>
    </row>
    <row r="140" spans="1:10" ht="12.75" x14ac:dyDescent="0.2">
      <c r="A140"/>
      <c r="B140" s="42"/>
      <c r="C140"/>
      <c r="E140" s="26"/>
      <c r="F140" s="24"/>
      <c r="G140" s="24"/>
      <c r="H140" s="24"/>
      <c r="I140" s="24"/>
      <c r="J140" s="29"/>
    </row>
    <row r="141" spans="1:10" ht="12.75" x14ac:dyDescent="0.2">
      <c r="A141"/>
      <c r="B141" s="42"/>
      <c r="C141"/>
      <c r="E141" s="26"/>
      <c r="F141" s="24"/>
      <c r="G141" s="24"/>
      <c r="H141" s="24"/>
      <c r="I141" s="24"/>
      <c r="J141" s="29"/>
    </row>
    <row r="142" spans="1:10" ht="12.75" x14ac:dyDescent="0.2">
      <c r="A142"/>
      <c r="B142" s="42"/>
      <c r="C142"/>
      <c r="E142" s="26"/>
      <c r="F142" s="24"/>
      <c r="G142" s="24"/>
      <c r="H142" s="24"/>
      <c r="I142" s="24"/>
      <c r="J142" s="29"/>
    </row>
    <row r="143" spans="1:10" ht="12.75" x14ac:dyDescent="0.2">
      <c r="A143"/>
      <c r="B143" s="42"/>
      <c r="C143"/>
      <c r="E143" s="26"/>
      <c r="F143" s="24"/>
      <c r="G143" s="24"/>
      <c r="H143" s="24"/>
      <c r="I143" s="24"/>
      <c r="J143" s="29"/>
    </row>
    <row r="144" spans="1:10" ht="12.75" x14ac:dyDescent="0.2">
      <c r="A144"/>
      <c r="B144" s="42"/>
      <c r="C144"/>
      <c r="E144" s="26"/>
      <c r="F144" s="24"/>
      <c r="G144" s="24"/>
      <c r="H144" s="24"/>
      <c r="I144" s="24"/>
      <c r="J144" s="29"/>
    </row>
    <row r="145" spans="1:10" ht="12.75" x14ac:dyDescent="0.2">
      <c r="A145"/>
      <c r="B145" s="42"/>
      <c r="C145"/>
      <c r="E145" s="26"/>
      <c r="F145" s="24"/>
      <c r="G145" s="24"/>
      <c r="H145" s="24"/>
      <c r="I145" s="24"/>
      <c r="J145" s="29"/>
    </row>
    <row r="146" spans="1:10" ht="12.75" x14ac:dyDescent="0.2">
      <c r="A146"/>
      <c r="B146" s="42"/>
      <c r="C146"/>
      <c r="E146" s="26"/>
      <c r="F146" s="24"/>
      <c r="G146" s="24"/>
      <c r="H146" s="24"/>
      <c r="I146" s="24"/>
      <c r="J146" s="29"/>
    </row>
    <row r="147" spans="1:10" ht="12.75" x14ac:dyDescent="0.2">
      <c r="A147"/>
      <c r="B147" s="42"/>
      <c r="C147"/>
      <c r="E147" s="26"/>
      <c r="F147" s="24"/>
      <c r="G147" s="24"/>
      <c r="H147" s="24"/>
      <c r="I147" s="24"/>
      <c r="J147" s="29"/>
    </row>
    <row r="148" spans="1:10" ht="12.75" x14ac:dyDescent="0.2">
      <c r="A148"/>
      <c r="B148" s="42"/>
      <c r="C148"/>
      <c r="E148" s="26"/>
      <c r="F148" s="24"/>
      <c r="G148" s="24"/>
      <c r="H148" s="24"/>
      <c r="I148" s="24"/>
      <c r="J148" s="29"/>
    </row>
    <row r="149" spans="1:10" ht="12.75" x14ac:dyDescent="0.2">
      <c r="A149"/>
      <c r="B149" s="42"/>
      <c r="C149"/>
      <c r="E149" s="26"/>
      <c r="F149" s="24"/>
      <c r="G149" s="24"/>
      <c r="H149" s="24"/>
      <c r="I149" s="24"/>
      <c r="J149" s="29"/>
    </row>
    <row r="150" spans="1:10" ht="12.75" x14ac:dyDescent="0.2">
      <c r="A150"/>
      <c r="B150" s="42"/>
      <c r="C150"/>
      <c r="E150" s="26"/>
      <c r="F150" s="24"/>
      <c r="G150" s="24"/>
      <c r="H150" s="24"/>
      <c r="I150" s="24"/>
      <c r="J150" s="29"/>
    </row>
    <row r="151" spans="1:10" ht="12.75" x14ac:dyDescent="0.2">
      <c r="A151"/>
      <c r="B151" s="42"/>
      <c r="C151"/>
      <c r="E151" s="26"/>
      <c r="F151" s="24"/>
      <c r="G151" s="24"/>
      <c r="H151" s="24"/>
      <c r="I151" s="24"/>
      <c r="J151" s="29"/>
    </row>
    <row r="152" spans="1:10" ht="12.75" x14ac:dyDescent="0.2">
      <c r="A152"/>
      <c r="B152" s="42"/>
      <c r="C152"/>
      <c r="E152" s="26"/>
      <c r="F152" s="24"/>
      <c r="G152" s="24"/>
      <c r="H152" s="24"/>
      <c r="I152" s="24"/>
      <c r="J152" s="29"/>
    </row>
    <row r="153" spans="1:10" ht="12.75" x14ac:dyDescent="0.2">
      <c r="A153"/>
      <c r="B153" s="42"/>
      <c r="C153"/>
      <c r="E153" s="26"/>
      <c r="F153" s="24"/>
      <c r="G153" s="24"/>
      <c r="H153" s="24"/>
      <c r="I153" s="24"/>
      <c r="J153" s="29"/>
    </row>
    <row r="154" spans="1:10" ht="12.75" x14ac:dyDescent="0.2">
      <c r="A154"/>
      <c r="B154" s="42"/>
      <c r="C154"/>
      <c r="E154" s="26"/>
      <c r="F154" s="24"/>
      <c r="G154" s="24"/>
      <c r="H154" s="24"/>
      <c r="I154" s="24"/>
      <c r="J154" s="29"/>
    </row>
    <row r="155" spans="1:10" ht="12.75" x14ac:dyDescent="0.2">
      <c r="A155"/>
      <c r="B155" s="42"/>
      <c r="C155"/>
      <c r="E155" s="26"/>
      <c r="F155" s="24"/>
      <c r="G155" s="24"/>
      <c r="H155" s="24"/>
      <c r="I155" s="24"/>
      <c r="J155" s="29"/>
    </row>
    <row r="156" spans="1:10" ht="12.75" x14ac:dyDescent="0.2">
      <c r="A156"/>
      <c r="B156" s="42"/>
      <c r="C156"/>
      <c r="E156" s="26"/>
      <c r="F156" s="24"/>
      <c r="G156" s="24"/>
      <c r="H156" s="24"/>
      <c r="I156" s="24"/>
      <c r="J156" s="29"/>
    </row>
    <row r="157" spans="1:10" ht="12.75" x14ac:dyDescent="0.2">
      <c r="A157"/>
      <c r="B157" s="42"/>
      <c r="C157"/>
      <c r="E157" s="26"/>
      <c r="F157" s="24"/>
      <c r="G157" s="24"/>
      <c r="H157" s="24"/>
      <c r="I157" s="24"/>
      <c r="J157" s="29"/>
    </row>
    <row r="158" spans="1:10" ht="12.75" x14ac:dyDescent="0.2">
      <c r="A158"/>
      <c r="B158" s="42"/>
      <c r="C158"/>
      <c r="E158" s="26"/>
      <c r="F158" s="24"/>
      <c r="G158" s="24"/>
      <c r="H158" s="24"/>
      <c r="I158" s="24"/>
      <c r="J158" s="29"/>
    </row>
    <row r="159" spans="1:10" ht="12.75" x14ac:dyDescent="0.2">
      <c r="A159"/>
      <c r="B159" s="42"/>
      <c r="C159"/>
      <c r="E159" s="26"/>
      <c r="F159" s="24"/>
      <c r="G159" s="24"/>
      <c r="H159" s="24"/>
      <c r="I159" s="24"/>
      <c r="J159" s="29"/>
    </row>
    <row r="160" spans="1:10" ht="12.75" x14ac:dyDescent="0.2">
      <c r="A160"/>
      <c r="B160" s="42"/>
      <c r="C160"/>
      <c r="E160" s="26"/>
      <c r="F160" s="24"/>
      <c r="G160" s="24"/>
      <c r="H160" s="24"/>
      <c r="I160" s="24"/>
      <c r="J160" s="29"/>
    </row>
    <row r="161" spans="1:10" ht="12.75" x14ac:dyDescent="0.2">
      <c r="A161"/>
      <c r="B161" s="42"/>
      <c r="C161"/>
      <c r="E161" s="26"/>
      <c r="F161" s="24"/>
      <c r="G161" s="24"/>
      <c r="H161" s="24"/>
      <c r="I161" s="24"/>
      <c r="J161" s="29"/>
    </row>
    <row r="162" spans="1:10" ht="12.75" x14ac:dyDescent="0.2">
      <c r="A162"/>
      <c r="B162" s="42"/>
      <c r="C162"/>
      <c r="E162" s="26"/>
      <c r="F162" s="24"/>
      <c r="G162" s="24"/>
      <c r="H162" s="24"/>
      <c r="I162" s="24"/>
      <c r="J162" s="29"/>
    </row>
    <row r="163" spans="1:10" ht="12.75" x14ac:dyDescent="0.2">
      <c r="A163"/>
      <c r="B163" s="42"/>
      <c r="C163"/>
      <c r="E163" s="26"/>
      <c r="F163" s="24"/>
      <c r="G163" s="24"/>
      <c r="H163" s="24"/>
      <c r="I163" s="24"/>
      <c r="J163" s="29"/>
    </row>
    <row r="164" spans="1:10" ht="12.75" x14ac:dyDescent="0.2">
      <c r="A164"/>
      <c r="B164" s="42"/>
      <c r="C164"/>
      <c r="E164" s="26"/>
      <c r="F164" s="24"/>
      <c r="G164" s="24"/>
      <c r="H164" s="24"/>
      <c r="I164" s="24"/>
      <c r="J164" s="29"/>
    </row>
    <row r="165" spans="1:10" ht="12.75" x14ac:dyDescent="0.2">
      <c r="A165"/>
      <c r="B165" s="42"/>
      <c r="C165"/>
      <c r="E165" s="26"/>
      <c r="F165" s="24"/>
      <c r="G165" s="24"/>
      <c r="H165" s="24"/>
      <c r="I165" s="24"/>
      <c r="J165" s="29"/>
    </row>
    <row r="166" spans="1:10" ht="12.75" x14ac:dyDescent="0.2">
      <c r="A166"/>
      <c r="B166" s="42"/>
      <c r="C166"/>
      <c r="E166" s="26"/>
      <c r="F166" s="24"/>
      <c r="G166" s="24"/>
      <c r="H166" s="24"/>
      <c r="I166" s="24"/>
      <c r="J166" s="29"/>
    </row>
    <row r="167" spans="1:10" ht="12.75" x14ac:dyDescent="0.2">
      <c r="A167"/>
      <c r="B167" s="42"/>
      <c r="C167"/>
      <c r="E167" s="26"/>
      <c r="F167" s="24"/>
      <c r="G167" s="24"/>
      <c r="H167" s="24"/>
      <c r="I167" s="24"/>
      <c r="J167" s="29"/>
    </row>
    <row r="168" spans="1:10" ht="12.75" x14ac:dyDescent="0.2">
      <c r="A168"/>
      <c r="B168" s="42"/>
      <c r="C168"/>
      <c r="E168" s="26"/>
      <c r="F168" s="24"/>
      <c r="G168" s="24"/>
      <c r="H168" s="24"/>
      <c r="I168" s="24"/>
      <c r="J168" s="29"/>
    </row>
    <row r="169" spans="1:10" ht="12.75" x14ac:dyDescent="0.2">
      <c r="A169"/>
      <c r="B169" s="42"/>
      <c r="C169"/>
      <c r="E169" s="26"/>
      <c r="F169" s="24"/>
      <c r="G169" s="24"/>
      <c r="H169" s="24"/>
      <c r="I169" s="24"/>
      <c r="J169" s="29"/>
    </row>
    <row r="170" spans="1:10" ht="12.75" x14ac:dyDescent="0.2">
      <c r="A170"/>
      <c r="B170" s="42"/>
      <c r="C170"/>
      <c r="E170" s="26"/>
      <c r="F170" s="24"/>
      <c r="G170" s="24"/>
      <c r="H170" s="24"/>
      <c r="I170" s="24"/>
      <c r="J170" s="29"/>
    </row>
    <row r="171" spans="1:10" ht="12.75" x14ac:dyDescent="0.2">
      <c r="A171"/>
      <c r="B171" s="42"/>
      <c r="C171"/>
      <c r="E171" s="26"/>
      <c r="F171" s="24"/>
      <c r="G171" s="24"/>
      <c r="H171" s="24"/>
      <c r="I171" s="24"/>
      <c r="J171" s="29"/>
    </row>
    <row r="172" spans="1:10" ht="12.75" x14ac:dyDescent="0.2">
      <c r="A172"/>
      <c r="B172" s="42"/>
      <c r="C172"/>
      <c r="E172" s="26"/>
      <c r="F172" s="24"/>
      <c r="G172" s="24"/>
      <c r="H172" s="24"/>
      <c r="I172" s="24"/>
      <c r="J172" s="29"/>
    </row>
    <row r="173" spans="1:10" ht="12.75" x14ac:dyDescent="0.2">
      <c r="A173"/>
      <c r="B173" s="42"/>
      <c r="C173"/>
      <c r="E173" s="26"/>
      <c r="F173" s="24"/>
      <c r="G173" s="24"/>
      <c r="H173" s="24"/>
      <c r="I173" s="24"/>
      <c r="J173" s="29"/>
    </row>
    <row r="174" spans="1:10" ht="12.75" x14ac:dyDescent="0.2">
      <c r="A174"/>
      <c r="B174" s="42"/>
      <c r="C174"/>
      <c r="E174" s="26"/>
      <c r="F174" s="24"/>
      <c r="G174" s="24"/>
      <c r="H174" s="24"/>
      <c r="I174" s="24"/>
      <c r="J174" s="29"/>
    </row>
    <row r="175" spans="1:10" ht="12.75" x14ac:dyDescent="0.2">
      <c r="A175"/>
      <c r="B175" s="42"/>
      <c r="C175"/>
      <c r="E175" s="26"/>
      <c r="F175" s="24"/>
      <c r="G175" s="24"/>
      <c r="H175" s="24"/>
      <c r="I175" s="24"/>
      <c r="J175" s="29"/>
    </row>
    <row r="176" spans="1:10" ht="12.75" x14ac:dyDescent="0.2">
      <c r="A176"/>
      <c r="B176" s="42"/>
      <c r="C176"/>
      <c r="E176" s="26"/>
      <c r="F176" s="24"/>
      <c r="G176" s="24"/>
      <c r="H176" s="24"/>
      <c r="I176" s="24"/>
      <c r="J176" s="29"/>
    </row>
    <row r="177" spans="1:10" ht="12.75" x14ac:dyDescent="0.2">
      <c r="A177"/>
      <c r="B177" s="42"/>
      <c r="C177"/>
      <c r="E177" s="26"/>
      <c r="F177" s="24"/>
      <c r="G177" s="24"/>
      <c r="H177" s="24"/>
      <c r="I177" s="24"/>
      <c r="J177" s="29"/>
    </row>
    <row r="178" spans="1:10" ht="12.75" x14ac:dyDescent="0.2">
      <c r="A178"/>
      <c r="B178" s="42"/>
      <c r="C178"/>
      <c r="E178" s="26"/>
      <c r="F178" s="24"/>
      <c r="G178" s="24"/>
      <c r="H178" s="24"/>
      <c r="I178" s="24"/>
      <c r="J178" s="29"/>
    </row>
    <row r="179" spans="1:10" ht="12.75" x14ac:dyDescent="0.2">
      <c r="A179"/>
      <c r="B179" s="42"/>
      <c r="C179"/>
      <c r="E179" s="26"/>
      <c r="F179" s="24"/>
      <c r="G179" s="24"/>
      <c r="H179" s="24"/>
      <c r="I179" s="24"/>
      <c r="J179" s="29"/>
    </row>
    <row r="180" spans="1:10" ht="12.75" x14ac:dyDescent="0.2">
      <c r="A180"/>
      <c r="B180" s="42"/>
      <c r="C180"/>
      <c r="E180" s="26"/>
      <c r="F180" s="24"/>
      <c r="G180" s="24"/>
      <c r="H180" s="24"/>
      <c r="I180" s="24"/>
      <c r="J180" s="29"/>
    </row>
    <row r="181" spans="1:10" ht="12.75" x14ac:dyDescent="0.2">
      <c r="A181"/>
      <c r="B181" s="42"/>
      <c r="C181"/>
      <c r="E181" s="26"/>
      <c r="F181" s="24"/>
      <c r="G181" s="24"/>
      <c r="H181" s="24"/>
      <c r="I181" s="24"/>
      <c r="J181" s="29"/>
    </row>
    <row r="182" spans="1:10" ht="12.75" x14ac:dyDescent="0.2">
      <c r="A182"/>
      <c r="B182" s="42"/>
      <c r="C182"/>
      <c r="E182" s="26"/>
      <c r="F182" s="24"/>
      <c r="G182" s="24"/>
      <c r="H182" s="24"/>
      <c r="I182" s="24"/>
      <c r="J182" s="29"/>
    </row>
    <row r="183" spans="1:10" ht="12.75" x14ac:dyDescent="0.2">
      <c r="A183"/>
      <c r="B183" s="42"/>
      <c r="C183"/>
      <c r="E183" s="26"/>
      <c r="F183" s="24"/>
      <c r="G183" s="24"/>
      <c r="H183" s="24"/>
      <c r="I183" s="24"/>
      <c r="J183" s="29"/>
    </row>
    <row r="184" spans="1:10" ht="12.75" x14ac:dyDescent="0.2">
      <c r="A184"/>
      <c r="B184" s="42"/>
      <c r="C184"/>
      <c r="E184" s="26"/>
      <c r="F184" s="24"/>
      <c r="G184" s="24"/>
      <c r="H184" s="24"/>
      <c r="I184" s="24"/>
      <c r="J184" s="29"/>
    </row>
    <row r="185" spans="1:10" ht="12.75" x14ac:dyDescent="0.2">
      <c r="A185"/>
      <c r="B185" s="42"/>
      <c r="C185"/>
      <c r="E185" s="26"/>
      <c r="F185" s="24"/>
      <c r="G185" s="24"/>
      <c r="H185" s="24"/>
      <c r="I185" s="24"/>
      <c r="J185" s="29"/>
    </row>
    <row r="186" spans="1:10" ht="12.75" x14ac:dyDescent="0.2">
      <c r="A186"/>
      <c r="B186" s="42"/>
      <c r="C186"/>
      <c r="E186" s="26"/>
      <c r="F186" s="24"/>
      <c r="G186" s="24"/>
      <c r="H186" s="24"/>
      <c r="I186" s="24"/>
      <c r="J186" s="29"/>
    </row>
    <row r="187" spans="1:10" ht="12.75" x14ac:dyDescent="0.2">
      <c r="A187"/>
      <c r="B187" s="42"/>
      <c r="C187"/>
      <c r="E187" s="26"/>
      <c r="F187" s="24"/>
      <c r="G187" s="24"/>
      <c r="H187" s="24"/>
      <c r="I187" s="24"/>
      <c r="J187" s="29"/>
    </row>
    <row r="188" spans="1:10" ht="12.75" x14ac:dyDescent="0.2">
      <c r="A188"/>
      <c r="B188" s="42"/>
      <c r="C188"/>
      <c r="E188" s="26"/>
      <c r="F188" s="24"/>
      <c r="G188" s="24"/>
      <c r="H188" s="24"/>
      <c r="I188" s="24"/>
      <c r="J188" s="29"/>
    </row>
    <row r="189" spans="1:10" ht="12.75" x14ac:dyDescent="0.2">
      <c r="A189"/>
      <c r="B189" s="42"/>
      <c r="C189"/>
      <c r="E189" s="26"/>
      <c r="F189" s="24"/>
      <c r="G189" s="24"/>
      <c r="H189" s="24"/>
      <c r="I189" s="24"/>
      <c r="J189" s="29"/>
    </row>
    <row r="190" spans="1:10" ht="12.75" x14ac:dyDescent="0.2">
      <c r="A190"/>
      <c r="B190" s="42"/>
      <c r="C190"/>
      <c r="E190" s="26"/>
      <c r="F190" s="24"/>
      <c r="G190" s="24"/>
      <c r="H190" s="24"/>
      <c r="I190" s="24"/>
      <c r="J190" s="29"/>
    </row>
    <row r="191" spans="1:10" ht="12.75" x14ac:dyDescent="0.2">
      <c r="A191"/>
      <c r="B191" s="42"/>
      <c r="C191"/>
      <c r="E191" s="26"/>
      <c r="F191" s="24"/>
      <c r="G191" s="24"/>
      <c r="H191" s="24"/>
      <c r="I191" s="24"/>
      <c r="J191" s="29"/>
    </row>
    <row r="192" spans="1:10" ht="12.75" x14ac:dyDescent="0.2">
      <c r="A192"/>
      <c r="B192" s="42"/>
      <c r="C192"/>
      <c r="E192" s="26"/>
      <c r="F192" s="24"/>
      <c r="G192" s="24"/>
      <c r="H192" s="24"/>
      <c r="I192" s="24"/>
      <c r="J192" s="29"/>
    </row>
    <row r="193" spans="1:10" ht="12.75" x14ac:dyDescent="0.2">
      <c r="A193"/>
      <c r="B193" s="42"/>
      <c r="C193"/>
      <c r="E193" s="26"/>
      <c r="F193" s="24"/>
      <c r="G193" s="24"/>
      <c r="H193" s="24"/>
      <c r="I193" s="24"/>
      <c r="J193" s="29"/>
    </row>
    <row r="194" spans="1:10" ht="12.75" x14ac:dyDescent="0.2">
      <c r="A194"/>
      <c r="B194" s="42"/>
      <c r="C194"/>
      <c r="E194" s="26"/>
      <c r="F194" s="24"/>
      <c r="G194" s="24"/>
      <c r="H194" s="24"/>
      <c r="I194" s="24"/>
      <c r="J194" s="29"/>
    </row>
    <row r="195" spans="1:10" ht="12.75" x14ac:dyDescent="0.2">
      <c r="A195"/>
      <c r="B195" s="42"/>
      <c r="C195"/>
      <c r="E195" s="26"/>
      <c r="F195" s="24"/>
      <c r="G195" s="24"/>
      <c r="H195" s="24"/>
      <c r="I195" s="24"/>
      <c r="J195" s="29"/>
    </row>
    <row r="196" spans="1:10" ht="12.75" x14ac:dyDescent="0.2">
      <c r="A196"/>
      <c r="B196" s="42"/>
      <c r="C196"/>
      <c r="E196" s="26"/>
      <c r="F196" s="24"/>
      <c r="G196" s="24"/>
      <c r="H196" s="24"/>
      <c r="I196" s="24"/>
      <c r="J196" s="29"/>
    </row>
    <row r="197" spans="1:10" ht="12.75" x14ac:dyDescent="0.2">
      <c r="A197"/>
      <c r="B197" s="42"/>
      <c r="C197"/>
      <c r="E197" s="26"/>
      <c r="F197" s="24"/>
      <c r="G197" s="24"/>
      <c r="H197" s="24"/>
      <c r="I197" s="24"/>
      <c r="J197" s="29"/>
    </row>
    <row r="198" spans="1:10" ht="12.75" x14ac:dyDescent="0.2">
      <c r="A198"/>
      <c r="B198" s="42"/>
      <c r="C198"/>
      <c r="E198" s="26"/>
      <c r="F198" s="24"/>
      <c r="G198" s="24"/>
      <c r="H198" s="24"/>
      <c r="I198" s="24"/>
      <c r="J198" s="29"/>
    </row>
    <row r="199" spans="1:10" ht="12.75" x14ac:dyDescent="0.2">
      <c r="A199"/>
      <c r="B199" s="42"/>
      <c r="C199"/>
      <c r="E199" s="26"/>
      <c r="F199" s="24"/>
      <c r="G199" s="24"/>
      <c r="H199" s="24"/>
      <c r="I199" s="24"/>
      <c r="J199" s="29"/>
    </row>
    <row r="200" spans="1:10" ht="12.75" x14ac:dyDescent="0.2">
      <c r="A200"/>
      <c r="B200" s="42"/>
      <c r="C200"/>
      <c r="E200" s="26"/>
      <c r="F200" s="24"/>
      <c r="G200" s="24"/>
      <c r="H200" s="24"/>
      <c r="I200" s="24"/>
      <c r="J200" s="29"/>
    </row>
    <row r="201" spans="1:10" ht="12.75" x14ac:dyDescent="0.2">
      <c r="A201"/>
      <c r="B201" s="42"/>
      <c r="C201"/>
      <c r="E201" s="26"/>
      <c r="F201" s="24"/>
      <c r="G201" s="24"/>
      <c r="H201" s="24"/>
      <c r="I201" s="24"/>
      <c r="J201" s="29"/>
    </row>
    <row r="202" spans="1:10" ht="12.75" x14ac:dyDescent="0.2">
      <c r="A202"/>
      <c r="B202" s="42"/>
      <c r="C202"/>
      <c r="E202" s="26"/>
      <c r="F202" s="24"/>
      <c r="G202" s="24"/>
      <c r="H202" s="24"/>
      <c r="I202" s="24"/>
      <c r="J202" s="29"/>
    </row>
    <row r="203" spans="1:10" ht="12.75" x14ac:dyDescent="0.2">
      <c r="A203"/>
      <c r="B203" s="42"/>
      <c r="C203"/>
      <c r="E203" s="26"/>
      <c r="F203" s="24"/>
      <c r="G203" s="24"/>
      <c r="H203" s="24"/>
      <c r="I203" s="24"/>
      <c r="J203" s="29"/>
    </row>
    <row r="204" spans="1:10" ht="12.75" x14ac:dyDescent="0.2">
      <c r="A204"/>
      <c r="B204" s="42"/>
      <c r="C204"/>
      <c r="E204" s="26"/>
      <c r="F204" s="24"/>
      <c r="G204" s="24"/>
      <c r="H204" s="24"/>
      <c r="I204" s="24"/>
      <c r="J204" s="29"/>
    </row>
    <row r="205" spans="1:10" ht="12.75" x14ac:dyDescent="0.2">
      <c r="A205"/>
      <c r="B205" s="42"/>
      <c r="C205"/>
      <c r="E205" s="26"/>
      <c r="F205" s="24"/>
      <c r="G205" s="24"/>
      <c r="H205" s="24"/>
      <c r="I205" s="24"/>
      <c r="J205" s="29"/>
    </row>
    <row r="206" spans="1:10" ht="12.75" x14ac:dyDescent="0.2">
      <c r="A206"/>
      <c r="B206" s="42"/>
      <c r="C206"/>
      <c r="E206" s="26"/>
      <c r="F206" s="24"/>
      <c r="G206" s="24"/>
      <c r="H206" s="24"/>
      <c r="I206" s="24"/>
      <c r="J206" s="29"/>
    </row>
    <row r="207" spans="1:10" ht="12.75" x14ac:dyDescent="0.2">
      <c r="A207"/>
      <c r="B207" s="42"/>
      <c r="C207"/>
      <c r="E207" s="26"/>
      <c r="F207" s="24"/>
      <c r="G207" s="24"/>
      <c r="H207" s="24"/>
      <c r="I207" s="24"/>
      <c r="J207" s="29"/>
    </row>
    <row r="208" spans="1:10" ht="12.75" x14ac:dyDescent="0.2">
      <c r="A208"/>
      <c r="B208" s="42"/>
      <c r="C208"/>
      <c r="E208" s="26"/>
      <c r="F208" s="24"/>
      <c r="G208" s="24"/>
      <c r="H208" s="24"/>
      <c r="I208" s="24"/>
      <c r="J208" s="29"/>
    </row>
    <row r="209" spans="1:10" ht="12.75" x14ac:dyDescent="0.2">
      <c r="A209"/>
      <c r="B209" s="42"/>
      <c r="C209"/>
      <c r="E209" s="26"/>
      <c r="F209" s="24"/>
      <c r="G209" s="24"/>
      <c r="H209" s="24"/>
      <c r="I209" s="24"/>
      <c r="J209" s="29"/>
    </row>
    <row r="210" spans="1:10" ht="12.75" x14ac:dyDescent="0.2">
      <c r="A210"/>
      <c r="B210" s="42"/>
      <c r="C210"/>
      <c r="E210" s="26"/>
      <c r="F210" s="24"/>
      <c r="G210" s="24"/>
      <c r="H210" s="24"/>
      <c r="I210" s="24"/>
      <c r="J210" s="29"/>
    </row>
    <row r="211" spans="1:10" ht="12.75" x14ac:dyDescent="0.2">
      <c r="A211"/>
      <c r="B211" s="42"/>
      <c r="C211"/>
      <c r="E211" s="26"/>
      <c r="F211" s="24"/>
      <c r="G211" s="24"/>
      <c r="H211" s="24"/>
      <c r="I211" s="24"/>
      <c r="J211" s="29"/>
    </row>
    <row r="212" spans="1:10" ht="12.75" x14ac:dyDescent="0.2">
      <c r="A212"/>
      <c r="B212" s="42"/>
      <c r="C212"/>
      <c r="E212" s="26"/>
      <c r="F212" s="24"/>
      <c r="G212" s="24"/>
      <c r="H212" s="24"/>
      <c r="I212" s="24"/>
      <c r="J212" s="29"/>
    </row>
    <row r="213" spans="1:10" ht="12.75" x14ac:dyDescent="0.2">
      <c r="A213"/>
      <c r="B213" s="42"/>
      <c r="C213"/>
      <c r="E213" s="26"/>
      <c r="F213" s="24"/>
      <c r="G213" s="24"/>
      <c r="H213" s="24"/>
      <c r="I213" s="24"/>
      <c r="J213" s="29"/>
    </row>
    <row r="214" spans="1:10" ht="12.75" x14ac:dyDescent="0.2">
      <c r="A214"/>
      <c r="B214" s="42"/>
      <c r="C214"/>
      <c r="E214" s="26"/>
      <c r="F214" s="24"/>
      <c r="G214" s="24"/>
      <c r="H214" s="24"/>
      <c r="I214" s="24"/>
      <c r="J214" s="29"/>
    </row>
    <row r="215" spans="1:10" ht="12.75" x14ac:dyDescent="0.2">
      <c r="A215"/>
      <c r="B215" s="42"/>
      <c r="C215"/>
      <c r="E215" s="26"/>
      <c r="F215" s="24"/>
      <c r="G215" s="24"/>
      <c r="H215" s="24"/>
      <c r="I215" s="24"/>
      <c r="J215" s="29"/>
    </row>
    <row r="216" spans="1:10" ht="12.75" x14ac:dyDescent="0.2">
      <c r="A216"/>
      <c r="B216" s="42"/>
      <c r="C216"/>
      <c r="E216" s="26"/>
      <c r="F216" s="24"/>
      <c r="G216" s="24"/>
      <c r="H216" s="24"/>
      <c r="I216" s="24"/>
      <c r="J216" s="29"/>
    </row>
    <row r="217" spans="1:10" ht="12.75" x14ac:dyDescent="0.2">
      <c r="A217"/>
      <c r="B217" s="42"/>
      <c r="C217"/>
      <c r="E217" s="26"/>
      <c r="F217" s="24"/>
      <c r="G217" s="24"/>
      <c r="H217" s="24"/>
      <c r="I217" s="24"/>
      <c r="J217" s="29"/>
    </row>
    <row r="218" spans="1:10" ht="12.75" x14ac:dyDescent="0.2">
      <c r="A218"/>
      <c r="B218" s="42"/>
      <c r="C218"/>
      <c r="E218" s="26"/>
      <c r="F218" s="24"/>
      <c r="G218" s="24"/>
      <c r="H218" s="24"/>
      <c r="I218" s="24"/>
      <c r="J218" s="29"/>
    </row>
    <row r="219" spans="1:10" ht="12.75" x14ac:dyDescent="0.2">
      <c r="A219"/>
      <c r="B219" s="42"/>
      <c r="C219"/>
      <c r="E219" s="26"/>
      <c r="F219" s="24"/>
      <c r="G219" s="24"/>
      <c r="H219" s="24"/>
      <c r="I219" s="24"/>
      <c r="J219" s="29"/>
    </row>
    <row r="220" spans="1:10" ht="12.75" x14ac:dyDescent="0.2">
      <c r="A220"/>
      <c r="B220" s="42"/>
      <c r="C220"/>
      <c r="E220" s="26"/>
      <c r="F220" s="24"/>
      <c r="G220" s="24"/>
      <c r="H220" s="24"/>
      <c r="I220" s="24"/>
      <c r="J220" s="29"/>
    </row>
    <row r="221" spans="1:10" ht="12.75" x14ac:dyDescent="0.2">
      <c r="A221"/>
      <c r="B221" s="42"/>
      <c r="C221"/>
      <c r="E221" s="26"/>
      <c r="F221" s="24"/>
      <c r="G221" s="24"/>
      <c r="H221" s="24"/>
      <c r="I221" s="24"/>
      <c r="J221" s="29"/>
    </row>
    <row r="222" spans="1:10" ht="12.75" x14ac:dyDescent="0.2">
      <c r="A222"/>
      <c r="B222" s="42"/>
      <c r="C222"/>
      <c r="E222" s="26"/>
      <c r="F222" s="24"/>
      <c r="G222" s="24"/>
      <c r="H222" s="24"/>
      <c r="I222" s="24"/>
      <c r="J222" s="29"/>
    </row>
    <row r="223" spans="1:10" ht="12.75" x14ac:dyDescent="0.2">
      <c r="A223"/>
      <c r="B223" s="42"/>
      <c r="C223"/>
      <c r="E223" s="26"/>
      <c r="F223" s="24"/>
      <c r="G223" s="24"/>
      <c r="H223" s="24"/>
      <c r="I223" s="24"/>
      <c r="J223" s="29"/>
    </row>
    <row r="224" spans="1:10" ht="12.75" x14ac:dyDescent="0.2">
      <c r="A224"/>
      <c r="B224" s="42"/>
      <c r="C224"/>
      <c r="E224" s="26"/>
      <c r="F224" s="24"/>
      <c r="G224" s="24"/>
      <c r="H224" s="24"/>
      <c r="I224" s="24"/>
      <c r="J224" s="29"/>
    </row>
    <row r="225" spans="1:10" ht="12.75" x14ac:dyDescent="0.2">
      <c r="A225"/>
      <c r="B225" s="42"/>
      <c r="C225"/>
      <c r="E225" s="26"/>
      <c r="F225" s="24"/>
      <c r="G225" s="24"/>
      <c r="H225" s="24"/>
      <c r="I225" s="24"/>
      <c r="J225" s="29"/>
    </row>
    <row r="226" spans="1:10" ht="12.75" x14ac:dyDescent="0.2">
      <c r="A226"/>
      <c r="B226" s="42"/>
      <c r="C226"/>
      <c r="E226" s="26"/>
      <c r="F226" s="24"/>
      <c r="G226" s="24"/>
      <c r="H226" s="24"/>
      <c r="I226" s="24"/>
      <c r="J226" s="29"/>
    </row>
    <row r="227" spans="1:10" ht="12.75" x14ac:dyDescent="0.2">
      <c r="A227"/>
      <c r="B227" s="42"/>
      <c r="C227"/>
      <c r="E227" s="26"/>
      <c r="F227" s="24"/>
      <c r="G227" s="24"/>
      <c r="H227" s="24"/>
      <c r="I227" s="24"/>
      <c r="J227" s="29"/>
    </row>
    <row r="228" spans="1:10" ht="12.75" x14ac:dyDescent="0.2">
      <c r="A228"/>
      <c r="B228" s="42"/>
      <c r="C228"/>
      <c r="E228" s="26"/>
      <c r="F228" s="24"/>
      <c r="G228" s="24"/>
      <c r="H228" s="24"/>
      <c r="I228" s="24"/>
      <c r="J228" s="29"/>
    </row>
    <row r="229" spans="1:10" ht="12.75" x14ac:dyDescent="0.2">
      <c r="A229"/>
      <c r="B229" s="42"/>
      <c r="C229"/>
      <c r="E229" s="26"/>
      <c r="F229" s="24"/>
      <c r="G229" s="24"/>
      <c r="H229" s="24"/>
      <c r="I229" s="24"/>
      <c r="J229" s="29"/>
    </row>
    <row r="230" spans="1:10" ht="12.75" x14ac:dyDescent="0.2">
      <c r="A230"/>
      <c r="B230" s="42"/>
      <c r="C230"/>
      <c r="E230" s="26"/>
      <c r="F230" s="24"/>
      <c r="G230" s="24"/>
      <c r="H230" s="24"/>
      <c r="I230" s="24"/>
      <c r="J230" s="29"/>
    </row>
    <row r="231" spans="1:10" ht="12.75" x14ac:dyDescent="0.2">
      <c r="A231"/>
      <c r="B231" s="42"/>
      <c r="C231"/>
      <c r="E231" s="26"/>
      <c r="F231" s="24"/>
      <c r="G231" s="24"/>
      <c r="H231" s="24"/>
      <c r="I231" s="24"/>
      <c r="J231" s="29"/>
    </row>
    <row r="232" spans="1:10" ht="12.75" x14ac:dyDescent="0.2">
      <c r="A232"/>
      <c r="B232" s="42"/>
      <c r="C232"/>
      <c r="E232" s="26"/>
      <c r="F232" s="24"/>
      <c r="G232" s="24"/>
      <c r="H232" s="24"/>
      <c r="I232" s="24"/>
      <c r="J232" s="29"/>
    </row>
    <row r="233" spans="1:10" ht="12.75" x14ac:dyDescent="0.2">
      <c r="A233"/>
      <c r="B233" s="42"/>
      <c r="C233"/>
      <c r="E233" s="26"/>
      <c r="F233" s="24"/>
      <c r="G233" s="24"/>
      <c r="H233" s="24"/>
      <c r="I233" s="24"/>
      <c r="J233" s="29"/>
    </row>
    <row r="234" spans="1:10" ht="12.75" x14ac:dyDescent="0.2">
      <c r="A234"/>
      <c r="B234" s="42"/>
      <c r="C234"/>
      <c r="E234" s="26"/>
      <c r="F234" s="24"/>
      <c r="G234" s="24"/>
      <c r="H234" s="24"/>
      <c r="I234" s="24"/>
      <c r="J234" s="29"/>
    </row>
    <row r="235" spans="1:10" ht="12.75" x14ac:dyDescent="0.2">
      <c r="A235"/>
      <c r="B235" s="42"/>
      <c r="C235"/>
      <c r="E235" s="26"/>
      <c r="F235" s="24"/>
      <c r="G235" s="24"/>
      <c r="H235" s="24"/>
      <c r="I235" s="24"/>
      <c r="J235" s="29"/>
    </row>
    <row r="236" spans="1:10" ht="12.75" x14ac:dyDescent="0.2">
      <c r="A236"/>
      <c r="B236" s="42"/>
      <c r="C236"/>
      <c r="E236" s="26"/>
      <c r="F236" s="24"/>
      <c r="G236" s="24"/>
      <c r="H236" s="24"/>
      <c r="I236" s="24"/>
      <c r="J236" s="29"/>
    </row>
    <row r="237" spans="1:10" ht="12.75" x14ac:dyDescent="0.2">
      <c r="A237"/>
      <c r="B237" s="42"/>
      <c r="C237"/>
      <c r="E237" s="26"/>
      <c r="F237" s="24"/>
      <c r="G237" s="24"/>
      <c r="H237" s="24"/>
      <c r="I237" s="24"/>
      <c r="J237" s="29"/>
    </row>
    <row r="238" spans="1:10" ht="12.75" x14ac:dyDescent="0.2">
      <c r="A238"/>
      <c r="B238" s="42"/>
      <c r="C238"/>
      <c r="E238" s="26"/>
      <c r="F238" s="24"/>
      <c r="G238" s="24"/>
      <c r="H238" s="24"/>
      <c r="I238" s="24"/>
      <c r="J238" s="29"/>
    </row>
    <row r="239" spans="1:10" ht="12.75" x14ac:dyDescent="0.2">
      <c r="A239"/>
      <c r="B239" s="42"/>
      <c r="C239"/>
      <c r="E239" s="26"/>
      <c r="F239" s="24"/>
      <c r="G239" s="24"/>
      <c r="H239" s="24"/>
      <c r="I239" s="24"/>
      <c r="J239" s="29"/>
    </row>
    <row r="240" spans="1:10" ht="12.75" x14ac:dyDescent="0.2">
      <c r="A240"/>
      <c r="B240" s="42"/>
      <c r="C240"/>
      <c r="E240" s="26"/>
      <c r="F240" s="24"/>
      <c r="G240" s="24"/>
      <c r="H240" s="24"/>
      <c r="I240" s="24"/>
      <c r="J240" s="29"/>
    </row>
    <row r="241" spans="1:10" ht="12.75" x14ac:dyDescent="0.2">
      <c r="A241"/>
      <c r="B241" s="42"/>
      <c r="C241"/>
      <c r="E241" s="26"/>
      <c r="F241" s="24"/>
      <c r="G241" s="24"/>
      <c r="H241" s="24"/>
      <c r="I241" s="24"/>
      <c r="J241" s="29"/>
    </row>
    <row r="242" spans="1:10" ht="12.75" x14ac:dyDescent="0.2">
      <c r="A242"/>
      <c r="B242" s="42"/>
      <c r="C242"/>
      <c r="E242" s="26"/>
      <c r="F242" s="24"/>
      <c r="G242" s="24"/>
      <c r="H242" s="24"/>
      <c r="I242" s="24"/>
      <c r="J242" s="29"/>
    </row>
    <row r="243" spans="1:10" ht="12.75" x14ac:dyDescent="0.2">
      <c r="A243"/>
      <c r="B243" s="42"/>
      <c r="C243"/>
      <c r="E243" s="26"/>
      <c r="F243" s="24"/>
      <c r="G243" s="24"/>
      <c r="H243" s="24"/>
      <c r="I243" s="24"/>
      <c r="J243" s="29"/>
    </row>
    <row r="244" spans="1:10" ht="12.75" x14ac:dyDescent="0.2">
      <c r="A244"/>
      <c r="B244" s="42"/>
      <c r="C244"/>
      <c r="E244" s="26"/>
      <c r="F244" s="24"/>
      <c r="G244" s="24"/>
      <c r="H244" s="24"/>
      <c r="I244" s="24"/>
      <c r="J244" s="29"/>
    </row>
    <row r="245" spans="1:10" ht="12.75" x14ac:dyDescent="0.2">
      <c r="A245"/>
      <c r="B245" s="42"/>
      <c r="C245"/>
      <c r="E245" s="26"/>
      <c r="F245" s="24"/>
      <c r="G245" s="24"/>
      <c r="H245" s="24"/>
      <c r="I245" s="24"/>
      <c r="J245" s="29"/>
    </row>
    <row r="246" spans="1:10" ht="12.75" x14ac:dyDescent="0.2">
      <c r="A246"/>
      <c r="B246" s="42"/>
      <c r="C246"/>
      <c r="E246" s="26"/>
      <c r="F246" s="24"/>
      <c r="G246" s="24"/>
      <c r="H246" s="24"/>
      <c r="I246" s="24"/>
      <c r="J246" s="29"/>
    </row>
    <row r="247" spans="1:10" ht="12.75" x14ac:dyDescent="0.2">
      <c r="A247"/>
      <c r="B247" s="42"/>
      <c r="C247"/>
      <c r="E247" s="26"/>
      <c r="F247" s="24"/>
      <c r="G247" s="24"/>
      <c r="H247" s="24"/>
      <c r="I247" s="24"/>
      <c r="J247" s="29"/>
    </row>
    <row r="248" spans="1:10" ht="12.75" x14ac:dyDescent="0.2">
      <c r="A248"/>
      <c r="B248" s="42"/>
      <c r="C248"/>
      <c r="E248" s="26"/>
      <c r="F248" s="24"/>
      <c r="G248" s="24"/>
      <c r="H248" s="24"/>
      <c r="I248" s="24"/>
      <c r="J248" s="29"/>
    </row>
    <row r="249" spans="1:10" ht="12.75" x14ac:dyDescent="0.2">
      <c r="A249"/>
      <c r="B249" s="42"/>
      <c r="C249"/>
      <c r="E249" s="26"/>
      <c r="F249" s="24"/>
      <c r="G249" s="24"/>
      <c r="H249" s="24"/>
      <c r="I249" s="24"/>
      <c r="J249" s="29"/>
    </row>
    <row r="250" spans="1:10" ht="12.75" x14ac:dyDescent="0.2">
      <c r="A250"/>
      <c r="B250" s="42"/>
      <c r="C250"/>
      <c r="E250" s="26"/>
      <c r="F250" s="24"/>
      <c r="G250" s="24"/>
      <c r="H250" s="24"/>
      <c r="I250" s="24"/>
      <c r="J250" s="29"/>
    </row>
    <row r="251" spans="1:10" ht="12.75" x14ac:dyDescent="0.2">
      <c r="A251"/>
      <c r="B251" s="42"/>
      <c r="C251"/>
      <c r="E251" s="26"/>
      <c r="F251" s="24"/>
      <c r="G251" s="24"/>
      <c r="H251" s="24"/>
      <c r="I251" s="24"/>
      <c r="J251" s="29"/>
    </row>
    <row r="252" spans="1:10" ht="12.75" x14ac:dyDescent="0.2">
      <c r="A252"/>
      <c r="B252" s="42"/>
      <c r="C252"/>
      <c r="E252" s="26"/>
      <c r="F252" s="24"/>
      <c r="G252" s="24"/>
      <c r="H252" s="24"/>
      <c r="I252" s="24"/>
      <c r="J252" s="29"/>
    </row>
    <row r="253" spans="1:10" ht="12.75" x14ac:dyDescent="0.2">
      <c r="A253"/>
      <c r="B253" s="42"/>
      <c r="C253"/>
      <c r="E253" s="26"/>
      <c r="F253" s="24"/>
      <c r="G253" s="24"/>
      <c r="H253" s="24"/>
      <c r="I253" s="24"/>
      <c r="J253" s="29"/>
    </row>
    <row r="254" spans="1:10" ht="12.75" x14ac:dyDescent="0.2">
      <c r="A254"/>
      <c r="B254" s="42"/>
      <c r="C254"/>
      <c r="E254" s="26"/>
      <c r="F254" s="24"/>
      <c r="G254" s="24"/>
      <c r="H254" s="24"/>
      <c r="I254" s="24"/>
      <c r="J254" s="29"/>
    </row>
    <row r="255" spans="1:10" ht="12.75" x14ac:dyDescent="0.2">
      <c r="A255"/>
      <c r="B255" s="42"/>
      <c r="C255"/>
      <c r="E255" s="26"/>
      <c r="F255" s="24"/>
      <c r="G255" s="24"/>
      <c r="H255" s="24"/>
      <c r="I255" s="24"/>
      <c r="J255" s="29"/>
    </row>
    <row r="256" spans="1:10" ht="12.75" x14ac:dyDescent="0.2">
      <c r="A256"/>
      <c r="B256" s="42"/>
      <c r="C256"/>
      <c r="E256" s="26"/>
      <c r="F256" s="24"/>
      <c r="G256" s="24"/>
      <c r="H256" s="24"/>
      <c r="I256" s="24"/>
      <c r="J256" s="29"/>
    </row>
    <row r="257" spans="1:10" ht="12.75" x14ac:dyDescent="0.2">
      <c r="A257"/>
      <c r="B257" s="42"/>
      <c r="C257"/>
      <c r="E257" s="26"/>
      <c r="F257" s="24"/>
      <c r="G257" s="24"/>
      <c r="H257" s="24"/>
      <c r="I257" s="24"/>
      <c r="J257" s="29"/>
    </row>
    <row r="258" spans="1:10" ht="12.75" x14ac:dyDescent="0.2">
      <c r="A258"/>
      <c r="B258" s="42"/>
      <c r="C258"/>
      <c r="E258" s="26"/>
      <c r="F258" s="24"/>
      <c r="G258" s="24"/>
      <c r="H258" s="24"/>
      <c r="I258" s="24"/>
      <c r="J258" s="29"/>
    </row>
    <row r="259" spans="1:10" ht="12.75" x14ac:dyDescent="0.2">
      <c r="A259"/>
      <c r="B259" s="42"/>
      <c r="C259"/>
      <c r="E259" s="26"/>
      <c r="F259" s="24"/>
      <c r="G259" s="24"/>
      <c r="H259" s="24"/>
      <c r="I259" s="24"/>
      <c r="J259" s="29"/>
    </row>
    <row r="260" spans="1:10" ht="12.75" x14ac:dyDescent="0.2">
      <c r="A260"/>
      <c r="B260" s="42"/>
      <c r="C260"/>
      <c r="E260" s="26"/>
      <c r="F260" s="24"/>
      <c r="G260" s="24"/>
      <c r="H260" s="24"/>
      <c r="I260" s="24"/>
      <c r="J260" s="29"/>
    </row>
    <row r="261" spans="1:10" ht="12.75" x14ac:dyDescent="0.2">
      <c r="A261"/>
      <c r="B261" s="42"/>
      <c r="C261"/>
      <c r="E261" s="26"/>
      <c r="F261" s="24"/>
      <c r="G261" s="24"/>
      <c r="H261" s="24"/>
      <c r="I261" s="24"/>
      <c r="J261" s="29"/>
    </row>
    <row r="262" spans="1:10" ht="12.75" x14ac:dyDescent="0.2">
      <c r="A262"/>
      <c r="B262" s="42"/>
      <c r="C262"/>
      <c r="E262" s="26"/>
      <c r="F262" s="24"/>
      <c r="G262" s="24"/>
      <c r="H262" s="24"/>
      <c r="I262" s="24"/>
      <c r="J262" s="29"/>
    </row>
    <row r="263" spans="1:10" ht="12.75" x14ac:dyDescent="0.2">
      <c r="A263"/>
      <c r="B263" s="42"/>
      <c r="C263"/>
      <c r="E263" s="26"/>
      <c r="F263" s="24"/>
      <c r="G263" s="24"/>
      <c r="H263" s="24"/>
      <c r="I263" s="24"/>
      <c r="J263" s="29"/>
    </row>
    <row r="264" spans="1:10" ht="12.75" x14ac:dyDescent="0.2">
      <c r="A264"/>
      <c r="B264" s="42"/>
      <c r="C264"/>
      <c r="E264" s="26"/>
      <c r="F264" s="24"/>
      <c r="G264" s="24"/>
      <c r="H264" s="24"/>
      <c r="I264" s="24"/>
      <c r="J264" s="29"/>
    </row>
    <row r="265" spans="1:10" ht="12.75" x14ac:dyDescent="0.2">
      <c r="A265"/>
      <c r="B265" s="42"/>
      <c r="C265"/>
      <c r="E265" s="26"/>
      <c r="F265" s="24"/>
      <c r="G265" s="24"/>
      <c r="H265" s="24"/>
      <c r="I265" s="24"/>
      <c r="J265" s="29"/>
    </row>
    <row r="266" spans="1:10" ht="12.75" x14ac:dyDescent="0.2">
      <c r="A266"/>
      <c r="B266" s="42"/>
      <c r="C266"/>
      <c r="E266" s="26"/>
      <c r="F266" s="24"/>
      <c r="G266" s="24"/>
      <c r="H266" s="24"/>
      <c r="I266" s="24"/>
      <c r="J266" s="29"/>
    </row>
    <row r="267" spans="1:10" ht="12.75" x14ac:dyDescent="0.2">
      <c r="A267"/>
      <c r="B267" s="42"/>
      <c r="C267"/>
      <c r="E267" s="26"/>
      <c r="F267" s="24"/>
      <c r="G267" s="24"/>
      <c r="H267" s="24"/>
      <c r="I267" s="24"/>
      <c r="J267" s="29"/>
    </row>
    <row r="268" spans="1:10" ht="12.75" x14ac:dyDescent="0.2">
      <c r="A268"/>
      <c r="B268" s="42"/>
      <c r="C268"/>
      <c r="E268" s="26"/>
      <c r="F268" s="24"/>
      <c r="G268" s="24"/>
      <c r="H268" s="24"/>
      <c r="I268" s="24"/>
      <c r="J268" s="29"/>
    </row>
    <row r="269" spans="1:10" ht="12.75" x14ac:dyDescent="0.2">
      <c r="A269"/>
      <c r="B269" s="42"/>
      <c r="C269"/>
      <c r="E269" s="26"/>
      <c r="F269" s="24"/>
      <c r="G269" s="24"/>
      <c r="H269" s="24"/>
      <c r="I269" s="24"/>
      <c r="J269" s="29"/>
    </row>
    <row r="270" spans="1:10" ht="12.75" x14ac:dyDescent="0.2">
      <c r="A270"/>
      <c r="B270" s="42"/>
      <c r="C270"/>
      <c r="E270" s="26"/>
      <c r="F270" s="24"/>
      <c r="G270" s="24"/>
      <c r="H270" s="24"/>
      <c r="I270" s="24"/>
      <c r="J270" s="29"/>
    </row>
    <row r="271" spans="1:10" ht="12.75" x14ac:dyDescent="0.2">
      <c r="A271"/>
      <c r="B271" s="42"/>
      <c r="C271"/>
      <c r="E271" s="26"/>
      <c r="F271" s="24"/>
      <c r="G271" s="24"/>
      <c r="H271" s="24"/>
      <c r="I271" s="24"/>
      <c r="J271" s="29"/>
    </row>
    <row r="272" spans="1:10" ht="12.75" x14ac:dyDescent="0.2">
      <c r="A272"/>
      <c r="B272" s="42"/>
      <c r="C272"/>
      <c r="E272" s="26"/>
      <c r="F272" s="24"/>
      <c r="G272" s="24"/>
      <c r="H272" s="24"/>
      <c r="I272" s="24"/>
      <c r="J272" s="29"/>
    </row>
    <row r="273" spans="1:10" ht="12.75" x14ac:dyDescent="0.2">
      <c r="A273"/>
      <c r="B273" s="42"/>
      <c r="C273"/>
      <c r="E273" s="26"/>
      <c r="F273" s="24"/>
      <c r="G273" s="24"/>
      <c r="H273" s="24"/>
      <c r="I273" s="24"/>
      <c r="J273" s="29"/>
    </row>
    <row r="274" spans="1:10" ht="12.75" x14ac:dyDescent="0.2">
      <c r="A274"/>
      <c r="B274" s="42"/>
      <c r="C274"/>
      <c r="E274" s="26"/>
      <c r="F274" s="24"/>
      <c r="G274" s="24"/>
      <c r="H274" s="24"/>
      <c r="I274" s="24"/>
      <c r="J274" s="29"/>
    </row>
    <row r="275" spans="1:10" ht="12.75" x14ac:dyDescent="0.2">
      <c r="A275"/>
      <c r="B275" s="42"/>
      <c r="C275"/>
      <c r="E275" s="26"/>
      <c r="F275" s="24"/>
      <c r="G275" s="24"/>
      <c r="H275" s="24"/>
      <c r="I275" s="24"/>
      <c r="J275" s="29"/>
    </row>
    <row r="276" spans="1:10" ht="12.75" x14ac:dyDescent="0.2">
      <c r="A276"/>
      <c r="B276" s="42"/>
      <c r="C276"/>
      <c r="E276" s="26"/>
      <c r="F276" s="24"/>
      <c r="G276" s="24"/>
      <c r="H276" s="24"/>
      <c r="I276" s="24"/>
      <c r="J276" s="29"/>
    </row>
    <row r="277" spans="1:10" ht="12.75" x14ac:dyDescent="0.2">
      <c r="A277"/>
      <c r="B277" s="42"/>
      <c r="C277"/>
      <c r="E277" s="26"/>
      <c r="F277" s="24"/>
      <c r="G277" s="24"/>
      <c r="H277" s="24"/>
      <c r="I277" s="24"/>
      <c r="J277" s="29"/>
    </row>
    <row r="278" spans="1:10" ht="12.75" x14ac:dyDescent="0.2">
      <c r="A278"/>
      <c r="B278" s="42"/>
      <c r="C278"/>
      <c r="E278" s="26"/>
      <c r="F278" s="24"/>
      <c r="G278" s="24"/>
      <c r="H278" s="24"/>
      <c r="I278" s="24"/>
      <c r="J278" s="29"/>
    </row>
    <row r="279" spans="1:10" ht="12.75" x14ac:dyDescent="0.2">
      <c r="A279"/>
      <c r="B279" s="42"/>
      <c r="C279"/>
      <c r="E279" s="26"/>
      <c r="F279" s="24"/>
      <c r="G279" s="24"/>
      <c r="H279" s="24"/>
      <c r="I279" s="24"/>
      <c r="J279" s="29"/>
    </row>
    <row r="280" spans="1:10" ht="12.75" x14ac:dyDescent="0.2">
      <c r="A280"/>
      <c r="B280" s="42"/>
      <c r="C280"/>
      <c r="E280" s="26"/>
      <c r="F280" s="24"/>
      <c r="G280" s="24"/>
      <c r="H280" s="24"/>
      <c r="I280" s="24"/>
      <c r="J280" s="29"/>
    </row>
    <row r="281" spans="1:10" ht="12.75" x14ac:dyDescent="0.2">
      <c r="A281"/>
      <c r="B281" s="42"/>
      <c r="C281"/>
      <c r="E281" s="26"/>
      <c r="F281" s="24"/>
      <c r="G281" s="24"/>
      <c r="H281" s="24"/>
      <c r="I281" s="24"/>
      <c r="J281" s="29"/>
    </row>
    <row r="282" spans="1:10" ht="12.75" x14ac:dyDescent="0.2">
      <c r="A282"/>
      <c r="B282" s="42"/>
      <c r="C282"/>
      <c r="E282" s="26"/>
      <c r="F282" s="24"/>
      <c r="G282" s="24"/>
      <c r="H282" s="24"/>
      <c r="I282" s="24"/>
      <c r="J282" s="29"/>
    </row>
    <row r="283" spans="1:10" ht="12.75" x14ac:dyDescent="0.2">
      <c r="A283"/>
      <c r="B283" s="42"/>
      <c r="C283"/>
      <c r="E283" s="26"/>
      <c r="F283" s="24"/>
      <c r="G283" s="24"/>
      <c r="H283" s="24"/>
      <c r="I283" s="24"/>
      <c r="J283" s="29"/>
    </row>
    <row r="284" spans="1:10" ht="12.75" x14ac:dyDescent="0.2">
      <c r="A284"/>
      <c r="B284" s="42"/>
      <c r="C284"/>
      <c r="E284" s="26"/>
      <c r="F284" s="24"/>
      <c r="G284" s="24"/>
      <c r="H284" s="24"/>
      <c r="I284" s="24"/>
      <c r="J284" s="29"/>
    </row>
    <row r="285" spans="1:10" ht="12.75" x14ac:dyDescent="0.2">
      <c r="A285"/>
      <c r="B285" s="42"/>
      <c r="C285"/>
      <c r="E285" s="26"/>
      <c r="F285" s="24"/>
      <c r="G285" s="24"/>
      <c r="H285" s="24"/>
      <c r="I285" s="24"/>
      <c r="J285" s="29"/>
    </row>
    <row r="286" spans="1:10" ht="12.75" x14ac:dyDescent="0.2">
      <c r="A286"/>
      <c r="B286" s="42"/>
      <c r="C286"/>
      <c r="E286" s="26"/>
      <c r="F286" s="24"/>
      <c r="G286" s="24"/>
      <c r="H286" s="24"/>
      <c r="I286" s="24"/>
      <c r="J286" s="29"/>
    </row>
    <row r="287" spans="1:10" ht="12.75" x14ac:dyDescent="0.2">
      <c r="A287"/>
      <c r="B287" s="42"/>
      <c r="C287"/>
      <c r="E287" s="26"/>
      <c r="F287" s="24"/>
      <c r="G287" s="24"/>
      <c r="H287" s="24"/>
      <c r="I287" s="24"/>
      <c r="J287" s="29"/>
    </row>
    <row r="288" spans="1:10" ht="12.75" x14ac:dyDescent="0.2">
      <c r="A288"/>
      <c r="B288" s="42"/>
      <c r="C288"/>
      <c r="E288" s="26"/>
      <c r="F288" s="24"/>
      <c r="G288" s="24"/>
      <c r="H288" s="24"/>
      <c r="I288" s="24"/>
      <c r="J288" s="29"/>
    </row>
    <row r="289" spans="1:10" ht="12.75" x14ac:dyDescent="0.2">
      <c r="A289"/>
      <c r="B289" s="42"/>
      <c r="C289"/>
      <c r="E289" s="26"/>
      <c r="F289" s="24"/>
      <c r="G289" s="24"/>
      <c r="H289" s="24"/>
      <c r="I289" s="24"/>
      <c r="J289" s="29"/>
    </row>
    <row r="290" spans="1:10" ht="12.75" x14ac:dyDescent="0.2">
      <c r="A290"/>
      <c r="B290" s="42"/>
      <c r="C290"/>
      <c r="E290" s="26"/>
      <c r="F290" s="24"/>
      <c r="G290" s="24"/>
      <c r="H290" s="24"/>
      <c r="I290" s="24"/>
      <c r="J290" s="29"/>
    </row>
    <row r="291" spans="1:10" ht="12.75" x14ac:dyDescent="0.2">
      <c r="A291"/>
      <c r="B291" s="42"/>
      <c r="C291"/>
      <c r="E291" s="26"/>
      <c r="F291" s="24"/>
      <c r="G291" s="24"/>
      <c r="H291" s="24"/>
      <c r="I291" s="24"/>
      <c r="J291" s="29"/>
    </row>
    <row r="292" spans="1:10" ht="12.75" x14ac:dyDescent="0.2">
      <c r="A292"/>
      <c r="B292" s="42"/>
      <c r="C292"/>
      <c r="E292" s="26"/>
      <c r="F292" s="24"/>
      <c r="G292" s="24"/>
      <c r="H292" s="24"/>
      <c r="I292" s="24"/>
      <c r="J292" s="29"/>
    </row>
    <row r="293" spans="1:10" ht="12.75" x14ac:dyDescent="0.2">
      <c r="A293"/>
      <c r="B293" s="42"/>
      <c r="C293"/>
      <c r="E293" s="26"/>
      <c r="F293" s="24"/>
      <c r="G293" s="24"/>
      <c r="H293" s="24"/>
      <c r="I293" s="24"/>
      <c r="J293" s="29"/>
    </row>
    <row r="294" spans="1:10" ht="12.75" x14ac:dyDescent="0.2">
      <c r="A294"/>
      <c r="B294" s="42"/>
      <c r="C294"/>
      <c r="E294" s="26"/>
      <c r="F294" s="24"/>
      <c r="G294" s="24"/>
      <c r="H294" s="24"/>
      <c r="I294" s="24"/>
      <c r="J294" s="29"/>
    </row>
    <row r="295" spans="1:10" ht="12.75" x14ac:dyDescent="0.2">
      <c r="A295"/>
      <c r="B295" s="42"/>
      <c r="C295"/>
      <c r="E295" s="26"/>
      <c r="F295" s="24"/>
      <c r="G295" s="24"/>
      <c r="H295" s="24"/>
      <c r="I295" s="24"/>
      <c r="J295" s="29"/>
    </row>
    <row r="296" spans="1:10" ht="12.75" x14ac:dyDescent="0.2">
      <c r="A296"/>
      <c r="B296" s="42"/>
      <c r="C296"/>
      <c r="E296" s="26"/>
      <c r="F296" s="24"/>
      <c r="G296" s="24"/>
      <c r="H296" s="24"/>
      <c r="I296" s="24"/>
      <c r="J296" s="29"/>
    </row>
    <row r="297" spans="1:10" ht="12.75" x14ac:dyDescent="0.2">
      <c r="A297"/>
      <c r="B297" s="42"/>
      <c r="C297"/>
      <c r="E297" s="26"/>
      <c r="F297" s="24"/>
      <c r="G297" s="24"/>
      <c r="H297" s="24"/>
      <c r="I297" s="24"/>
      <c r="J297" s="29"/>
    </row>
    <row r="298" spans="1:10" ht="12.75" x14ac:dyDescent="0.2">
      <c r="A298"/>
      <c r="B298" s="42"/>
      <c r="C298"/>
      <c r="E298" s="26"/>
      <c r="F298" s="24"/>
      <c r="G298" s="24"/>
      <c r="H298" s="24"/>
      <c r="I298" s="24"/>
      <c r="J298" s="29"/>
    </row>
    <row r="299" spans="1:10" ht="12.75" x14ac:dyDescent="0.2">
      <c r="A299"/>
      <c r="B299" s="42"/>
      <c r="C299"/>
      <c r="E299" s="26"/>
      <c r="F299" s="24"/>
      <c r="G299" s="24"/>
      <c r="H299" s="24"/>
      <c r="I299" s="24"/>
      <c r="J299" s="29"/>
    </row>
    <row r="300" spans="1:10" ht="12.75" x14ac:dyDescent="0.2">
      <c r="A300"/>
      <c r="B300" s="42"/>
      <c r="C300"/>
      <c r="E300" s="26"/>
      <c r="F300" s="24"/>
      <c r="G300" s="24"/>
      <c r="H300" s="24"/>
      <c r="I300" s="24"/>
      <c r="J300" s="29"/>
    </row>
    <row r="301" spans="1:10" ht="12.75" x14ac:dyDescent="0.2">
      <c r="A301"/>
      <c r="B301" s="42"/>
      <c r="C301"/>
      <c r="E301" s="26"/>
      <c r="F301" s="24"/>
      <c r="G301" s="24"/>
      <c r="H301" s="24"/>
      <c r="I301" s="24"/>
      <c r="J301" s="29"/>
    </row>
    <row r="302" spans="1:10" ht="12.75" x14ac:dyDescent="0.2">
      <c r="A302"/>
      <c r="B302" s="42"/>
      <c r="C302"/>
      <c r="E302" s="26"/>
      <c r="F302" s="24"/>
      <c r="G302" s="24"/>
      <c r="H302" s="24"/>
      <c r="I302" s="24"/>
      <c r="J302" s="29"/>
    </row>
    <row r="303" spans="1:10" ht="12.75" x14ac:dyDescent="0.2">
      <c r="A303"/>
      <c r="B303" s="42"/>
      <c r="C303"/>
      <c r="E303" s="26"/>
      <c r="F303" s="24"/>
      <c r="G303" s="24"/>
      <c r="H303" s="24"/>
      <c r="I303" s="24"/>
      <c r="J303" s="29"/>
    </row>
    <row r="304" spans="1:10" ht="12.75" x14ac:dyDescent="0.2">
      <c r="A304"/>
      <c r="B304" s="42"/>
      <c r="C304"/>
      <c r="E304" s="26"/>
      <c r="F304" s="24"/>
      <c r="G304" s="24"/>
      <c r="H304" s="24"/>
      <c r="I304" s="24"/>
      <c r="J304" s="29"/>
    </row>
    <row r="305" spans="1:10" ht="12.75" x14ac:dyDescent="0.2">
      <c r="A305"/>
      <c r="B305" s="42"/>
      <c r="C305"/>
      <c r="E305" s="26"/>
      <c r="F305" s="24"/>
      <c r="G305" s="24"/>
      <c r="H305" s="24"/>
      <c r="I305" s="24"/>
      <c r="J305" s="29"/>
    </row>
    <row r="306" spans="1:10" ht="12.75" x14ac:dyDescent="0.2">
      <c r="A306"/>
      <c r="B306" s="42"/>
      <c r="C306"/>
      <c r="E306" s="26"/>
      <c r="F306" s="24"/>
      <c r="G306" s="24"/>
      <c r="H306" s="24"/>
      <c r="I306" s="24"/>
      <c r="J306" s="29"/>
    </row>
    <row r="307" spans="1:10" ht="12.75" x14ac:dyDescent="0.2">
      <c r="A307"/>
      <c r="B307" s="42"/>
      <c r="C307"/>
      <c r="E307" s="26"/>
      <c r="F307" s="24"/>
      <c r="G307" s="24"/>
      <c r="H307" s="24"/>
      <c r="I307" s="24"/>
      <c r="J307" s="29"/>
    </row>
    <row r="308" spans="1:10" ht="12.75" x14ac:dyDescent="0.2">
      <c r="A308"/>
      <c r="B308" s="42"/>
      <c r="C308"/>
      <c r="E308" s="26"/>
      <c r="F308" s="24"/>
      <c r="G308" s="24"/>
      <c r="H308" s="24"/>
      <c r="I308" s="24"/>
      <c r="J308" s="29"/>
    </row>
    <row r="309" spans="1:10" ht="12.75" x14ac:dyDescent="0.2">
      <c r="A309"/>
      <c r="B309" s="42"/>
      <c r="C309"/>
      <c r="E309" s="26"/>
      <c r="F309" s="24"/>
      <c r="G309" s="24"/>
      <c r="H309" s="24"/>
      <c r="I309" s="24"/>
      <c r="J309" s="29"/>
    </row>
    <row r="310" spans="1:10" ht="12.75" x14ac:dyDescent="0.2">
      <c r="A310"/>
      <c r="B310" s="42"/>
      <c r="C310"/>
      <c r="E310" s="26"/>
      <c r="F310" s="24"/>
      <c r="G310" s="24"/>
      <c r="H310" s="24"/>
      <c r="I310" s="24"/>
      <c r="J310" s="29"/>
    </row>
    <row r="311" spans="1:10" ht="12.75" x14ac:dyDescent="0.2">
      <c r="A311"/>
      <c r="B311" s="42"/>
      <c r="C311"/>
      <c r="E311" s="26"/>
      <c r="F311" s="24"/>
      <c r="G311" s="24"/>
      <c r="H311" s="24"/>
      <c r="I311" s="24"/>
      <c r="J311" s="29"/>
    </row>
    <row r="312" spans="1:10" ht="12.75" x14ac:dyDescent="0.2">
      <c r="A312"/>
      <c r="B312" s="42"/>
      <c r="C312"/>
      <c r="E312" s="26"/>
      <c r="F312" s="24"/>
      <c r="G312" s="24"/>
      <c r="H312" s="24"/>
      <c r="I312" s="24"/>
      <c r="J312" s="29"/>
    </row>
    <row r="313" spans="1:10" ht="12.75" x14ac:dyDescent="0.2">
      <c r="A313"/>
      <c r="B313" s="42"/>
      <c r="C313"/>
      <c r="E313" s="26"/>
      <c r="F313" s="24"/>
      <c r="G313" s="24"/>
      <c r="H313" s="24"/>
      <c r="I313" s="24"/>
      <c r="J313" s="29"/>
    </row>
    <row r="314" spans="1:10" ht="12.75" x14ac:dyDescent="0.2">
      <c r="A314"/>
      <c r="B314" s="42"/>
      <c r="C314"/>
      <c r="E314" s="26"/>
      <c r="F314" s="24"/>
      <c r="G314" s="24"/>
      <c r="H314" s="24"/>
      <c r="I314" s="24"/>
      <c r="J314" s="29"/>
    </row>
    <row r="315" spans="1:10" ht="12.75" x14ac:dyDescent="0.2">
      <c r="A315"/>
      <c r="B315" s="42"/>
      <c r="C315"/>
      <c r="E315" s="26"/>
      <c r="F315" s="24"/>
      <c r="G315" s="24"/>
      <c r="H315" s="24"/>
      <c r="I315" s="24"/>
      <c r="J315" s="29"/>
    </row>
    <row r="316" spans="1:10" ht="12.75" x14ac:dyDescent="0.2">
      <c r="A316"/>
      <c r="B316" s="42"/>
      <c r="C316"/>
      <c r="E316" s="26"/>
      <c r="F316" s="24"/>
      <c r="G316" s="24"/>
      <c r="H316" s="24"/>
      <c r="I316" s="24"/>
      <c r="J316" s="29"/>
    </row>
    <row r="317" spans="1:10" ht="12.75" x14ac:dyDescent="0.2">
      <c r="A317"/>
      <c r="B317" s="42"/>
      <c r="C317"/>
      <c r="E317" s="26"/>
      <c r="F317" s="24"/>
      <c r="G317" s="24"/>
      <c r="H317" s="24"/>
      <c r="I317" s="24"/>
      <c r="J317" s="29"/>
    </row>
    <row r="318" spans="1:10" ht="12.75" x14ac:dyDescent="0.2">
      <c r="A318"/>
      <c r="B318" s="42"/>
      <c r="C318"/>
      <c r="E318" s="26"/>
      <c r="F318" s="24"/>
      <c r="G318" s="24"/>
      <c r="H318" s="24"/>
      <c r="I318" s="24"/>
      <c r="J318" s="29"/>
    </row>
    <row r="319" spans="1:10" ht="12.75" x14ac:dyDescent="0.2">
      <c r="A319"/>
      <c r="B319" s="42"/>
      <c r="C319"/>
      <c r="E319" s="26"/>
      <c r="F319" s="24"/>
      <c r="G319" s="24"/>
      <c r="H319" s="24"/>
      <c r="I319" s="24"/>
      <c r="J319" s="29"/>
    </row>
    <row r="320" spans="1:10" ht="12.75" x14ac:dyDescent="0.2">
      <c r="A320"/>
      <c r="B320" s="42"/>
      <c r="C320"/>
      <c r="E320" s="26"/>
      <c r="F320" s="24"/>
      <c r="G320" s="24"/>
      <c r="H320" s="24"/>
      <c r="I320" s="24"/>
      <c r="J320" s="29"/>
    </row>
    <row r="321" spans="1:10" ht="12.75" x14ac:dyDescent="0.2">
      <c r="A321"/>
      <c r="B321" s="42"/>
      <c r="C321"/>
      <c r="E321" s="26"/>
      <c r="F321" s="24"/>
      <c r="G321" s="24"/>
      <c r="H321" s="24"/>
      <c r="I321" s="24"/>
      <c r="J321" s="29"/>
    </row>
    <row r="322" spans="1:10" ht="12.75" x14ac:dyDescent="0.2">
      <c r="A322"/>
      <c r="B322" s="42"/>
      <c r="C322"/>
      <c r="E322" s="26"/>
      <c r="F322" s="24"/>
      <c r="G322" s="24"/>
      <c r="H322" s="24"/>
      <c r="I322" s="24"/>
      <c r="J322" s="29"/>
    </row>
    <row r="323" spans="1:10" ht="12.75" x14ac:dyDescent="0.2">
      <c r="A323"/>
      <c r="B323" s="42"/>
      <c r="C323"/>
      <c r="E323" s="26"/>
      <c r="F323" s="24"/>
      <c r="G323" s="24"/>
      <c r="H323" s="24"/>
      <c r="I323" s="24"/>
      <c r="J323" s="29"/>
    </row>
    <row r="324" spans="1:10" ht="12.75" x14ac:dyDescent="0.2">
      <c r="A324"/>
      <c r="B324" s="42"/>
      <c r="C324"/>
      <c r="E324" s="26"/>
      <c r="F324" s="24"/>
      <c r="G324" s="24"/>
      <c r="H324" s="24"/>
      <c r="I324" s="24"/>
      <c r="J324" s="29"/>
    </row>
    <row r="325" spans="1:10" ht="12.75" x14ac:dyDescent="0.2">
      <c r="A325"/>
      <c r="B325" s="42"/>
      <c r="C325"/>
      <c r="E325" s="26"/>
      <c r="F325" s="24"/>
      <c r="G325" s="24"/>
      <c r="H325" s="24"/>
      <c r="I325" s="24"/>
      <c r="J325" s="29"/>
    </row>
    <row r="326" spans="1:10" ht="12.75" x14ac:dyDescent="0.2">
      <c r="A326"/>
      <c r="B326" s="42"/>
      <c r="C326"/>
      <c r="E326" s="26"/>
      <c r="F326" s="24"/>
      <c r="G326" s="24"/>
      <c r="H326" s="24"/>
      <c r="I326" s="24"/>
      <c r="J326" s="29"/>
    </row>
    <row r="327" spans="1:10" ht="12.75" x14ac:dyDescent="0.2">
      <c r="A327"/>
      <c r="B327" s="42"/>
      <c r="C327"/>
      <c r="E327" s="26"/>
      <c r="F327" s="24"/>
      <c r="G327" s="24"/>
      <c r="H327" s="24"/>
      <c r="I327" s="24"/>
      <c r="J327" s="29"/>
    </row>
    <row r="328" spans="1:10" ht="12.75" x14ac:dyDescent="0.2">
      <c r="A328"/>
      <c r="B328" s="42"/>
      <c r="C328"/>
      <c r="E328" s="26"/>
      <c r="F328" s="24"/>
      <c r="G328" s="24"/>
      <c r="H328" s="24"/>
      <c r="I328" s="24"/>
      <c r="J328" s="29"/>
    </row>
    <row r="329" spans="1:10" ht="12.75" x14ac:dyDescent="0.2">
      <c r="A329"/>
      <c r="B329" s="42"/>
      <c r="C329"/>
      <c r="E329" s="26"/>
      <c r="F329" s="24"/>
      <c r="G329" s="24"/>
      <c r="H329" s="24"/>
      <c r="I329" s="24"/>
      <c r="J329" s="29"/>
    </row>
    <row r="330" spans="1:10" ht="12.75" x14ac:dyDescent="0.2">
      <c r="A330"/>
      <c r="B330" s="42"/>
      <c r="C330"/>
      <c r="E330" s="26"/>
      <c r="F330" s="24"/>
      <c r="G330" s="24"/>
      <c r="H330" s="24"/>
      <c r="I330" s="24"/>
      <c r="J330" s="29"/>
    </row>
    <row r="331" spans="1:10" ht="12.75" x14ac:dyDescent="0.2">
      <c r="A331"/>
      <c r="B331" s="42"/>
      <c r="C331"/>
      <c r="E331" s="26"/>
      <c r="F331" s="24"/>
      <c r="G331" s="24"/>
      <c r="H331" s="24"/>
      <c r="I331" s="24"/>
      <c r="J331" s="29"/>
    </row>
    <row r="332" spans="1:10" ht="12.75" x14ac:dyDescent="0.2">
      <c r="A332"/>
      <c r="B332" s="42"/>
      <c r="C332"/>
      <c r="E332" s="26"/>
      <c r="F332" s="24"/>
      <c r="G332" s="24"/>
      <c r="H332" s="24"/>
      <c r="I332" s="24"/>
      <c r="J332" s="29"/>
    </row>
    <row r="333" spans="1:10" ht="12.75" x14ac:dyDescent="0.2">
      <c r="A333"/>
      <c r="B333" s="42"/>
      <c r="C333"/>
      <c r="E333" s="26"/>
      <c r="F333" s="24"/>
      <c r="G333" s="24"/>
      <c r="H333" s="24"/>
      <c r="I333" s="24"/>
      <c r="J333" s="29"/>
    </row>
    <row r="334" spans="1:10" ht="12.75" x14ac:dyDescent="0.2">
      <c r="A334"/>
      <c r="B334" s="42"/>
      <c r="C334"/>
      <c r="E334" s="26"/>
      <c r="F334" s="24"/>
      <c r="G334" s="24"/>
      <c r="H334" s="24"/>
      <c r="I334" s="24"/>
      <c r="J334" s="29"/>
    </row>
    <row r="335" spans="1:10" ht="12.75" x14ac:dyDescent="0.2">
      <c r="A335"/>
      <c r="B335" s="42"/>
      <c r="C335"/>
      <c r="E335" s="26"/>
      <c r="F335" s="24"/>
      <c r="G335" s="24"/>
      <c r="H335" s="24"/>
      <c r="I335" s="24"/>
      <c r="J335" s="29"/>
    </row>
    <row r="336" spans="1:10" ht="12.75" x14ac:dyDescent="0.2">
      <c r="A336"/>
      <c r="B336" s="42"/>
      <c r="C336"/>
      <c r="E336" s="26"/>
      <c r="F336" s="24"/>
      <c r="G336" s="24"/>
      <c r="H336" s="24"/>
      <c r="I336" s="24"/>
      <c r="J336" s="29"/>
    </row>
    <row r="337" spans="1:10" ht="12.75" x14ac:dyDescent="0.2">
      <c r="A337"/>
      <c r="B337" s="42"/>
      <c r="C337"/>
      <c r="E337" s="26"/>
      <c r="F337" s="24"/>
      <c r="G337" s="24"/>
      <c r="H337" s="24"/>
      <c r="I337" s="24"/>
      <c r="J337" s="29"/>
    </row>
    <row r="338" spans="1:10" ht="12.75" x14ac:dyDescent="0.2">
      <c r="A338"/>
      <c r="B338" s="42"/>
      <c r="C338"/>
      <c r="E338" s="26"/>
      <c r="F338" s="24"/>
      <c r="G338" s="24"/>
      <c r="H338" s="24"/>
      <c r="I338" s="24"/>
      <c r="J338" s="29"/>
    </row>
    <row r="339" spans="1:10" ht="12.75" x14ac:dyDescent="0.2">
      <c r="A339"/>
      <c r="B339" s="42"/>
      <c r="C339"/>
      <c r="E339" s="26"/>
      <c r="F339" s="24"/>
      <c r="G339" s="24"/>
      <c r="H339" s="24"/>
      <c r="I339" s="24"/>
      <c r="J339" s="29"/>
    </row>
    <row r="340" spans="1:10" ht="12.75" x14ac:dyDescent="0.2">
      <c r="A340"/>
      <c r="B340" s="42"/>
      <c r="C340"/>
      <c r="E340" s="26"/>
      <c r="F340" s="24"/>
      <c r="G340" s="24"/>
      <c r="H340" s="24"/>
      <c r="I340" s="24"/>
      <c r="J340" s="29"/>
    </row>
    <row r="341" spans="1:10" ht="12.75" x14ac:dyDescent="0.2">
      <c r="A341"/>
      <c r="B341" s="42"/>
      <c r="C341"/>
      <c r="E341" s="26"/>
      <c r="F341" s="24"/>
      <c r="G341" s="24"/>
      <c r="H341" s="24"/>
      <c r="I341" s="24"/>
      <c r="J341" s="29"/>
    </row>
    <row r="342" spans="1:10" ht="12.75" x14ac:dyDescent="0.2">
      <c r="A342"/>
      <c r="B342" s="42"/>
      <c r="C342"/>
      <c r="E342" s="26"/>
      <c r="F342" s="24"/>
      <c r="G342" s="24"/>
      <c r="H342" s="24"/>
      <c r="I342" s="24"/>
      <c r="J342" s="29"/>
    </row>
    <row r="343" spans="1:10" ht="12.75" x14ac:dyDescent="0.2">
      <c r="A343"/>
      <c r="B343" s="42"/>
      <c r="C343"/>
      <c r="E343" s="26"/>
      <c r="F343" s="24"/>
      <c r="G343" s="24"/>
      <c r="H343" s="24"/>
      <c r="I343" s="24"/>
      <c r="J343" s="29"/>
    </row>
    <row r="344" spans="1:10" ht="12.75" x14ac:dyDescent="0.2">
      <c r="A344"/>
      <c r="B344" s="42"/>
      <c r="C344"/>
      <c r="E344" s="26"/>
      <c r="F344" s="24"/>
      <c r="G344" s="24"/>
      <c r="H344" s="24"/>
      <c r="I344" s="24"/>
      <c r="J344" s="29"/>
    </row>
    <row r="345" spans="1:10" ht="12.75" x14ac:dyDescent="0.2">
      <c r="A345"/>
      <c r="B345" s="42"/>
      <c r="C345"/>
      <c r="E345" s="26"/>
      <c r="F345" s="24"/>
      <c r="G345" s="24"/>
      <c r="H345" s="24"/>
      <c r="I345" s="24"/>
      <c r="J345" s="29"/>
    </row>
    <row r="346" spans="1:10" ht="12.75" x14ac:dyDescent="0.2">
      <c r="A346"/>
      <c r="B346" s="42"/>
      <c r="C346"/>
      <c r="E346" s="26"/>
      <c r="F346" s="24"/>
      <c r="G346" s="24"/>
      <c r="H346" s="24"/>
      <c r="I346" s="24"/>
      <c r="J346" s="29"/>
    </row>
    <row r="347" spans="1:10" ht="12.75" x14ac:dyDescent="0.2">
      <c r="A347"/>
      <c r="B347" s="42"/>
      <c r="C347"/>
      <c r="E347" s="26"/>
      <c r="F347" s="24"/>
      <c r="G347" s="24"/>
      <c r="H347" s="24"/>
      <c r="I347" s="24"/>
      <c r="J347" s="29"/>
    </row>
    <row r="348" spans="1:10" ht="12.75" x14ac:dyDescent="0.2">
      <c r="A348"/>
      <c r="B348" s="42"/>
      <c r="C348"/>
      <c r="E348" s="26"/>
      <c r="F348" s="24"/>
      <c r="G348" s="24"/>
      <c r="H348" s="24"/>
      <c r="I348" s="24"/>
      <c r="J348" s="29"/>
    </row>
    <row r="349" spans="1:10" ht="12.75" x14ac:dyDescent="0.2">
      <c r="A349"/>
      <c r="B349" s="42"/>
      <c r="C349"/>
      <c r="E349" s="26"/>
      <c r="F349" s="24"/>
      <c r="G349" s="24"/>
      <c r="H349" s="24"/>
      <c r="I349" s="24"/>
      <c r="J349" s="29"/>
    </row>
    <row r="350" spans="1:10" ht="12.75" x14ac:dyDescent="0.2">
      <c r="A350"/>
      <c r="B350" s="42"/>
      <c r="C350"/>
      <c r="E350" s="26"/>
      <c r="F350" s="24"/>
      <c r="G350" s="24"/>
      <c r="H350" s="24"/>
      <c r="I350" s="24"/>
      <c r="J350" s="29"/>
    </row>
    <row r="351" spans="1:10" ht="12.75" x14ac:dyDescent="0.2">
      <c r="A351"/>
      <c r="B351" s="42"/>
      <c r="C351"/>
      <c r="E351" s="26"/>
      <c r="F351" s="24"/>
      <c r="G351" s="24"/>
      <c r="H351" s="24"/>
      <c r="I351" s="24"/>
      <c r="J351" s="29"/>
    </row>
    <row r="352" spans="1:10" ht="12.75" x14ac:dyDescent="0.2">
      <c r="A352"/>
      <c r="B352" s="42"/>
      <c r="C352"/>
      <c r="E352" s="26"/>
      <c r="F352" s="24"/>
      <c r="G352" s="24"/>
      <c r="H352" s="24"/>
      <c r="I352" s="24"/>
      <c r="J352" s="29"/>
    </row>
    <row r="353" spans="1:10" ht="12.75" x14ac:dyDescent="0.2">
      <c r="A353"/>
      <c r="B353" s="42"/>
      <c r="C353"/>
      <c r="E353" s="26"/>
      <c r="F353" s="24"/>
      <c r="G353" s="24"/>
      <c r="H353" s="24"/>
      <c r="I353" s="24"/>
      <c r="J353" s="29"/>
    </row>
    <row r="354" spans="1:10" ht="12.75" x14ac:dyDescent="0.2">
      <c r="A354"/>
      <c r="B354" s="42"/>
      <c r="C354"/>
      <c r="E354" s="26"/>
      <c r="F354" s="24"/>
      <c r="G354" s="24"/>
      <c r="H354" s="24"/>
      <c r="I354" s="24"/>
      <c r="J354" s="29"/>
    </row>
    <row r="355" spans="1:10" ht="12.75" x14ac:dyDescent="0.2">
      <c r="A355"/>
      <c r="B355" s="42"/>
      <c r="C355"/>
      <c r="E355" s="26"/>
      <c r="F355" s="24"/>
      <c r="G355" s="24"/>
      <c r="H355" s="24"/>
      <c r="I355" s="24"/>
      <c r="J355" s="29"/>
    </row>
    <row r="356" spans="1:10" ht="12.75" x14ac:dyDescent="0.2">
      <c r="A356"/>
      <c r="B356" s="42"/>
      <c r="C356"/>
      <c r="E356" s="26"/>
      <c r="F356" s="24"/>
      <c r="G356" s="24"/>
      <c r="H356" s="24"/>
      <c r="I356" s="24"/>
      <c r="J356" s="29"/>
    </row>
    <row r="357" spans="1:10" ht="12.75" x14ac:dyDescent="0.2">
      <c r="A357"/>
      <c r="B357" s="42"/>
      <c r="C357"/>
      <c r="E357" s="26"/>
      <c r="F357" s="24"/>
      <c r="G357" s="24"/>
      <c r="H357" s="24"/>
      <c r="I357" s="24"/>
      <c r="J357" s="29"/>
    </row>
    <row r="358" spans="1:10" ht="12.75" x14ac:dyDescent="0.2">
      <c r="A358"/>
      <c r="B358" s="42"/>
      <c r="C358"/>
      <c r="E358" s="26"/>
      <c r="F358" s="24"/>
      <c r="G358" s="24"/>
      <c r="H358" s="24"/>
      <c r="I358" s="24"/>
      <c r="J358" s="29"/>
    </row>
    <row r="359" spans="1:10" ht="12.75" x14ac:dyDescent="0.2">
      <c r="A359"/>
      <c r="B359" s="42"/>
      <c r="C359"/>
      <c r="E359" s="26"/>
      <c r="F359" s="24"/>
      <c r="G359" s="24"/>
      <c r="H359" s="24"/>
      <c r="I359" s="24"/>
      <c r="J359" s="29"/>
    </row>
    <row r="360" spans="1:10" ht="12.75" x14ac:dyDescent="0.2">
      <c r="A360"/>
      <c r="B360" s="42"/>
      <c r="C360"/>
      <c r="E360" s="26"/>
      <c r="F360" s="24"/>
      <c r="G360" s="24"/>
      <c r="H360" s="24"/>
      <c r="I360" s="24"/>
      <c r="J360" s="29"/>
    </row>
    <row r="361" spans="1:10" ht="12.75" x14ac:dyDescent="0.2">
      <c r="A361"/>
      <c r="B361" s="42"/>
      <c r="C361"/>
      <c r="E361" s="26"/>
      <c r="F361" s="24"/>
      <c r="G361" s="24"/>
      <c r="H361" s="24"/>
      <c r="I361" s="24"/>
      <c r="J361" s="29"/>
    </row>
    <row r="362" spans="1:10" ht="12.75" x14ac:dyDescent="0.2">
      <c r="A362"/>
      <c r="B362" s="42"/>
      <c r="C362"/>
      <c r="E362" s="26"/>
      <c r="F362" s="24"/>
      <c r="G362" s="24"/>
      <c r="H362" s="24"/>
      <c r="I362" s="24"/>
      <c r="J362" s="29"/>
    </row>
    <row r="363" spans="1:10" ht="12.75" x14ac:dyDescent="0.2">
      <c r="A363"/>
      <c r="B363" s="42"/>
      <c r="C363"/>
      <c r="E363" s="26"/>
      <c r="F363" s="24"/>
      <c r="G363" s="24"/>
      <c r="H363" s="24"/>
      <c r="I363" s="24"/>
      <c r="J363" s="29"/>
    </row>
    <row r="364" spans="1:10" ht="12.75" x14ac:dyDescent="0.2">
      <c r="A364"/>
      <c r="B364" s="42"/>
      <c r="C364"/>
      <c r="E364" s="26"/>
      <c r="F364" s="24"/>
      <c r="G364" s="24"/>
      <c r="H364" s="24"/>
      <c r="I364" s="24"/>
      <c r="J364" s="29"/>
    </row>
    <row r="365" spans="1:10" ht="12.75" x14ac:dyDescent="0.2">
      <c r="A365"/>
      <c r="B365" s="42"/>
      <c r="C365"/>
      <c r="E365" s="26"/>
      <c r="F365" s="24"/>
      <c r="G365" s="24"/>
      <c r="H365" s="24"/>
      <c r="I365" s="24"/>
      <c r="J365" s="29"/>
    </row>
    <row r="366" spans="1:10" ht="12.75" x14ac:dyDescent="0.2">
      <c r="A366"/>
      <c r="B366" s="42"/>
      <c r="C366"/>
      <c r="E366" s="26"/>
      <c r="F366" s="24"/>
      <c r="G366" s="24"/>
      <c r="H366" s="24"/>
      <c r="I366" s="24"/>
      <c r="J366" s="29"/>
    </row>
    <row r="367" spans="1:10" ht="12.75" x14ac:dyDescent="0.2">
      <c r="A367"/>
      <c r="B367" s="42"/>
      <c r="C367"/>
      <c r="E367" s="26"/>
      <c r="F367" s="24"/>
      <c r="G367" s="24"/>
      <c r="H367" s="24"/>
      <c r="I367" s="24"/>
      <c r="J367" s="29"/>
    </row>
    <row r="368" spans="1:10" ht="12.75" x14ac:dyDescent="0.2">
      <c r="A368"/>
      <c r="B368" s="42"/>
      <c r="C368"/>
      <c r="E368" s="26"/>
      <c r="F368" s="24"/>
      <c r="G368" s="24"/>
      <c r="H368" s="24"/>
      <c r="I368" s="24"/>
      <c r="J368" s="29"/>
    </row>
    <row r="369" spans="1:10" ht="12.75" x14ac:dyDescent="0.2">
      <c r="A369"/>
      <c r="B369" s="42"/>
      <c r="C369"/>
      <c r="E369" s="26"/>
      <c r="F369" s="24"/>
      <c r="G369" s="24"/>
      <c r="H369" s="24"/>
      <c r="I369" s="24"/>
      <c r="J369" s="29"/>
    </row>
    <row r="370" spans="1:10" ht="12.75" x14ac:dyDescent="0.2">
      <c r="A370"/>
      <c r="B370" s="42"/>
      <c r="C370"/>
      <c r="E370" s="26"/>
      <c r="F370" s="24"/>
      <c r="G370" s="24"/>
      <c r="H370" s="24"/>
      <c r="I370" s="24"/>
      <c r="J370" s="29"/>
    </row>
    <row r="371" spans="1:10" ht="12.75" x14ac:dyDescent="0.2">
      <c r="A371"/>
      <c r="B371" s="42"/>
      <c r="C371"/>
      <c r="E371" s="26"/>
      <c r="F371" s="24"/>
      <c r="G371" s="24"/>
      <c r="H371" s="24"/>
      <c r="I371" s="24"/>
      <c r="J371" s="29"/>
    </row>
    <row r="372" spans="1:10" ht="12.75" x14ac:dyDescent="0.2">
      <c r="A372"/>
      <c r="B372" s="42"/>
      <c r="C372"/>
      <c r="E372" s="26"/>
      <c r="F372" s="24"/>
      <c r="G372" s="24"/>
      <c r="H372" s="24"/>
      <c r="I372" s="24"/>
      <c r="J372" s="29"/>
    </row>
    <row r="373" spans="1:10" ht="12.75" x14ac:dyDescent="0.2">
      <c r="A373"/>
      <c r="B373" s="42"/>
      <c r="C373"/>
      <c r="E373" s="26"/>
      <c r="F373" s="24"/>
      <c r="G373" s="24"/>
      <c r="H373" s="24"/>
      <c r="I373" s="24"/>
      <c r="J373" s="29"/>
    </row>
    <row r="374" spans="1:10" ht="12.75" x14ac:dyDescent="0.2">
      <c r="A374"/>
      <c r="B374" s="42"/>
      <c r="C374"/>
      <c r="E374" s="26"/>
      <c r="F374" s="24"/>
      <c r="G374" s="24"/>
      <c r="H374" s="24"/>
      <c r="I374" s="24"/>
      <c r="J374" s="29"/>
    </row>
    <row r="375" spans="1:10" ht="12.75" x14ac:dyDescent="0.2">
      <c r="A375"/>
      <c r="B375" s="42"/>
      <c r="C375"/>
      <c r="E375" s="26"/>
      <c r="F375" s="24"/>
      <c r="G375" s="24"/>
      <c r="H375" s="24"/>
      <c r="I375" s="24"/>
      <c r="J375" s="29"/>
    </row>
    <row r="376" spans="1:10" ht="12.75" x14ac:dyDescent="0.2">
      <c r="A376"/>
      <c r="B376" s="42"/>
      <c r="C376"/>
      <c r="E376" s="26"/>
      <c r="F376" s="24"/>
      <c r="G376" s="24"/>
      <c r="H376" s="24"/>
      <c r="I376" s="24"/>
      <c r="J376" s="29"/>
    </row>
    <row r="377" spans="1:10" ht="12.75" x14ac:dyDescent="0.2">
      <c r="A377"/>
      <c r="B377" s="42"/>
      <c r="C377"/>
      <c r="E377" s="26"/>
      <c r="F377" s="24"/>
      <c r="G377" s="24"/>
      <c r="H377" s="24"/>
      <c r="I377" s="24"/>
      <c r="J377" s="29"/>
    </row>
    <row r="378" spans="1:10" ht="12.75" x14ac:dyDescent="0.2">
      <c r="A378"/>
      <c r="B378" s="42"/>
      <c r="C378"/>
      <c r="E378" s="26"/>
      <c r="F378" s="24"/>
      <c r="G378" s="24"/>
      <c r="H378" s="24"/>
      <c r="I378" s="24"/>
      <c r="J378" s="29"/>
    </row>
    <row r="379" spans="1:10" ht="12.75" x14ac:dyDescent="0.2">
      <c r="A379"/>
      <c r="B379" s="42"/>
      <c r="C379"/>
      <c r="E379" s="26"/>
      <c r="F379" s="24"/>
      <c r="G379" s="24"/>
      <c r="H379" s="24"/>
      <c r="I379" s="24"/>
      <c r="J379" s="29"/>
    </row>
    <row r="380" spans="1:10" ht="12.75" x14ac:dyDescent="0.2">
      <c r="A380"/>
      <c r="B380" s="42"/>
      <c r="C380"/>
      <c r="E380" s="26"/>
      <c r="F380" s="24"/>
      <c r="G380" s="24"/>
      <c r="H380" s="24"/>
      <c r="I380" s="24"/>
      <c r="J380" s="29"/>
    </row>
    <row r="381" spans="1:10" ht="12.75" x14ac:dyDescent="0.2">
      <c r="A381"/>
      <c r="B381" s="42"/>
      <c r="C381"/>
      <c r="E381" s="26"/>
      <c r="F381" s="24"/>
      <c r="G381" s="24"/>
      <c r="H381" s="24"/>
      <c r="I381" s="24"/>
      <c r="J381" s="29"/>
    </row>
    <row r="382" spans="1:10" ht="12.75" x14ac:dyDescent="0.2">
      <c r="A382"/>
      <c r="B382" s="42"/>
      <c r="C382"/>
      <c r="E382" s="26"/>
      <c r="F382" s="24"/>
      <c r="G382" s="24"/>
      <c r="H382" s="24"/>
      <c r="I382" s="24"/>
      <c r="J382" s="29"/>
    </row>
    <row r="383" spans="1:10" ht="12.75" x14ac:dyDescent="0.2">
      <c r="A383"/>
      <c r="B383" s="42"/>
      <c r="C383"/>
      <c r="E383" s="26"/>
      <c r="F383" s="24"/>
      <c r="G383" s="24"/>
      <c r="H383" s="24"/>
      <c r="I383" s="24"/>
      <c r="J383" s="29"/>
    </row>
    <row r="384" spans="1:10" ht="12.75" x14ac:dyDescent="0.2">
      <c r="A384"/>
      <c r="B384" s="42"/>
      <c r="C384"/>
      <c r="E384" s="26"/>
      <c r="F384" s="24"/>
      <c r="G384" s="24"/>
      <c r="H384" s="24"/>
      <c r="I384" s="24"/>
      <c r="J384" s="29"/>
    </row>
    <row r="385" spans="1:10" ht="12.75" x14ac:dyDescent="0.2">
      <c r="A385"/>
      <c r="B385" s="42"/>
      <c r="C385"/>
      <c r="E385" s="26"/>
      <c r="F385" s="24"/>
      <c r="G385" s="24"/>
      <c r="H385" s="24"/>
      <c r="I385" s="24"/>
      <c r="J385" s="29"/>
    </row>
    <row r="386" spans="1:10" ht="12.75" x14ac:dyDescent="0.2">
      <c r="A386"/>
      <c r="B386" s="42"/>
      <c r="C386"/>
      <c r="E386" s="26"/>
      <c r="F386" s="24"/>
      <c r="G386" s="24"/>
      <c r="H386" s="24"/>
      <c r="I386" s="24"/>
      <c r="J386" s="29"/>
    </row>
    <row r="387" spans="1:10" ht="12.75" x14ac:dyDescent="0.2">
      <c r="A387"/>
      <c r="B387" s="42"/>
      <c r="C387"/>
      <c r="E387" s="26"/>
      <c r="F387" s="24"/>
      <c r="G387" s="24"/>
      <c r="H387" s="24"/>
      <c r="I387" s="24"/>
      <c r="J387" s="29"/>
    </row>
    <row r="388" spans="1:10" ht="12.75" x14ac:dyDescent="0.2">
      <c r="A388"/>
      <c r="B388" s="42"/>
      <c r="C388"/>
      <c r="E388" s="26"/>
      <c r="F388" s="24"/>
      <c r="G388" s="24"/>
      <c r="H388" s="24"/>
      <c r="I388" s="24"/>
      <c r="J388" s="29"/>
    </row>
    <row r="389" spans="1:10" ht="12.75" x14ac:dyDescent="0.2">
      <c r="A389"/>
      <c r="B389" s="42"/>
      <c r="C389"/>
      <c r="E389" s="26"/>
      <c r="F389" s="24"/>
      <c r="G389" s="24"/>
      <c r="H389" s="24"/>
      <c r="I389" s="24"/>
      <c r="J389" s="29"/>
    </row>
    <row r="390" spans="1:10" ht="12.75" x14ac:dyDescent="0.2">
      <c r="A390"/>
      <c r="B390" s="42"/>
      <c r="C390"/>
      <c r="E390" s="26"/>
      <c r="F390" s="24"/>
      <c r="G390" s="24"/>
      <c r="H390" s="24"/>
      <c r="I390" s="24"/>
      <c r="J390" s="29"/>
    </row>
    <row r="391" spans="1:10" ht="12.75" x14ac:dyDescent="0.2">
      <c r="A391"/>
      <c r="B391" s="42"/>
      <c r="C391"/>
      <c r="E391" s="26"/>
      <c r="F391" s="24"/>
      <c r="G391" s="24"/>
      <c r="H391" s="24"/>
      <c r="I391" s="24"/>
      <c r="J391" s="29"/>
    </row>
    <row r="392" spans="1:10" ht="12.75" x14ac:dyDescent="0.2">
      <c r="A392"/>
      <c r="B392" s="42"/>
      <c r="C392"/>
      <c r="E392" s="26"/>
      <c r="F392" s="24"/>
      <c r="G392" s="24"/>
      <c r="H392" s="24"/>
      <c r="I392" s="24"/>
      <c r="J392" s="29"/>
    </row>
    <row r="393" spans="1:10" ht="12.75" x14ac:dyDescent="0.2">
      <c r="A393"/>
      <c r="B393" s="42"/>
      <c r="C393"/>
      <c r="E393" s="26"/>
      <c r="F393" s="24"/>
      <c r="G393" s="24"/>
      <c r="H393" s="24"/>
      <c r="I393" s="24"/>
      <c r="J393" s="29"/>
    </row>
    <row r="394" spans="1:10" ht="12.75" x14ac:dyDescent="0.2">
      <c r="A394"/>
      <c r="B394" s="42"/>
      <c r="C394"/>
      <c r="E394" s="26"/>
      <c r="F394" s="24"/>
      <c r="G394" s="24"/>
      <c r="H394" s="24"/>
      <c r="I394" s="24"/>
      <c r="J394" s="29"/>
    </row>
    <row r="395" spans="1:10" ht="12.75" x14ac:dyDescent="0.2">
      <c r="A395"/>
      <c r="B395" s="42"/>
      <c r="C395"/>
      <c r="E395" s="26"/>
      <c r="F395" s="24"/>
      <c r="G395" s="24"/>
      <c r="H395" s="24"/>
      <c r="I395" s="24"/>
      <c r="J395" s="29"/>
    </row>
    <row r="396" spans="1:10" ht="12.75" x14ac:dyDescent="0.2">
      <c r="A396"/>
      <c r="B396" s="42"/>
      <c r="C396"/>
      <c r="E396" s="26"/>
      <c r="F396" s="24"/>
      <c r="G396" s="24"/>
      <c r="H396" s="24"/>
      <c r="I396" s="24"/>
      <c r="J396" s="29"/>
    </row>
    <row r="397" spans="1:10" ht="12.75" x14ac:dyDescent="0.2">
      <c r="A397"/>
      <c r="B397" s="42"/>
      <c r="C397"/>
      <c r="E397" s="26"/>
      <c r="F397" s="24"/>
      <c r="G397" s="24"/>
      <c r="H397" s="24"/>
      <c r="I397" s="24"/>
      <c r="J397" s="29"/>
    </row>
    <row r="398" spans="1:10" ht="12.75" x14ac:dyDescent="0.2">
      <c r="A398"/>
      <c r="B398" s="42"/>
      <c r="C398"/>
      <c r="E398" s="26"/>
      <c r="F398" s="24"/>
      <c r="G398" s="24"/>
      <c r="H398" s="24"/>
      <c r="I398" s="24"/>
      <c r="J398" s="29"/>
    </row>
    <row r="399" spans="1:10" ht="12.75" x14ac:dyDescent="0.2">
      <c r="A399"/>
      <c r="B399" s="42"/>
      <c r="C399"/>
      <c r="E399" s="26"/>
      <c r="F399" s="24"/>
      <c r="G399" s="24"/>
      <c r="H399" s="24"/>
      <c r="I399" s="24"/>
      <c r="J399" s="29"/>
    </row>
    <row r="400" spans="1:10" ht="12.75" x14ac:dyDescent="0.2">
      <c r="A400"/>
      <c r="B400" s="42"/>
      <c r="C400"/>
      <c r="E400" s="26"/>
      <c r="F400" s="24"/>
      <c r="G400" s="24"/>
      <c r="H400" s="24"/>
      <c r="I400" s="24"/>
      <c r="J400" s="29"/>
    </row>
    <row r="401" spans="1:10" ht="12.75" x14ac:dyDescent="0.2">
      <c r="A401"/>
      <c r="B401" s="42"/>
      <c r="C401"/>
      <c r="E401" s="26"/>
      <c r="F401" s="24"/>
      <c r="G401" s="24"/>
      <c r="H401" s="24"/>
      <c r="I401" s="24"/>
      <c r="J401" s="29"/>
    </row>
    <row r="402" spans="1:10" ht="12.75" x14ac:dyDescent="0.2">
      <c r="A402"/>
      <c r="B402" s="42"/>
      <c r="C402"/>
      <c r="E402" s="26"/>
      <c r="F402" s="24"/>
      <c r="G402" s="24"/>
      <c r="H402" s="24"/>
      <c r="I402" s="24"/>
      <c r="J402" s="29"/>
    </row>
    <row r="403" spans="1:10" ht="12.75" x14ac:dyDescent="0.2">
      <c r="A403"/>
      <c r="B403" s="42"/>
      <c r="C403"/>
      <c r="E403" s="26"/>
      <c r="F403" s="24"/>
      <c r="G403" s="24"/>
      <c r="H403" s="24"/>
      <c r="I403" s="24"/>
      <c r="J403" s="29"/>
    </row>
    <row r="404" spans="1:10" ht="12.75" x14ac:dyDescent="0.2">
      <c r="A404"/>
      <c r="B404" s="42"/>
      <c r="C404"/>
      <c r="E404" s="26"/>
      <c r="F404" s="24"/>
      <c r="G404" s="24"/>
      <c r="H404" s="24"/>
      <c r="I404" s="24"/>
      <c r="J404" s="29"/>
    </row>
    <row r="405" spans="1:10" ht="12.75" x14ac:dyDescent="0.2">
      <c r="A405"/>
      <c r="B405" s="42"/>
      <c r="C405"/>
      <c r="E405" s="26"/>
      <c r="F405" s="24"/>
      <c r="G405" s="24"/>
      <c r="H405" s="24"/>
      <c r="I405" s="24"/>
      <c r="J405" s="29"/>
    </row>
    <row r="406" spans="1:10" ht="12.75" x14ac:dyDescent="0.2">
      <c r="A406"/>
      <c r="B406" s="42"/>
      <c r="C406"/>
      <c r="E406" s="26"/>
      <c r="F406" s="24"/>
      <c r="G406" s="24"/>
      <c r="H406" s="24"/>
      <c r="I406" s="24"/>
      <c r="J406" s="29"/>
    </row>
    <row r="407" spans="1:10" ht="12.75" x14ac:dyDescent="0.2">
      <c r="A407"/>
      <c r="B407" s="42"/>
      <c r="C407"/>
      <c r="E407" s="26"/>
      <c r="F407" s="24"/>
      <c r="G407" s="24"/>
      <c r="H407" s="24"/>
      <c r="I407" s="24"/>
      <c r="J407" s="29"/>
    </row>
    <row r="408" spans="1:10" ht="12.75" x14ac:dyDescent="0.2">
      <c r="A408"/>
      <c r="B408" s="42"/>
      <c r="C408"/>
      <c r="E408" s="26"/>
      <c r="F408" s="24"/>
      <c r="G408" s="24"/>
      <c r="H408" s="24"/>
      <c r="I408" s="24"/>
      <c r="J408" s="29"/>
    </row>
    <row r="409" spans="1:10" ht="12.75" x14ac:dyDescent="0.2">
      <c r="A409"/>
      <c r="B409" s="42"/>
      <c r="C409"/>
      <c r="E409" s="26"/>
      <c r="F409" s="24"/>
      <c r="G409" s="24"/>
      <c r="H409" s="24"/>
      <c r="I409" s="24"/>
      <c r="J409" s="29"/>
    </row>
    <row r="410" spans="1:10" ht="12.75" x14ac:dyDescent="0.2">
      <c r="A410"/>
      <c r="B410" s="42"/>
      <c r="C410"/>
      <c r="E410" s="26"/>
      <c r="F410" s="24"/>
      <c r="G410" s="24"/>
      <c r="H410" s="24"/>
      <c r="I410" s="24"/>
      <c r="J410" s="29"/>
    </row>
    <row r="411" spans="1:10" ht="12.75" x14ac:dyDescent="0.2">
      <c r="A411"/>
      <c r="B411" s="42"/>
      <c r="C411"/>
      <c r="E411" s="26"/>
      <c r="F411" s="24"/>
      <c r="G411" s="24"/>
      <c r="H411" s="24"/>
      <c r="I411" s="24"/>
      <c r="J411" s="29"/>
    </row>
    <row r="412" spans="1:10" ht="12.75" x14ac:dyDescent="0.2">
      <c r="A412"/>
      <c r="B412" s="42"/>
      <c r="C412"/>
      <c r="E412" s="26"/>
      <c r="F412" s="24"/>
      <c r="G412" s="24"/>
      <c r="H412" s="24"/>
      <c r="I412" s="24"/>
      <c r="J412" s="29"/>
    </row>
    <row r="413" spans="1:10" ht="12.75" x14ac:dyDescent="0.2">
      <c r="A413"/>
      <c r="B413" s="42"/>
      <c r="C413"/>
      <c r="E413" s="26"/>
      <c r="F413" s="24"/>
      <c r="G413" s="24"/>
      <c r="H413" s="24"/>
      <c r="I413" s="24"/>
      <c r="J413" s="29"/>
    </row>
    <row r="414" spans="1:10" ht="12.75" x14ac:dyDescent="0.2">
      <c r="A414"/>
      <c r="B414" s="42"/>
      <c r="C414"/>
      <c r="E414" s="26"/>
      <c r="F414" s="24"/>
      <c r="G414" s="24"/>
      <c r="H414" s="24"/>
      <c r="I414" s="24"/>
      <c r="J414" s="29"/>
    </row>
    <row r="415" spans="1:10" ht="12.75" x14ac:dyDescent="0.2">
      <c r="A415"/>
      <c r="B415" s="42"/>
      <c r="C415"/>
      <c r="E415" s="26"/>
      <c r="F415" s="24"/>
      <c r="G415" s="24"/>
      <c r="H415" s="24"/>
      <c r="I415" s="24"/>
      <c r="J415" s="29"/>
    </row>
    <row r="416" spans="1:10" ht="12.75" x14ac:dyDescent="0.2">
      <c r="A416"/>
      <c r="B416" s="42"/>
      <c r="C416"/>
      <c r="E416" s="26"/>
      <c r="F416" s="24"/>
      <c r="G416" s="24"/>
      <c r="H416" s="24"/>
      <c r="I416" s="24"/>
      <c r="J416" s="29"/>
    </row>
    <row r="417" spans="1:10" ht="12.75" x14ac:dyDescent="0.2">
      <c r="A417"/>
      <c r="B417" s="42"/>
      <c r="C417"/>
      <c r="E417" s="26"/>
      <c r="F417" s="24"/>
      <c r="G417" s="24"/>
      <c r="H417" s="24"/>
      <c r="I417" s="24"/>
      <c r="J417" s="29"/>
    </row>
    <row r="418" spans="1:10" ht="12.75" x14ac:dyDescent="0.2">
      <c r="A418"/>
      <c r="B418" s="42"/>
      <c r="C418"/>
      <c r="E418" s="26"/>
      <c r="F418" s="24"/>
      <c r="G418" s="24"/>
      <c r="H418" s="24"/>
      <c r="I418" s="24"/>
      <c r="J418" s="29"/>
    </row>
    <row r="419" spans="1:10" ht="12.75" x14ac:dyDescent="0.2">
      <c r="A419"/>
      <c r="B419" s="42"/>
      <c r="C419"/>
      <c r="E419" s="26"/>
      <c r="F419" s="24"/>
      <c r="G419" s="24"/>
      <c r="H419" s="24"/>
      <c r="I419" s="24"/>
      <c r="J419" s="29"/>
    </row>
    <row r="420" spans="1:10" ht="12.75" x14ac:dyDescent="0.2">
      <c r="A420"/>
      <c r="B420" s="42"/>
      <c r="C420"/>
      <c r="E420" s="26"/>
      <c r="F420" s="24"/>
      <c r="G420" s="24"/>
      <c r="H420" s="24"/>
      <c r="I420" s="24"/>
      <c r="J420" s="29"/>
    </row>
    <row r="421" spans="1:10" ht="12.75" x14ac:dyDescent="0.2">
      <c r="A421"/>
      <c r="B421" s="42"/>
      <c r="C421"/>
      <c r="E421" s="26"/>
      <c r="F421" s="24"/>
      <c r="G421" s="24"/>
      <c r="H421" s="24"/>
      <c r="I421" s="24"/>
      <c r="J421" s="29"/>
    </row>
    <row r="422" spans="1:10" ht="12.75" x14ac:dyDescent="0.2">
      <c r="A422"/>
      <c r="B422" s="42"/>
      <c r="C422"/>
      <c r="E422" s="26"/>
      <c r="F422" s="24"/>
      <c r="G422" s="24"/>
      <c r="H422" s="24"/>
      <c r="I422" s="24"/>
      <c r="J422" s="29"/>
    </row>
    <row r="423" spans="1:10" ht="12.75" x14ac:dyDescent="0.2">
      <c r="A423"/>
      <c r="B423" s="42"/>
      <c r="C423"/>
      <c r="E423" s="26"/>
      <c r="F423" s="24"/>
      <c r="G423" s="24"/>
      <c r="H423" s="24"/>
      <c r="I423" s="24"/>
      <c r="J423" s="29"/>
    </row>
    <row r="424" spans="1:10" ht="12.75" x14ac:dyDescent="0.2">
      <c r="A424"/>
      <c r="B424" s="42"/>
      <c r="C424"/>
      <c r="E424" s="26"/>
      <c r="F424" s="24"/>
      <c r="G424" s="24"/>
      <c r="H424" s="24"/>
      <c r="I424" s="24"/>
      <c r="J424" s="29"/>
    </row>
    <row r="425" spans="1:10" ht="12.75" x14ac:dyDescent="0.2">
      <c r="A425"/>
      <c r="B425" s="42"/>
      <c r="C425"/>
      <c r="E425" s="26"/>
      <c r="F425" s="24"/>
      <c r="G425" s="24"/>
      <c r="H425" s="24"/>
      <c r="I425" s="24"/>
      <c r="J425" s="29"/>
    </row>
    <row r="426" spans="1:10" ht="12.75" x14ac:dyDescent="0.2">
      <c r="A426"/>
      <c r="B426" s="42"/>
      <c r="C426"/>
      <c r="E426" s="26"/>
      <c r="F426" s="24"/>
      <c r="G426" s="24"/>
      <c r="H426" s="24"/>
      <c r="I426" s="24"/>
      <c r="J426" s="29"/>
    </row>
    <row r="427" spans="1:10" ht="12.75" x14ac:dyDescent="0.2">
      <c r="A427"/>
      <c r="B427" s="42"/>
      <c r="C427"/>
      <c r="E427" s="26"/>
      <c r="F427" s="24"/>
      <c r="G427" s="24"/>
      <c r="H427" s="24"/>
      <c r="I427" s="24"/>
      <c r="J427" s="29"/>
    </row>
    <row r="428" spans="1:10" ht="12.75" x14ac:dyDescent="0.2">
      <c r="A428"/>
      <c r="B428" s="42"/>
      <c r="C428"/>
      <c r="E428" s="26"/>
      <c r="F428" s="24"/>
      <c r="G428" s="24"/>
      <c r="H428" s="24"/>
      <c r="I428" s="24"/>
      <c r="J428" s="29"/>
    </row>
    <row r="429" spans="1:10" ht="12.75" x14ac:dyDescent="0.2">
      <c r="A429"/>
      <c r="B429" s="42"/>
      <c r="C429"/>
      <c r="E429" s="26"/>
      <c r="F429" s="24"/>
      <c r="G429" s="24"/>
      <c r="H429" s="24"/>
      <c r="I429" s="24"/>
      <c r="J429" s="29"/>
    </row>
    <row r="430" spans="1:10" ht="12.75" x14ac:dyDescent="0.2">
      <c r="A430"/>
      <c r="B430" s="42"/>
      <c r="C430"/>
      <c r="E430" s="26"/>
      <c r="F430" s="24"/>
      <c r="G430" s="24"/>
      <c r="H430" s="24"/>
      <c r="I430" s="24"/>
      <c r="J430" s="29"/>
    </row>
    <row r="431" spans="1:10" ht="12.75" x14ac:dyDescent="0.2">
      <c r="A431"/>
      <c r="B431" s="42"/>
      <c r="C431"/>
      <c r="E431" s="26"/>
      <c r="F431" s="24"/>
      <c r="G431" s="24"/>
      <c r="H431" s="24"/>
      <c r="I431" s="24"/>
      <c r="J431" s="29"/>
    </row>
    <row r="432" spans="1:10" ht="12.75" x14ac:dyDescent="0.2">
      <c r="A432"/>
      <c r="B432" s="42"/>
      <c r="C432"/>
      <c r="E432" s="26"/>
      <c r="F432" s="24"/>
      <c r="G432" s="24"/>
      <c r="H432" s="24"/>
      <c r="I432" s="24"/>
      <c r="J432" s="29"/>
    </row>
    <row r="433" spans="1:10" ht="12.75" x14ac:dyDescent="0.2">
      <c r="A433"/>
      <c r="B433" s="42"/>
      <c r="C433"/>
      <c r="E433" s="26"/>
      <c r="F433" s="24"/>
      <c r="G433" s="24"/>
      <c r="H433" s="24"/>
      <c r="I433" s="24"/>
      <c r="J433" s="29"/>
    </row>
    <row r="434" spans="1:10" ht="12.75" x14ac:dyDescent="0.2">
      <c r="A434"/>
      <c r="B434" s="42"/>
      <c r="C434"/>
      <c r="E434" s="26"/>
      <c r="F434" s="24"/>
      <c r="G434" s="24"/>
      <c r="H434" s="24"/>
      <c r="I434" s="24"/>
      <c r="J434" s="29"/>
    </row>
    <row r="435" spans="1:10" ht="12.75" x14ac:dyDescent="0.2">
      <c r="A435"/>
      <c r="B435" s="42"/>
      <c r="C435"/>
      <c r="E435" s="26"/>
      <c r="F435" s="24"/>
      <c r="G435" s="24"/>
      <c r="H435" s="24"/>
      <c r="I435" s="24"/>
      <c r="J435" s="29"/>
    </row>
    <row r="436" spans="1:10" ht="12.75" x14ac:dyDescent="0.2">
      <c r="A436"/>
      <c r="B436" s="42"/>
      <c r="C436"/>
      <c r="E436" s="26"/>
      <c r="F436" s="24"/>
      <c r="G436" s="24"/>
      <c r="H436" s="24"/>
      <c r="I436" s="24"/>
      <c r="J436" s="29"/>
    </row>
    <row r="437" spans="1:10" ht="12.75" x14ac:dyDescent="0.2">
      <c r="A437"/>
      <c r="B437" s="42"/>
      <c r="C437"/>
      <c r="E437" s="26"/>
      <c r="F437" s="24"/>
      <c r="G437" s="24"/>
      <c r="H437" s="24"/>
      <c r="I437" s="24"/>
      <c r="J437" s="29"/>
    </row>
    <row r="438" spans="1:10" ht="12.75" x14ac:dyDescent="0.2">
      <c r="A438"/>
      <c r="B438" s="42"/>
      <c r="C438"/>
      <c r="E438" s="26"/>
      <c r="F438" s="24"/>
      <c r="G438" s="24"/>
      <c r="H438" s="24"/>
      <c r="I438" s="24"/>
      <c r="J438" s="29"/>
    </row>
    <row r="439" spans="1:10" ht="12.75" x14ac:dyDescent="0.2">
      <c r="A439"/>
      <c r="B439" s="42"/>
      <c r="C439"/>
      <c r="E439" s="26"/>
      <c r="F439" s="24"/>
      <c r="G439" s="24"/>
      <c r="H439" s="24"/>
      <c r="I439" s="24"/>
      <c r="J439" s="29"/>
    </row>
    <row r="440" spans="1:10" ht="12.75" x14ac:dyDescent="0.2">
      <c r="A440"/>
      <c r="B440" s="42"/>
      <c r="C440"/>
      <c r="E440" s="26"/>
      <c r="F440" s="24"/>
      <c r="G440" s="24"/>
      <c r="H440" s="24"/>
      <c r="I440" s="24"/>
      <c r="J440" s="29"/>
    </row>
    <row r="441" spans="1:10" ht="12.75" x14ac:dyDescent="0.2">
      <c r="A441"/>
      <c r="B441" s="42"/>
      <c r="C441"/>
      <c r="E441" s="26"/>
      <c r="F441" s="24"/>
      <c r="G441" s="24"/>
      <c r="H441" s="24"/>
      <c r="I441" s="24"/>
      <c r="J441" s="29"/>
    </row>
    <row r="442" spans="1:10" ht="12.75" x14ac:dyDescent="0.2">
      <c r="A442"/>
      <c r="B442" s="42"/>
      <c r="C442"/>
      <c r="E442" s="26"/>
      <c r="F442" s="24"/>
      <c r="G442" s="24"/>
      <c r="H442" s="24"/>
      <c r="I442" s="24"/>
      <c r="J442" s="29"/>
    </row>
    <row r="443" spans="1:10" ht="12.75" x14ac:dyDescent="0.2">
      <c r="A443"/>
      <c r="B443" s="42"/>
      <c r="C443"/>
      <c r="E443" s="26"/>
      <c r="F443" s="24"/>
      <c r="G443" s="24"/>
      <c r="H443" s="24"/>
      <c r="I443" s="24"/>
      <c r="J443" s="29"/>
    </row>
    <row r="444" spans="1:10" ht="12.75" x14ac:dyDescent="0.2">
      <c r="A444"/>
      <c r="B444" s="42"/>
      <c r="C444"/>
      <c r="E444" s="26"/>
      <c r="F444" s="24"/>
      <c r="G444" s="24"/>
      <c r="H444" s="24"/>
      <c r="I444" s="24"/>
      <c r="J444" s="29"/>
    </row>
    <row r="445" spans="1:10" ht="12.75" x14ac:dyDescent="0.2">
      <c r="A445"/>
      <c r="B445" s="42"/>
      <c r="C445"/>
      <c r="E445" s="26"/>
      <c r="F445" s="24"/>
      <c r="G445" s="24"/>
      <c r="H445" s="24"/>
      <c r="I445" s="24"/>
      <c r="J445" s="29"/>
    </row>
    <row r="446" spans="1:10" ht="12.75" x14ac:dyDescent="0.2">
      <c r="A446"/>
      <c r="B446" s="42"/>
      <c r="C446"/>
      <c r="E446" s="26"/>
      <c r="F446" s="24"/>
      <c r="G446" s="24"/>
      <c r="H446" s="24"/>
      <c r="I446" s="24"/>
      <c r="J446" s="29"/>
    </row>
    <row r="447" spans="1:10" ht="12.75" x14ac:dyDescent="0.2">
      <c r="A447"/>
      <c r="B447" s="42"/>
      <c r="C447"/>
      <c r="E447" s="26"/>
      <c r="F447" s="24"/>
      <c r="G447" s="24"/>
      <c r="H447" s="24"/>
      <c r="I447" s="24"/>
      <c r="J447" s="29"/>
    </row>
    <row r="448" spans="1:10" ht="12.75" x14ac:dyDescent="0.2">
      <c r="A448"/>
      <c r="B448" s="42"/>
      <c r="C448"/>
      <c r="E448" s="26"/>
      <c r="F448" s="24"/>
      <c r="G448" s="24"/>
      <c r="H448" s="24"/>
      <c r="I448" s="24"/>
      <c r="J448" s="29"/>
    </row>
    <row r="449" spans="1:10" ht="12.75" x14ac:dyDescent="0.2">
      <c r="A449"/>
      <c r="B449" s="42"/>
      <c r="C449"/>
      <c r="E449" s="26"/>
      <c r="F449" s="24"/>
      <c r="G449" s="24"/>
      <c r="H449" s="24"/>
      <c r="I449" s="24"/>
      <c r="J449" s="29"/>
    </row>
    <row r="450" spans="1:10" ht="12.75" x14ac:dyDescent="0.2">
      <c r="A450"/>
      <c r="B450" s="42"/>
      <c r="C450"/>
      <c r="E450" s="26"/>
      <c r="F450" s="24"/>
      <c r="G450" s="24"/>
      <c r="H450" s="24"/>
      <c r="I450" s="24"/>
      <c r="J450" s="29"/>
    </row>
    <row r="451" spans="1:10" ht="12.75" x14ac:dyDescent="0.2">
      <c r="A451"/>
      <c r="B451" s="42"/>
      <c r="C451"/>
      <c r="E451" s="26"/>
      <c r="F451" s="24"/>
      <c r="G451" s="24"/>
      <c r="H451" s="24"/>
      <c r="I451" s="24"/>
      <c r="J451" s="29"/>
    </row>
    <row r="452" spans="1:10" ht="12.75" x14ac:dyDescent="0.2">
      <c r="A452"/>
      <c r="B452" s="42"/>
      <c r="C452"/>
      <c r="E452" s="26"/>
      <c r="F452" s="24"/>
      <c r="G452" s="24"/>
      <c r="H452" s="24"/>
      <c r="I452" s="24"/>
      <c r="J452" s="29"/>
    </row>
    <row r="453" spans="1:10" ht="12.75" x14ac:dyDescent="0.2">
      <c r="A453"/>
      <c r="B453" s="42"/>
      <c r="C453"/>
      <c r="E453" s="26"/>
      <c r="F453" s="24"/>
      <c r="G453" s="24"/>
      <c r="H453" s="24"/>
      <c r="I453" s="24"/>
      <c r="J453" s="29"/>
    </row>
    <row r="454" spans="1:10" ht="12.75" x14ac:dyDescent="0.2">
      <c r="A454"/>
      <c r="B454" s="42"/>
      <c r="C454"/>
      <c r="E454" s="26"/>
      <c r="F454" s="24"/>
      <c r="G454" s="24"/>
      <c r="H454" s="24"/>
      <c r="I454" s="24"/>
      <c r="J454" s="29"/>
    </row>
    <row r="455" spans="1:10" ht="12.75" x14ac:dyDescent="0.2">
      <c r="A455"/>
      <c r="B455" s="42"/>
      <c r="C455"/>
      <c r="E455" s="26"/>
      <c r="F455" s="24"/>
      <c r="G455" s="24"/>
      <c r="H455" s="24"/>
      <c r="I455" s="24"/>
      <c r="J455" s="29"/>
    </row>
    <row r="456" spans="1:10" ht="12.75" x14ac:dyDescent="0.2">
      <c r="A456"/>
      <c r="B456" s="42"/>
      <c r="C456"/>
      <c r="E456" s="26"/>
      <c r="F456" s="24"/>
      <c r="G456" s="24"/>
      <c r="H456" s="24"/>
      <c r="I456" s="24"/>
      <c r="J456" s="29"/>
    </row>
    <row r="457" spans="1:10" ht="12.75" x14ac:dyDescent="0.2">
      <c r="A457"/>
      <c r="B457" s="42"/>
      <c r="C457"/>
      <c r="E457" s="26"/>
      <c r="F457" s="24"/>
      <c r="G457" s="24"/>
      <c r="H457" s="24"/>
      <c r="I457" s="24"/>
      <c r="J457" s="29"/>
    </row>
    <row r="458" spans="1:10" ht="12.75" x14ac:dyDescent="0.2">
      <c r="A458"/>
      <c r="B458" s="42"/>
      <c r="C458"/>
      <c r="E458" s="26"/>
      <c r="F458" s="24"/>
      <c r="G458" s="24"/>
      <c r="H458" s="24"/>
      <c r="I458" s="24"/>
      <c r="J458" s="29"/>
    </row>
    <row r="459" spans="1:10" ht="12.75" x14ac:dyDescent="0.2">
      <c r="A459"/>
      <c r="B459" s="42"/>
      <c r="C459"/>
      <c r="E459" s="26"/>
      <c r="F459" s="24"/>
      <c r="G459" s="24"/>
      <c r="H459" s="24"/>
      <c r="I459" s="24"/>
      <c r="J459" s="29"/>
    </row>
    <row r="460" spans="1:10" ht="12.75" x14ac:dyDescent="0.2">
      <c r="A460"/>
      <c r="B460" s="42"/>
      <c r="C460"/>
      <c r="E460" s="26"/>
      <c r="F460" s="24"/>
      <c r="G460" s="24"/>
      <c r="H460" s="24"/>
      <c r="I460" s="24"/>
      <c r="J460" s="29"/>
    </row>
    <row r="461" spans="1:10" ht="12.75" x14ac:dyDescent="0.2">
      <c r="A461"/>
      <c r="B461" s="42"/>
      <c r="C461"/>
      <c r="E461" s="26"/>
      <c r="F461" s="24"/>
      <c r="G461" s="24"/>
      <c r="H461" s="24"/>
      <c r="I461" s="24"/>
      <c r="J461" s="29"/>
    </row>
    <row r="462" spans="1:10" ht="12.75" x14ac:dyDescent="0.2">
      <c r="A462"/>
      <c r="B462" s="42"/>
      <c r="C462"/>
      <c r="E462" s="26"/>
      <c r="F462" s="24"/>
      <c r="G462" s="24"/>
      <c r="H462" s="24"/>
      <c r="I462" s="24"/>
      <c r="J462" s="29"/>
    </row>
    <row r="463" spans="1:10" ht="12.75" x14ac:dyDescent="0.2">
      <c r="A463"/>
      <c r="B463" s="42"/>
      <c r="C463"/>
      <c r="E463" s="26"/>
      <c r="F463" s="24"/>
      <c r="G463" s="24"/>
      <c r="H463" s="24"/>
      <c r="I463" s="24"/>
      <c r="J463" s="29"/>
    </row>
    <row r="464" spans="1:10" ht="12.75" x14ac:dyDescent="0.2">
      <c r="A464"/>
      <c r="B464" s="42"/>
      <c r="C464"/>
      <c r="E464" s="26"/>
      <c r="F464" s="24"/>
      <c r="G464" s="24"/>
      <c r="H464" s="24"/>
      <c r="I464" s="24"/>
      <c r="J464" s="29"/>
    </row>
    <row r="465" spans="1:10" ht="12.75" x14ac:dyDescent="0.2">
      <c r="A465"/>
      <c r="B465" s="42"/>
      <c r="C465"/>
      <c r="E465" s="26"/>
      <c r="F465" s="24"/>
      <c r="G465" s="24"/>
      <c r="H465" s="24"/>
      <c r="I465" s="24"/>
      <c r="J465" s="29"/>
    </row>
    <row r="466" spans="1:10" ht="12.75" x14ac:dyDescent="0.2">
      <c r="A466"/>
      <c r="B466" s="42"/>
      <c r="C466"/>
      <c r="E466" s="26"/>
      <c r="F466" s="24"/>
      <c r="G466" s="24"/>
      <c r="H466" s="24"/>
      <c r="I466" s="24"/>
      <c r="J466" s="29"/>
    </row>
    <row r="467" spans="1:10" ht="12.75" x14ac:dyDescent="0.2">
      <c r="A467"/>
      <c r="B467" s="42"/>
      <c r="C467"/>
      <c r="E467" s="26"/>
      <c r="F467" s="24"/>
      <c r="G467" s="24"/>
      <c r="H467" s="24"/>
      <c r="I467" s="24"/>
      <c r="J467" s="29"/>
    </row>
    <row r="468" spans="1:10" ht="12.75" x14ac:dyDescent="0.2">
      <c r="A468"/>
      <c r="B468" s="42"/>
      <c r="C468"/>
      <c r="E468" s="26"/>
      <c r="F468" s="24"/>
      <c r="G468" s="24"/>
      <c r="H468" s="24"/>
      <c r="I468" s="24"/>
      <c r="J468" s="29"/>
    </row>
    <row r="469" spans="1:10" ht="12.75" x14ac:dyDescent="0.2">
      <c r="A469"/>
      <c r="B469" s="42"/>
      <c r="C469"/>
      <c r="E469" s="26"/>
      <c r="F469" s="24"/>
      <c r="G469" s="24"/>
      <c r="H469" s="24"/>
      <c r="I469" s="24"/>
      <c r="J469" s="29"/>
    </row>
    <row r="470" spans="1:10" ht="12.75" x14ac:dyDescent="0.2">
      <c r="A470"/>
      <c r="B470" s="42"/>
      <c r="C470"/>
      <c r="E470" s="26"/>
      <c r="F470" s="24"/>
      <c r="G470" s="24"/>
      <c r="H470" s="24"/>
      <c r="I470" s="24"/>
      <c r="J470" s="29"/>
    </row>
    <row r="471" spans="1:10" ht="12.75" x14ac:dyDescent="0.2">
      <c r="A471"/>
      <c r="B471" s="42"/>
      <c r="C471"/>
      <c r="E471" s="26"/>
      <c r="F471" s="24"/>
      <c r="G471" s="24"/>
      <c r="H471" s="24"/>
      <c r="I471" s="24"/>
      <c r="J471" s="29"/>
    </row>
    <row r="472" spans="1:10" ht="12.75" x14ac:dyDescent="0.2">
      <c r="A472"/>
      <c r="B472" s="42"/>
      <c r="C472"/>
      <c r="E472" s="26"/>
      <c r="F472" s="24"/>
      <c r="G472" s="24"/>
      <c r="H472" s="24"/>
      <c r="I472" s="24"/>
      <c r="J472" s="29"/>
    </row>
    <row r="473" spans="1:10" ht="12.75" x14ac:dyDescent="0.2">
      <c r="A473"/>
      <c r="B473" s="42"/>
      <c r="C473"/>
      <c r="E473" s="26"/>
      <c r="F473" s="24"/>
      <c r="G473" s="24"/>
      <c r="H473" s="24"/>
      <c r="I473" s="24"/>
      <c r="J473" s="29"/>
    </row>
    <row r="474" spans="1:10" ht="12.75" x14ac:dyDescent="0.2">
      <c r="A474"/>
      <c r="B474" s="42"/>
      <c r="C474"/>
      <c r="E474" s="26"/>
      <c r="F474" s="24"/>
      <c r="G474" s="24"/>
      <c r="H474" s="24"/>
      <c r="I474" s="24"/>
      <c r="J474" s="29"/>
    </row>
    <row r="475" spans="1:10" ht="12.75" x14ac:dyDescent="0.2">
      <c r="A475"/>
      <c r="B475" s="42"/>
      <c r="C475"/>
      <c r="E475" s="26"/>
      <c r="F475" s="24"/>
      <c r="G475" s="24"/>
      <c r="H475" s="24"/>
      <c r="I475" s="24"/>
      <c r="J475" s="29"/>
    </row>
    <row r="476" spans="1:10" ht="12.75" x14ac:dyDescent="0.2">
      <c r="A476"/>
      <c r="B476" s="42"/>
      <c r="C476"/>
      <c r="E476" s="26"/>
      <c r="F476" s="24"/>
      <c r="G476" s="24"/>
      <c r="H476" s="24"/>
      <c r="I476" s="24"/>
      <c r="J476" s="29"/>
    </row>
    <row r="477" spans="1:10" ht="12.75" x14ac:dyDescent="0.2">
      <c r="A477"/>
      <c r="B477" s="42"/>
      <c r="C477"/>
      <c r="E477" s="26"/>
      <c r="F477" s="24"/>
      <c r="G477" s="24"/>
      <c r="H477" s="24"/>
      <c r="I477" s="24"/>
      <c r="J477" s="29"/>
    </row>
    <row r="478" spans="1:10" ht="12.75" x14ac:dyDescent="0.2">
      <c r="A478"/>
      <c r="B478" s="42"/>
      <c r="C478"/>
      <c r="E478" s="26"/>
      <c r="F478" s="24"/>
      <c r="G478" s="24"/>
      <c r="H478" s="24"/>
      <c r="I478" s="24"/>
      <c r="J478" s="29"/>
    </row>
    <row r="479" spans="1:10" ht="12.75" x14ac:dyDescent="0.2">
      <c r="A479"/>
      <c r="B479" s="42"/>
      <c r="C479"/>
      <c r="E479" s="26"/>
      <c r="F479" s="24"/>
      <c r="G479" s="24"/>
      <c r="H479" s="24"/>
      <c r="I479" s="24"/>
      <c r="J479" s="29"/>
    </row>
    <row r="480" spans="1:10" ht="12.75" x14ac:dyDescent="0.2">
      <c r="A480"/>
      <c r="B480" s="42"/>
      <c r="C480"/>
      <c r="E480" s="26"/>
      <c r="F480" s="24"/>
      <c r="G480" s="24"/>
      <c r="H480" s="24"/>
      <c r="I480" s="24"/>
      <c r="J480" s="29"/>
    </row>
    <row r="481" spans="1:10" ht="12.75" x14ac:dyDescent="0.2">
      <c r="A481"/>
      <c r="B481" s="42"/>
      <c r="C481"/>
      <c r="E481" s="26"/>
      <c r="F481" s="24"/>
      <c r="G481" s="24"/>
      <c r="H481" s="24"/>
      <c r="I481" s="24"/>
      <c r="J481" s="29"/>
    </row>
    <row r="482" spans="1:10" ht="12.75" x14ac:dyDescent="0.2">
      <c r="A482"/>
      <c r="B482" s="42"/>
      <c r="C482"/>
      <c r="E482" s="26"/>
      <c r="F482" s="24"/>
      <c r="G482" s="24"/>
      <c r="H482" s="24"/>
      <c r="I482" s="24"/>
      <c r="J482" s="29"/>
    </row>
    <row r="483" spans="1:10" ht="12.75" x14ac:dyDescent="0.2">
      <c r="A483"/>
      <c r="B483" s="42"/>
      <c r="C483"/>
      <c r="E483" s="26"/>
      <c r="F483" s="24"/>
      <c r="G483" s="24"/>
      <c r="H483" s="24"/>
      <c r="I483" s="24"/>
      <c r="J483" s="29"/>
    </row>
    <row r="484" spans="1:10" ht="12.75" x14ac:dyDescent="0.2">
      <c r="A484"/>
      <c r="B484" s="42"/>
      <c r="C484"/>
      <c r="E484" s="26"/>
      <c r="F484" s="24"/>
      <c r="G484" s="24"/>
      <c r="H484" s="24"/>
      <c r="I484" s="24"/>
      <c r="J484" s="29"/>
    </row>
    <row r="485" spans="1:10" ht="12.75" x14ac:dyDescent="0.2">
      <c r="A485"/>
      <c r="B485" s="42"/>
      <c r="C485"/>
      <c r="E485" s="26"/>
      <c r="F485" s="24"/>
      <c r="G485" s="24"/>
      <c r="H485" s="24"/>
      <c r="I485" s="24"/>
      <c r="J485" s="29"/>
    </row>
    <row r="486" spans="1:10" ht="12.75" x14ac:dyDescent="0.2">
      <c r="A486"/>
      <c r="B486" s="42"/>
      <c r="C486"/>
      <c r="E486" s="26"/>
      <c r="F486" s="24"/>
      <c r="G486" s="24"/>
      <c r="H486" s="24"/>
      <c r="I486" s="24"/>
      <c r="J486" s="29"/>
    </row>
    <row r="487" spans="1:10" ht="12.75" x14ac:dyDescent="0.2">
      <c r="A487"/>
      <c r="B487" s="42"/>
      <c r="C487"/>
      <c r="E487" s="26"/>
      <c r="F487" s="24"/>
      <c r="G487" s="24"/>
      <c r="H487" s="24"/>
      <c r="I487" s="24"/>
      <c r="J487" s="29"/>
    </row>
    <row r="488" spans="1:10" ht="12.75" x14ac:dyDescent="0.2">
      <c r="A488"/>
      <c r="B488" s="42"/>
      <c r="C488"/>
      <c r="E488" s="26"/>
      <c r="F488" s="24"/>
      <c r="G488" s="24"/>
      <c r="H488" s="24"/>
      <c r="I488" s="24"/>
      <c r="J488" s="29"/>
    </row>
    <row r="489" spans="1:10" ht="12.75" x14ac:dyDescent="0.2">
      <c r="A489"/>
      <c r="B489" s="42"/>
      <c r="C489"/>
      <c r="E489" s="26"/>
      <c r="F489" s="24"/>
      <c r="G489" s="24"/>
      <c r="H489" s="24"/>
      <c r="I489" s="24"/>
      <c r="J489" s="29"/>
    </row>
    <row r="490" spans="1:10" ht="12.75" x14ac:dyDescent="0.2">
      <c r="A490"/>
      <c r="B490" s="42"/>
      <c r="C490"/>
      <c r="E490" s="26"/>
      <c r="F490" s="24"/>
      <c r="G490" s="24"/>
      <c r="H490" s="24"/>
      <c r="I490" s="24"/>
      <c r="J490" s="29"/>
    </row>
    <row r="491" spans="1:10" ht="12.75" x14ac:dyDescent="0.2">
      <c r="A491"/>
      <c r="B491" s="42"/>
      <c r="C491"/>
      <c r="E491" s="26"/>
      <c r="F491" s="24"/>
      <c r="G491" s="24"/>
      <c r="H491" s="24"/>
      <c r="I491" s="24"/>
      <c r="J491" s="29"/>
    </row>
    <row r="492" spans="1:10" ht="12.75" x14ac:dyDescent="0.2">
      <c r="A492"/>
      <c r="B492" s="42"/>
      <c r="C492"/>
      <c r="E492" s="26"/>
      <c r="F492" s="24"/>
      <c r="G492" s="24"/>
      <c r="H492" s="24"/>
      <c r="I492" s="24"/>
      <c r="J492" s="29"/>
    </row>
    <row r="493" spans="1:10" ht="12.75" x14ac:dyDescent="0.2">
      <c r="A493"/>
      <c r="B493" s="42"/>
      <c r="C493"/>
      <c r="E493" s="26"/>
      <c r="F493" s="24"/>
      <c r="G493" s="24"/>
      <c r="H493" s="24"/>
      <c r="I493" s="24"/>
      <c r="J493" s="29"/>
    </row>
    <row r="494" spans="1:10" ht="12.75" x14ac:dyDescent="0.2">
      <c r="A494"/>
      <c r="B494" s="42"/>
      <c r="C494"/>
      <c r="E494" s="26"/>
      <c r="F494" s="24"/>
      <c r="G494" s="24"/>
      <c r="H494" s="24"/>
      <c r="I494" s="24"/>
      <c r="J494" s="29"/>
    </row>
    <row r="495" spans="1:10" ht="12.75" x14ac:dyDescent="0.2">
      <c r="A495"/>
      <c r="B495" s="42"/>
      <c r="C495"/>
      <c r="E495" s="26"/>
      <c r="F495" s="24"/>
      <c r="G495" s="24"/>
      <c r="H495" s="24"/>
      <c r="I495" s="24"/>
      <c r="J495" s="29"/>
    </row>
    <row r="496" spans="1:10" ht="12.75" x14ac:dyDescent="0.2">
      <c r="A496"/>
      <c r="B496" s="42"/>
      <c r="C496"/>
      <c r="E496" s="26"/>
      <c r="F496" s="24"/>
      <c r="G496" s="24"/>
      <c r="H496" s="24"/>
      <c r="I496" s="24"/>
      <c r="J496" s="29"/>
    </row>
    <row r="497" spans="1:10" ht="12.75" x14ac:dyDescent="0.2">
      <c r="A497"/>
      <c r="B497" s="42"/>
      <c r="C497"/>
      <c r="E497" s="26"/>
      <c r="F497" s="24"/>
      <c r="G497" s="24"/>
      <c r="H497" s="24"/>
      <c r="I497" s="24"/>
      <c r="J497" s="29"/>
    </row>
    <row r="498" spans="1:10" ht="12.75" x14ac:dyDescent="0.2">
      <c r="A498"/>
      <c r="B498" s="42"/>
      <c r="C498"/>
      <c r="E498" s="26"/>
      <c r="F498" s="24"/>
      <c r="G498" s="24"/>
      <c r="H498" s="24"/>
      <c r="I498" s="24"/>
      <c r="J498" s="29"/>
    </row>
    <row r="499" spans="1:10" ht="12.75" x14ac:dyDescent="0.2">
      <c r="A499"/>
      <c r="B499" s="42"/>
      <c r="C499"/>
      <c r="E499" s="26"/>
      <c r="F499" s="24"/>
      <c r="G499" s="24"/>
      <c r="H499" s="24"/>
      <c r="I499" s="24"/>
      <c r="J499" s="29"/>
    </row>
    <row r="500" spans="1:10" ht="12.75" x14ac:dyDescent="0.2">
      <c r="A500"/>
      <c r="B500" s="42"/>
      <c r="C500"/>
      <c r="E500" s="26"/>
      <c r="F500" s="24"/>
      <c r="G500" s="24"/>
      <c r="H500" s="24"/>
      <c r="I500" s="24"/>
      <c r="J500" s="29"/>
    </row>
    <row r="501" spans="1:10" ht="12.75" x14ac:dyDescent="0.2">
      <c r="A501"/>
      <c r="B501" s="42"/>
      <c r="C501"/>
      <c r="E501" s="26"/>
      <c r="F501" s="24"/>
      <c r="G501" s="24"/>
      <c r="H501" s="24"/>
      <c r="I501" s="24"/>
      <c r="J501" s="29"/>
    </row>
    <row r="502" spans="1:10" ht="12.75" x14ac:dyDescent="0.2">
      <c r="A502"/>
      <c r="B502" s="42"/>
      <c r="C502"/>
      <c r="E502" s="26"/>
      <c r="F502" s="24"/>
      <c r="G502" s="24"/>
      <c r="H502" s="24"/>
      <c r="I502" s="24"/>
      <c r="J502" s="29"/>
    </row>
    <row r="503" spans="1:10" ht="12.75" x14ac:dyDescent="0.2">
      <c r="A503"/>
      <c r="B503" s="42"/>
      <c r="C503"/>
      <c r="E503" s="26"/>
      <c r="F503" s="24"/>
      <c r="G503" s="24"/>
      <c r="H503" s="24"/>
      <c r="I503" s="24"/>
      <c r="J503" s="29"/>
    </row>
    <row r="504" spans="1:10" ht="12.75" x14ac:dyDescent="0.2">
      <c r="A504"/>
      <c r="B504" s="42"/>
      <c r="C504"/>
      <c r="E504" s="26"/>
      <c r="F504" s="24"/>
      <c r="G504" s="24"/>
      <c r="H504" s="24"/>
      <c r="I504" s="24"/>
      <c r="J504" s="29"/>
    </row>
    <row r="505" spans="1:10" ht="12.75" x14ac:dyDescent="0.2">
      <c r="A505"/>
      <c r="B505" s="42"/>
      <c r="C505"/>
      <c r="E505" s="26"/>
      <c r="F505" s="24"/>
      <c r="G505" s="24"/>
      <c r="H505" s="24"/>
      <c r="I505" s="24"/>
      <c r="J505" s="29"/>
    </row>
    <row r="506" spans="1:10" ht="12.75" x14ac:dyDescent="0.2">
      <c r="A506"/>
      <c r="B506" s="42"/>
      <c r="C506"/>
      <c r="E506" s="26"/>
      <c r="F506" s="24"/>
      <c r="G506" s="24"/>
      <c r="H506" s="24"/>
      <c r="I506" s="24"/>
      <c r="J506" s="29"/>
    </row>
    <row r="507" spans="1:10" ht="12.75" x14ac:dyDescent="0.2">
      <c r="A507"/>
      <c r="B507" s="42"/>
      <c r="C507"/>
      <c r="E507" s="26"/>
      <c r="F507" s="24"/>
      <c r="G507" s="24"/>
      <c r="H507" s="24"/>
      <c r="I507" s="24"/>
      <c r="J507" s="29"/>
    </row>
    <row r="508" spans="1:10" ht="12.75" x14ac:dyDescent="0.2">
      <c r="A508"/>
      <c r="B508" s="42"/>
      <c r="C508"/>
      <c r="E508" s="26"/>
      <c r="F508" s="24"/>
      <c r="G508" s="24"/>
      <c r="H508" s="24"/>
      <c r="I508" s="24"/>
      <c r="J508" s="29"/>
    </row>
    <row r="509" spans="1:10" ht="12.75" x14ac:dyDescent="0.2">
      <c r="A509"/>
      <c r="B509" s="42"/>
      <c r="C509"/>
      <c r="E509" s="26"/>
      <c r="F509" s="24"/>
      <c r="G509" s="24"/>
      <c r="H509" s="24"/>
      <c r="I509" s="24"/>
      <c r="J509" s="29"/>
    </row>
    <row r="510" spans="1:10" ht="12.75" x14ac:dyDescent="0.2">
      <c r="A510"/>
      <c r="B510" s="42"/>
      <c r="C510"/>
      <c r="E510" s="26"/>
      <c r="F510" s="24"/>
      <c r="G510" s="24"/>
      <c r="H510" s="24"/>
      <c r="I510" s="24"/>
      <c r="J510" s="29"/>
    </row>
    <row r="511" spans="1:10" ht="12.75" x14ac:dyDescent="0.2">
      <c r="A511"/>
      <c r="B511" s="42"/>
      <c r="C511"/>
      <c r="E511" s="26"/>
      <c r="F511" s="24"/>
      <c r="G511" s="24"/>
      <c r="H511" s="24"/>
      <c r="I511" s="24"/>
      <c r="J511" s="29"/>
    </row>
    <row r="512" spans="1:10" ht="12.75" x14ac:dyDescent="0.2">
      <c r="A512"/>
      <c r="B512" s="42"/>
      <c r="C512"/>
      <c r="E512" s="26"/>
      <c r="F512" s="24"/>
      <c r="G512" s="24"/>
      <c r="H512" s="24"/>
      <c r="I512" s="24"/>
      <c r="J512" s="29"/>
    </row>
    <row r="513" spans="1:10" ht="12.75" x14ac:dyDescent="0.2">
      <c r="A513"/>
      <c r="B513" s="42"/>
      <c r="C513"/>
      <c r="E513" s="26"/>
      <c r="F513" s="24"/>
      <c r="G513" s="24"/>
      <c r="H513" s="24"/>
      <c r="I513" s="24"/>
      <c r="J513" s="29"/>
    </row>
    <row r="514" spans="1:10" ht="12.75" x14ac:dyDescent="0.2">
      <c r="A514"/>
      <c r="B514" s="42"/>
      <c r="C514"/>
      <c r="E514" s="26"/>
      <c r="F514" s="24"/>
      <c r="G514" s="24"/>
      <c r="H514" s="24"/>
      <c r="I514" s="24"/>
      <c r="J514" s="29"/>
    </row>
    <row r="515" spans="1:10" ht="12.75" x14ac:dyDescent="0.2">
      <c r="A515"/>
      <c r="B515" s="42"/>
      <c r="C515"/>
      <c r="E515" s="26"/>
      <c r="F515" s="24"/>
      <c r="G515" s="24"/>
      <c r="H515" s="24"/>
      <c r="I515" s="24"/>
      <c r="J515" s="29"/>
    </row>
    <row r="516" spans="1:10" ht="12.75" x14ac:dyDescent="0.2">
      <c r="A516"/>
      <c r="B516" s="42"/>
      <c r="C516"/>
      <c r="E516" s="26"/>
      <c r="F516" s="24"/>
      <c r="G516" s="24"/>
      <c r="H516" s="24"/>
      <c r="I516" s="24"/>
      <c r="J516" s="29"/>
    </row>
    <row r="517" spans="1:10" ht="12.75" x14ac:dyDescent="0.2">
      <c r="A517"/>
      <c r="B517" s="42"/>
      <c r="C517"/>
      <c r="E517" s="26"/>
      <c r="F517" s="24"/>
      <c r="G517" s="24"/>
      <c r="H517" s="24"/>
      <c r="I517" s="24"/>
      <c r="J517" s="29"/>
    </row>
    <row r="518" spans="1:10" ht="12.75" x14ac:dyDescent="0.2">
      <c r="A518"/>
      <c r="B518" s="42"/>
      <c r="C518"/>
      <c r="E518" s="26"/>
      <c r="F518" s="24"/>
      <c r="G518" s="24"/>
      <c r="H518" s="24"/>
      <c r="I518" s="24"/>
      <c r="J518" s="29"/>
    </row>
    <row r="519" spans="1:10" ht="12.75" x14ac:dyDescent="0.2">
      <c r="A519"/>
      <c r="B519" s="42"/>
      <c r="C519"/>
      <c r="E519" s="26"/>
      <c r="F519" s="24"/>
      <c r="G519" s="24"/>
      <c r="H519" s="24"/>
      <c r="I519" s="24"/>
      <c r="J519" s="29"/>
    </row>
    <row r="520" spans="1:10" ht="12.75" x14ac:dyDescent="0.2">
      <c r="A520"/>
      <c r="B520" s="42"/>
      <c r="C520"/>
      <c r="E520" s="26"/>
      <c r="F520" s="24"/>
      <c r="G520" s="24"/>
      <c r="H520" s="24"/>
      <c r="I520" s="24"/>
      <c r="J520" s="29"/>
    </row>
    <row r="521" spans="1:10" ht="12.75" x14ac:dyDescent="0.2">
      <c r="A521"/>
      <c r="B521" s="42"/>
      <c r="C521"/>
      <c r="E521" s="26"/>
      <c r="F521" s="24"/>
      <c r="G521" s="24"/>
      <c r="H521" s="24"/>
      <c r="I521" s="24"/>
      <c r="J521" s="29"/>
    </row>
    <row r="522" spans="1:10" ht="12.75" x14ac:dyDescent="0.2">
      <c r="A522"/>
      <c r="B522" s="42"/>
      <c r="C522"/>
      <c r="E522" s="26"/>
      <c r="F522" s="24"/>
      <c r="G522" s="24"/>
      <c r="H522" s="24"/>
      <c r="I522" s="24"/>
      <c r="J522" s="29"/>
    </row>
    <row r="523" spans="1:10" ht="12.75" x14ac:dyDescent="0.2">
      <c r="A523"/>
      <c r="B523" s="42"/>
      <c r="C523"/>
      <c r="E523" s="26"/>
      <c r="F523" s="24"/>
      <c r="G523" s="24"/>
      <c r="H523" s="24"/>
      <c r="I523" s="24"/>
      <c r="J523" s="29"/>
    </row>
    <row r="524" spans="1:10" ht="12.75" x14ac:dyDescent="0.2">
      <c r="A524"/>
      <c r="B524" s="42"/>
      <c r="C524"/>
      <c r="E524" s="26"/>
      <c r="F524" s="24"/>
      <c r="G524" s="24"/>
      <c r="H524" s="24"/>
      <c r="I524" s="24"/>
      <c r="J524" s="29"/>
    </row>
    <row r="525" spans="1:10" ht="12.75" x14ac:dyDescent="0.2">
      <c r="A525"/>
      <c r="B525" s="42"/>
      <c r="C525"/>
      <c r="E525" s="26"/>
      <c r="F525" s="24"/>
      <c r="G525" s="24"/>
      <c r="H525" s="24"/>
      <c r="I525" s="24"/>
      <c r="J525" s="29"/>
    </row>
    <row r="526" spans="1:10" ht="12.75" x14ac:dyDescent="0.2">
      <c r="A526"/>
      <c r="B526" s="42"/>
      <c r="C526"/>
      <c r="E526" s="26"/>
      <c r="F526" s="24"/>
      <c r="G526" s="24"/>
      <c r="H526" s="24"/>
      <c r="I526" s="24"/>
      <c r="J526" s="29"/>
    </row>
    <row r="527" spans="1:10" ht="12.75" x14ac:dyDescent="0.2">
      <c r="A527"/>
      <c r="B527" s="42"/>
      <c r="C527"/>
      <c r="E527" s="26"/>
      <c r="F527" s="24"/>
      <c r="G527" s="24"/>
      <c r="H527" s="24"/>
      <c r="I527" s="24"/>
      <c r="J527" s="29"/>
    </row>
    <row r="528" spans="1:10" ht="12.75" x14ac:dyDescent="0.2">
      <c r="A528"/>
      <c r="B528" s="42"/>
      <c r="C528"/>
      <c r="E528" s="26"/>
      <c r="F528" s="24"/>
      <c r="G528" s="24"/>
      <c r="H528" s="24"/>
      <c r="I528" s="24"/>
      <c r="J528" s="29"/>
    </row>
    <row r="529" spans="1:10" ht="12.75" x14ac:dyDescent="0.2">
      <c r="A529"/>
      <c r="B529" s="42"/>
      <c r="C529"/>
      <c r="E529" s="26"/>
      <c r="F529" s="24"/>
      <c r="G529" s="24"/>
      <c r="H529" s="24"/>
      <c r="I529" s="24"/>
      <c r="J529" s="29"/>
    </row>
    <row r="530" spans="1:10" ht="12.75" x14ac:dyDescent="0.2">
      <c r="A530"/>
      <c r="B530" s="42"/>
      <c r="C530"/>
      <c r="E530" s="26"/>
      <c r="F530" s="24"/>
      <c r="G530" s="24"/>
      <c r="H530" s="24"/>
      <c r="I530" s="24"/>
      <c r="J530" s="29"/>
    </row>
    <row r="531" spans="1:10" ht="12.75" x14ac:dyDescent="0.2">
      <c r="A531"/>
      <c r="B531" s="42"/>
      <c r="C531"/>
      <c r="E531" s="26"/>
      <c r="F531" s="24"/>
      <c r="G531" s="24"/>
      <c r="H531" s="24"/>
      <c r="I531" s="24"/>
      <c r="J531" s="29"/>
    </row>
    <row r="532" spans="1:10" ht="12.75" x14ac:dyDescent="0.2">
      <c r="A532"/>
      <c r="B532" s="42"/>
      <c r="C532"/>
      <c r="E532" s="26"/>
      <c r="F532" s="24"/>
      <c r="G532" s="24"/>
      <c r="H532" s="24"/>
      <c r="I532" s="24"/>
      <c r="J532" s="29"/>
    </row>
    <row r="533" spans="1:10" ht="12.75" x14ac:dyDescent="0.2">
      <c r="A533"/>
      <c r="B533" s="42"/>
      <c r="C533"/>
      <c r="E533" s="26"/>
      <c r="F533" s="24"/>
      <c r="G533" s="24"/>
      <c r="H533" s="24"/>
      <c r="I533" s="24"/>
      <c r="J533" s="29"/>
    </row>
    <row r="534" spans="1:10" ht="12.75" x14ac:dyDescent="0.2">
      <c r="A534"/>
      <c r="B534" s="42"/>
      <c r="C534"/>
      <c r="E534" s="26"/>
      <c r="F534" s="24"/>
      <c r="G534" s="24"/>
      <c r="H534" s="24"/>
      <c r="I534" s="24"/>
      <c r="J534" s="29"/>
    </row>
    <row r="535" spans="1:10" ht="12.75" x14ac:dyDescent="0.2">
      <c r="A535"/>
      <c r="B535" s="42"/>
      <c r="C535"/>
      <c r="E535" s="26"/>
      <c r="F535" s="24"/>
      <c r="G535" s="24"/>
      <c r="H535" s="24"/>
      <c r="I535" s="24"/>
      <c r="J535" s="29"/>
    </row>
    <row r="536" spans="1:10" ht="12.75" x14ac:dyDescent="0.2">
      <c r="A536"/>
      <c r="B536" s="42"/>
      <c r="C536"/>
      <c r="E536" s="26"/>
      <c r="F536" s="24"/>
      <c r="G536" s="24"/>
      <c r="H536" s="24"/>
      <c r="I536" s="24"/>
      <c r="J536" s="29"/>
    </row>
    <row r="537" spans="1:10" ht="12.75" x14ac:dyDescent="0.2">
      <c r="A537"/>
      <c r="B537" s="42"/>
      <c r="C537"/>
      <c r="E537" s="26"/>
      <c r="F537" s="24"/>
      <c r="G537" s="24"/>
      <c r="H537" s="24"/>
      <c r="I537" s="24"/>
      <c r="J537" s="29"/>
    </row>
    <row r="538" spans="1:10" ht="12.75" x14ac:dyDescent="0.2">
      <c r="A538"/>
      <c r="B538" s="42"/>
      <c r="C538"/>
      <c r="E538" s="26"/>
      <c r="F538" s="24"/>
      <c r="G538" s="24"/>
      <c r="H538" s="24"/>
      <c r="I538" s="24"/>
      <c r="J538" s="29"/>
    </row>
    <row r="539" spans="1:10" ht="12.75" x14ac:dyDescent="0.2">
      <c r="A539"/>
      <c r="B539" s="42"/>
      <c r="C539"/>
      <c r="E539" s="26"/>
      <c r="F539" s="24"/>
      <c r="G539" s="24"/>
      <c r="H539" s="24"/>
      <c r="I539" s="24"/>
      <c r="J539" s="29"/>
    </row>
    <row r="540" spans="1:10" ht="12.75" x14ac:dyDescent="0.2">
      <c r="A540"/>
      <c r="B540" s="42"/>
      <c r="C540"/>
      <c r="E540" s="26"/>
      <c r="F540" s="24"/>
      <c r="G540" s="24"/>
      <c r="H540" s="24"/>
      <c r="I540" s="24"/>
      <c r="J540" s="29"/>
    </row>
    <row r="541" spans="1:10" ht="12.75" x14ac:dyDescent="0.2">
      <c r="A541"/>
      <c r="B541" s="42"/>
      <c r="C541"/>
      <c r="E541" s="26"/>
      <c r="F541" s="24"/>
      <c r="G541" s="24"/>
      <c r="H541" s="24"/>
      <c r="I541" s="24"/>
      <c r="J541" s="29"/>
    </row>
    <row r="542" spans="1:10" ht="12.75" x14ac:dyDescent="0.2">
      <c r="A542"/>
      <c r="B542" s="42"/>
      <c r="C542"/>
      <c r="E542" s="26"/>
      <c r="F542" s="24"/>
      <c r="G542" s="24"/>
      <c r="H542" s="24"/>
      <c r="I542" s="24"/>
      <c r="J542" s="29"/>
    </row>
    <row r="543" spans="1:10" ht="12.75" x14ac:dyDescent="0.2">
      <c r="A543"/>
      <c r="B543" s="42"/>
      <c r="C543"/>
      <c r="E543" s="26"/>
      <c r="F543" s="24"/>
      <c r="G543" s="24"/>
      <c r="H543" s="24"/>
      <c r="I543" s="24"/>
      <c r="J543" s="29"/>
    </row>
    <row r="544" spans="1:10" ht="12.75" x14ac:dyDescent="0.2">
      <c r="A544"/>
      <c r="B544" s="42"/>
      <c r="C544"/>
      <c r="E544" s="26"/>
      <c r="F544" s="24"/>
      <c r="G544" s="24"/>
      <c r="H544" s="24"/>
      <c r="I544" s="24"/>
      <c r="J544" s="29"/>
    </row>
    <row r="545" spans="1:10" ht="12.75" x14ac:dyDescent="0.2">
      <c r="A545"/>
      <c r="B545" s="42"/>
      <c r="C545"/>
      <c r="E545" s="26"/>
      <c r="F545" s="24"/>
      <c r="G545" s="24"/>
      <c r="H545" s="24"/>
      <c r="I545" s="24"/>
      <c r="J545" s="29"/>
    </row>
    <row r="546" spans="1:10" ht="12.75" x14ac:dyDescent="0.2">
      <c r="A546"/>
      <c r="B546" s="42"/>
      <c r="C546"/>
      <c r="E546" s="26"/>
      <c r="F546" s="24"/>
      <c r="G546" s="24"/>
      <c r="H546" s="24"/>
      <c r="I546" s="24"/>
      <c r="J546" s="29"/>
    </row>
    <row r="547" spans="1:10" ht="12.75" x14ac:dyDescent="0.2">
      <c r="A547"/>
      <c r="B547" s="42"/>
      <c r="C547"/>
      <c r="E547" s="26"/>
      <c r="F547" s="24"/>
      <c r="G547" s="24"/>
      <c r="H547" s="24"/>
      <c r="I547" s="24"/>
      <c r="J547" s="29"/>
    </row>
    <row r="548" spans="1:10" ht="12.75" x14ac:dyDescent="0.2">
      <c r="A548"/>
      <c r="B548" s="42"/>
      <c r="C548"/>
      <c r="E548" s="26"/>
      <c r="F548" s="24"/>
      <c r="G548" s="24"/>
      <c r="H548" s="24"/>
      <c r="I548" s="24"/>
      <c r="J548" s="29"/>
    </row>
    <row r="549" spans="1:10" ht="12.75" x14ac:dyDescent="0.2">
      <c r="A549"/>
      <c r="B549" s="42"/>
      <c r="C549"/>
      <c r="E549" s="26"/>
      <c r="F549" s="24"/>
      <c r="G549" s="24"/>
      <c r="H549" s="24"/>
      <c r="I549" s="24"/>
      <c r="J549" s="29"/>
    </row>
    <row r="550" spans="1:10" ht="12.75" x14ac:dyDescent="0.2">
      <c r="A550"/>
      <c r="B550" s="42"/>
      <c r="C550"/>
      <c r="E550" s="26"/>
      <c r="F550" s="24"/>
      <c r="G550" s="24"/>
      <c r="H550" s="24"/>
      <c r="I550" s="24"/>
      <c r="J550" s="29"/>
    </row>
    <row r="551" spans="1:10" ht="12.75" x14ac:dyDescent="0.2">
      <c r="A551"/>
      <c r="B551" s="42"/>
      <c r="C551"/>
      <c r="E551" s="26"/>
      <c r="F551" s="24"/>
      <c r="G551" s="24"/>
      <c r="H551" s="24"/>
      <c r="I551" s="24"/>
      <c r="J551" s="29"/>
    </row>
    <row r="552" spans="1:10" ht="12.75" x14ac:dyDescent="0.2">
      <c r="A552"/>
      <c r="B552" s="42"/>
      <c r="C552"/>
      <c r="E552" s="26"/>
      <c r="F552" s="24"/>
      <c r="G552" s="24"/>
      <c r="H552" s="24"/>
      <c r="I552" s="24"/>
      <c r="J552" s="29"/>
    </row>
    <row r="553" spans="1:10" ht="12.75" x14ac:dyDescent="0.2">
      <c r="A553"/>
      <c r="B553" s="42"/>
      <c r="C553"/>
      <c r="E553" s="26"/>
      <c r="F553" s="24"/>
      <c r="G553" s="24"/>
      <c r="H553" s="24"/>
      <c r="I553" s="24"/>
      <c r="J553" s="29"/>
    </row>
    <row r="554" spans="1:10" ht="12.75" x14ac:dyDescent="0.2">
      <c r="A554"/>
      <c r="B554" s="42"/>
      <c r="C554"/>
      <c r="E554" s="26"/>
      <c r="F554" s="24"/>
      <c r="G554" s="24"/>
      <c r="H554" s="24"/>
      <c r="I554" s="24"/>
      <c r="J554" s="29"/>
    </row>
    <row r="555" spans="1:10" ht="12.75" x14ac:dyDescent="0.2">
      <c r="A555"/>
      <c r="B555" s="42"/>
      <c r="C555"/>
      <c r="E555" s="26"/>
      <c r="F555" s="24"/>
      <c r="G555" s="24"/>
      <c r="H555" s="24"/>
      <c r="I555" s="24"/>
      <c r="J555" s="29"/>
    </row>
    <row r="556" spans="1:10" ht="12.75" x14ac:dyDescent="0.2">
      <c r="A556"/>
      <c r="B556" s="42"/>
      <c r="C556"/>
      <c r="E556" s="26"/>
      <c r="F556" s="24"/>
      <c r="G556" s="24"/>
      <c r="H556" s="24"/>
      <c r="I556" s="24"/>
      <c r="J556" s="29"/>
    </row>
    <row r="557" spans="1:10" ht="12.75" x14ac:dyDescent="0.2">
      <c r="A557"/>
      <c r="B557" s="42"/>
      <c r="C557"/>
      <c r="E557" s="26"/>
      <c r="F557" s="24"/>
      <c r="G557" s="24"/>
      <c r="H557" s="24"/>
      <c r="I557" s="24"/>
      <c r="J557" s="29"/>
    </row>
    <row r="558" spans="1:10" ht="12.75" x14ac:dyDescent="0.2">
      <c r="A558"/>
      <c r="B558" s="42"/>
      <c r="C558"/>
      <c r="E558" s="26"/>
      <c r="F558" s="24"/>
      <c r="G558" s="24"/>
      <c r="H558" s="24"/>
      <c r="I558" s="24"/>
      <c r="J558" s="29"/>
    </row>
    <row r="559" spans="1:10" ht="12.75" x14ac:dyDescent="0.2">
      <c r="A559"/>
      <c r="B559" s="42"/>
      <c r="C559"/>
      <c r="E559" s="26"/>
      <c r="F559" s="24"/>
      <c r="G559" s="24"/>
      <c r="H559" s="24"/>
      <c r="I559" s="24"/>
      <c r="J559" s="29"/>
    </row>
    <row r="560" spans="1:10" ht="12.75" x14ac:dyDescent="0.2">
      <c r="A560"/>
      <c r="B560" s="42"/>
      <c r="C560"/>
      <c r="E560" s="26"/>
      <c r="F560" s="24"/>
      <c r="G560" s="24"/>
      <c r="H560" s="24"/>
      <c r="I560" s="24"/>
      <c r="J560" s="29"/>
    </row>
    <row r="561" spans="1:10" ht="12.75" x14ac:dyDescent="0.2">
      <c r="A561"/>
      <c r="B561" s="42"/>
      <c r="C561"/>
      <c r="E561" s="26"/>
      <c r="F561" s="24"/>
      <c r="G561" s="24"/>
      <c r="H561" s="24"/>
      <c r="I561" s="24"/>
      <c r="J561" s="29"/>
    </row>
    <row r="562" spans="1:10" ht="12.75" x14ac:dyDescent="0.2">
      <c r="A562"/>
      <c r="B562" s="42"/>
      <c r="C562"/>
      <c r="E562" s="26"/>
      <c r="F562" s="24"/>
      <c r="G562" s="24"/>
      <c r="H562" s="24"/>
      <c r="I562" s="24"/>
      <c r="J562" s="29"/>
    </row>
    <row r="563" spans="1:10" ht="12.75" x14ac:dyDescent="0.2">
      <c r="A563"/>
      <c r="B563" s="42"/>
      <c r="C563"/>
      <c r="E563" s="26"/>
      <c r="F563" s="24"/>
      <c r="G563" s="24"/>
      <c r="H563" s="24"/>
      <c r="I563" s="24"/>
      <c r="J563" s="29"/>
    </row>
    <row r="564" spans="1:10" ht="12.75" x14ac:dyDescent="0.2">
      <c r="A564"/>
      <c r="B564" s="42"/>
      <c r="C564"/>
      <c r="E564" s="26"/>
      <c r="F564" s="24"/>
      <c r="G564" s="24"/>
      <c r="H564" s="24"/>
      <c r="I564" s="24"/>
      <c r="J564" s="29"/>
    </row>
    <row r="565" spans="1:10" ht="12.75" x14ac:dyDescent="0.2">
      <c r="A565"/>
      <c r="B565" s="42"/>
      <c r="C565"/>
      <c r="E565" s="26"/>
      <c r="F565" s="24"/>
      <c r="G565" s="24"/>
      <c r="H565" s="24"/>
      <c r="I565" s="24"/>
      <c r="J565" s="29"/>
    </row>
    <row r="566" spans="1:10" ht="12.75" x14ac:dyDescent="0.2">
      <c r="A566"/>
      <c r="B566" s="42"/>
      <c r="C566"/>
      <c r="E566" s="26"/>
      <c r="F566" s="24"/>
      <c r="G566" s="24"/>
      <c r="H566" s="24"/>
      <c r="I566" s="24"/>
      <c r="J566" s="29"/>
    </row>
    <row r="567" spans="1:10" ht="12.75" x14ac:dyDescent="0.2">
      <c r="A567"/>
      <c r="B567" s="42"/>
      <c r="C567"/>
      <c r="E567" s="26"/>
      <c r="F567" s="24"/>
      <c r="G567" s="24"/>
      <c r="H567" s="24"/>
      <c r="I567" s="24"/>
      <c r="J567" s="29"/>
    </row>
    <row r="568" spans="1:10" ht="12.75" x14ac:dyDescent="0.2">
      <c r="A568"/>
      <c r="B568" s="42"/>
      <c r="C568"/>
      <c r="E568" s="26"/>
      <c r="F568" s="24"/>
      <c r="G568" s="24"/>
      <c r="H568" s="24"/>
      <c r="I568" s="24"/>
      <c r="J568" s="29"/>
    </row>
    <row r="569" spans="1:10" ht="12.75" x14ac:dyDescent="0.2">
      <c r="A569"/>
      <c r="B569" s="42"/>
      <c r="C569"/>
      <c r="E569" s="26"/>
      <c r="F569" s="24"/>
      <c r="G569" s="24"/>
      <c r="H569" s="24"/>
      <c r="I569" s="24"/>
      <c r="J569" s="29"/>
    </row>
    <row r="570" spans="1:10" ht="12.75" x14ac:dyDescent="0.2">
      <c r="A570"/>
      <c r="B570" s="42"/>
      <c r="C570"/>
      <c r="E570" s="26"/>
      <c r="F570" s="24"/>
      <c r="G570" s="24"/>
      <c r="H570" s="24"/>
      <c r="I570" s="24"/>
      <c r="J570" s="29"/>
    </row>
    <row r="571" spans="1:10" ht="12.75" x14ac:dyDescent="0.2">
      <c r="A571"/>
      <c r="B571" s="42"/>
      <c r="C571"/>
      <c r="E571" s="26"/>
      <c r="F571" s="24"/>
      <c r="G571" s="24"/>
      <c r="H571" s="24"/>
      <c r="I571" s="24"/>
      <c r="J571" s="29"/>
    </row>
    <row r="572" spans="1:10" ht="12.75" x14ac:dyDescent="0.2">
      <c r="A572"/>
      <c r="B572" s="42"/>
      <c r="C572"/>
      <c r="E572" s="26"/>
      <c r="F572" s="24"/>
      <c r="G572" s="24"/>
      <c r="H572" s="24"/>
      <c r="I572" s="24"/>
      <c r="J572" s="29"/>
    </row>
    <row r="573" spans="1:10" ht="12.75" x14ac:dyDescent="0.2">
      <c r="A573"/>
      <c r="B573" s="42"/>
      <c r="C573"/>
      <c r="E573" s="26"/>
      <c r="F573" s="24"/>
      <c r="G573" s="24"/>
      <c r="H573" s="24"/>
      <c r="I573" s="24"/>
      <c r="J573" s="29"/>
    </row>
    <row r="574" spans="1:10" ht="12.75" x14ac:dyDescent="0.2">
      <c r="A574"/>
      <c r="B574" s="42"/>
      <c r="C574"/>
      <c r="E574" s="26"/>
      <c r="F574" s="24"/>
      <c r="G574" s="24"/>
      <c r="H574" s="24"/>
      <c r="I574" s="24"/>
      <c r="J574" s="29"/>
    </row>
    <row r="575" spans="1:10" ht="12.75" x14ac:dyDescent="0.2">
      <c r="A575"/>
      <c r="B575" s="42"/>
      <c r="C575"/>
      <c r="E575" s="26"/>
      <c r="F575" s="24"/>
      <c r="G575" s="24"/>
      <c r="H575" s="24"/>
      <c r="I575" s="24"/>
      <c r="J575" s="29"/>
    </row>
    <row r="576" spans="1:10" ht="12.75" x14ac:dyDescent="0.2">
      <c r="A576"/>
      <c r="B576" s="42"/>
      <c r="C576"/>
      <c r="E576" s="26"/>
      <c r="F576" s="24"/>
      <c r="G576" s="24"/>
      <c r="H576" s="24"/>
      <c r="I576" s="24"/>
      <c r="J576" s="29"/>
    </row>
    <row r="577" spans="1:10" ht="12.75" x14ac:dyDescent="0.2">
      <c r="A577"/>
      <c r="B577" s="42"/>
      <c r="C577"/>
      <c r="E577" s="26"/>
      <c r="F577" s="24"/>
      <c r="G577" s="24"/>
      <c r="H577" s="24"/>
      <c r="I577" s="24"/>
      <c r="J577" s="29"/>
    </row>
    <row r="578" spans="1:10" ht="12.75" x14ac:dyDescent="0.2">
      <c r="A578"/>
      <c r="B578" s="42"/>
      <c r="C578"/>
      <c r="E578" s="26"/>
      <c r="F578" s="24"/>
      <c r="G578" s="24"/>
      <c r="H578" s="24"/>
      <c r="I578" s="24"/>
      <c r="J578" s="29"/>
    </row>
    <row r="579" spans="1:10" ht="12.75" x14ac:dyDescent="0.2">
      <c r="A579"/>
      <c r="B579" s="42"/>
      <c r="C579"/>
      <c r="E579" s="26"/>
      <c r="F579" s="24"/>
      <c r="G579" s="24"/>
      <c r="H579" s="24"/>
      <c r="I579" s="24"/>
      <c r="J579" s="29"/>
    </row>
    <row r="580" spans="1:10" ht="12.75" x14ac:dyDescent="0.2">
      <c r="A580"/>
      <c r="B580" s="42"/>
      <c r="C580"/>
      <c r="E580" s="26"/>
      <c r="F580" s="24"/>
      <c r="G580" s="24"/>
      <c r="H580" s="24"/>
      <c r="I580" s="24"/>
      <c r="J580" s="29"/>
    </row>
    <row r="581" spans="1:10" ht="12.75" x14ac:dyDescent="0.2">
      <c r="A581"/>
      <c r="B581" s="42"/>
      <c r="C581"/>
      <c r="E581" s="26"/>
      <c r="F581" s="24"/>
      <c r="G581" s="24"/>
      <c r="H581" s="24"/>
      <c r="I581" s="24"/>
      <c r="J581" s="29"/>
    </row>
    <row r="582" spans="1:10" ht="12.75" x14ac:dyDescent="0.2">
      <c r="A582"/>
      <c r="B582" s="42"/>
      <c r="C582"/>
      <c r="E582" s="26"/>
      <c r="F582" s="24"/>
      <c r="G582" s="24"/>
      <c r="H582" s="24"/>
      <c r="I582" s="24"/>
      <c r="J582" s="29"/>
    </row>
    <row r="583" spans="1:10" ht="12.75" x14ac:dyDescent="0.2">
      <c r="A583"/>
      <c r="B583" s="42"/>
      <c r="C583"/>
      <c r="E583" s="26"/>
      <c r="F583" s="24"/>
      <c r="G583" s="24"/>
      <c r="H583" s="24"/>
      <c r="I583" s="24"/>
      <c r="J583" s="29"/>
    </row>
    <row r="584" spans="1:10" ht="12.75" x14ac:dyDescent="0.2">
      <c r="A584"/>
      <c r="B584" s="42"/>
      <c r="C584"/>
      <c r="E584" s="26"/>
      <c r="F584" s="24"/>
      <c r="G584" s="24"/>
      <c r="H584" s="24"/>
      <c r="I584" s="24"/>
      <c r="J584" s="29"/>
    </row>
    <row r="585" spans="1:10" ht="12.75" x14ac:dyDescent="0.2">
      <c r="A585"/>
      <c r="B585" s="42"/>
      <c r="C585"/>
      <c r="E585" s="26"/>
      <c r="F585" s="24"/>
      <c r="G585" s="24"/>
      <c r="H585" s="24"/>
      <c r="I585" s="24"/>
      <c r="J585" s="29"/>
    </row>
    <row r="586" spans="1:10" ht="12.75" x14ac:dyDescent="0.2">
      <c r="A586"/>
      <c r="B586" s="42"/>
      <c r="C586"/>
      <c r="E586" s="26"/>
      <c r="F586" s="24"/>
      <c r="G586" s="24"/>
      <c r="H586" s="24"/>
      <c r="I586" s="24"/>
      <c r="J586" s="29"/>
    </row>
    <row r="587" spans="1:10" ht="12.75" x14ac:dyDescent="0.2">
      <c r="A587"/>
      <c r="B587" s="42"/>
      <c r="C587"/>
      <c r="E587" s="26"/>
      <c r="F587" s="24"/>
      <c r="G587" s="24"/>
      <c r="H587" s="24"/>
      <c r="I587" s="24"/>
      <c r="J587" s="29"/>
    </row>
    <row r="588" spans="1:10" ht="12.75" x14ac:dyDescent="0.2">
      <c r="A588"/>
      <c r="B588" s="42"/>
      <c r="C588"/>
      <c r="E588" s="26"/>
      <c r="F588" s="24"/>
      <c r="G588" s="24"/>
      <c r="H588" s="24"/>
      <c r="I588" s="24"/>
      <c r="J588" s="29"/>
    </row>
    <row r="589" spans="1:10" ht="12.75" x14ac:dyDescent="0.2">
      <c r="A589"/>
      <c r="B589" s="42"/>
      <c r="C589"/>
      <c r="E589" s="26"/>
      <c r="F589" s="24"/>
      <c r="G589" s="24"/>
      <c r="H589" s="24"/>
      <c r="I589" s="24"/>
      <c r="J589" s="29"/>
    </row>
    <row r="590" spans="1:10" ht="12.75" x14ac:dyDescent="0.2">
      <c r="A590"/>
      <c r="B590" s="42"/>
      <c r="C590"/>
      <c r="E590" s="26"/>
      <c r="F590" s="24"/>
      <c r="G590" s="24"/>
      <c r="H590" s="24"/>
      <c r="I590" s="24"/>
      <c r="J590" s="29"/>
    </row>
    <row r="591" spans="1:10" ht="12.75" x14ac:dyDescent="0.2">
      <c r="A591"/>
      <c r="B591" s="42"/>
      <c r="C591"/>
      <c r="E591" s="26"/>
      <c r="F591" s="24"/>
      <c r="G591" s="24"/>
      <c r="H591" s="24"/>
      <c r="I591" s="24"/>
      <c r="J591" s="29"/>
    </row>
    <row r="592" spans="1:10" ht="12.75" x14ac:dyDescent="0.2">
      <c r="A592"/>
      <c r="B592" s="42"/>
      <c r="C592"/>
      <c r="E592" s="26"/>
      <c r="F592" s="24"/>
      <c r="G592" s="24"/>
      <c r="H592" s="24"/>
      <c r="I592" s="24"/>
      <c r="J592" s="29"/>
    </row>
    <row r="593" spans="1:10" ht="12.75" x14ac:dyDescent="0.2">
      <c r="A593"/>
      <c r="B593" s="42"/>
      <c r="C593"/>
      <c r="E593" s="26"/>
      <c r="F593" s="24"/>
      <c r="G593" s="24"/>
      <c r="H593" s="24"/>
      <c r="I593" s="24"/>
      <c r="J593" s="29"/>
    </row>
    <row r="594" spans="1:10" ht="12.75" x14ac:dyDescent="0.2">
      <c r="A594"/>
      <c r="B594" s="42"/>
      <c r="C594"/>
      <c r="E594" s="26"/>
      <c r="F594" s="24"/>
      <c r="G594" s="24"/>
      <c r="H594" s="24"/>
      <c r="I594" s="24"/>
      <c r="J594" s="29"/>
    </row>
    <row r="595" spans="1:10" ht="12.75" x14ac:dyDescent="0.2">
      <c r="A595"/>
      <c r="B595" s="42"/>
      <c r="C595"/>
      <c r="E595" s="26"/>
      <c r="F595" s="24"/>
      <c r="G595" s="24"/>
      <c r="H595" s="24"/>
      <c r="I595" s="24"/>
      <c r="J595" s="29"/>
    </row>
    <row r="596" spans="1:10" ht="12.75" x14ac:dyDescent="0.2">
      <c r="A596"/>
      <c r="B596" s="42"/>
      <c r="C596"/>
      <c r="E596" s="26"/>
      <c r="F596" s="24"/>
      <c r="G596" s="24"/>
      <c r="H596" s="24"/>
      <c r="I596" s="24"/>
      <c r="J596" s="29"/>
    </row>
    <row r="597" spans="1:10" ht="12.75" x14ac:dyDescent="0.2">
      <c r="A597"/>
      <c r="B597" s="42"/>
      <c r="C597"/>
      <c r="E597" s="26"/>
      <c r="F597" s="24"/>
      <c r="G597" s="24"/>
      <c r="H597" s="24"/>
      <c r="I597" s="24"/>
      <c r="J597" s="29"/>
    </row>
    <row r="598" spans="1:10" ht="12.75" x14ac:dyDescent="0.2">
      <c r="A598"/>
      <c r="B598" s="42"/>
      <c r="C598"/>
      <c r="E598" s="26"/>
      <c r="F598" s="24"/>
      <c r="G598" s="24"/>
      <c r="H598" s="24"/>
      <c r="I598" s="24"/>
      <c r="J598" s="29"/>
    </row>
    <row r="599" spans="1:10" ht="12.75" x14ac:dyDescent="0.2">
      <c r="A599"/>
      <c r="B599" s="42"/>
      <c r="C599"/>
      <c r="E599" s="26"/>
      <c r="F599" s="24"/>
      <c r="G599" s="24"/>
      <c r="H599" s="24"/>
      <c r="I599" s="24"/>
      <c r="J599" s="29"/>
    </row>
    <row r="600" spans="1:10" ht="12.75" x14ac:dyDescent="0.2">
      <c r="A600"/>
      <c r="B600" s="42"/>
      <c r="C600"/>
      <c r="E600" s="26"/>
      <c r="F600" s="24"/>
      <c r="G600" s="24"/>
      <c r="H600" s="24"/>
      <c r="I600" s="24"/>
      <c r="J600" s="29"/>
    </row>
    <row r="601" spans="1:10" ht="12.75" x14ac:dyDescent="0.2">
      <c r="A601"/>
      <c r="B601" s="42"/>
      <c r="C601"/>
      <c r="E601" s="26"/>
      <c r="F601" s="24"/>
      <c r="G601" s="24"/>
      <c r="H601" s="24"/>
      <c r="I601" s="24"/>
      <c r="J601" s="29"/>
    </row>
    <row r="602" spans="1:10" ht="12.75" x14ac:dyDescent="0.2">
      <c r="A602"/>
      <c r="B602" s="42"/>
      <c r="C602"/>
      <c r="E602" s="26"/>
      <c r="F602" s="24"/>
      <c r="G602" s="24"/>
      <c r="H602" s="24"/>
      <c r="I602" s="24"/>
      <c r="J602" s="29"/>
    </row>
    <row r="603" spans="1:10" ht="12.75" x14ac:dyDescent="0.2">
      <c r="A603"/>
      <c r="B603" s="42"/>
      <c r="C603"/>
      <c r="E603" s="26"/>
      <c r="F603" s="24"/>
      <c r="G603" s="24"/>
      <c r="H603" s="24"/>
      <c r="I603" s="24"/>
      <c r="J603" s="29"/>
    </row>
    <row r="604" spans="1:10" ht="12.75" x14ac:dyDescent="0.2">
      <c r="A604"/>
      <c r="B604" s="42"/>
      <c r="C604"/>
      <c r="E604" s="26"/>
      <c r="F604" s="24"/>
      <c r="G604" s="24"/>
      <c r="H604" s="24"/>
      <c r="I604" s="24"/>
      <c r="J604" s="29"/>
    </row>
    <row r="605" spans="1:10" ht="12.75" x14ac:dyDescent="0.2">
      <c r="A605"/>
      <c r="B605" s="42"/>
      <c r="C605"/>
      <c r="E605" s="26"/>
      <c r="F605" s="24"/>
      <c r="G605" s="24"/>
      <c r="H605" s="24"/>
      <c r="I605" s="24"/>
      <c r="J605" s="29"/>
    </row>
    <row r="606" spans="1:10" ht="12.75" x14ac:dyDescent="0.2">
      <c r="A606"/>
      <c r="B606" s="42"/>
      <c r="C606"/>
      <c r="E606" s="26"/>
      <c r="F606" s="24"/>
      <c r="G606" s="24"/>
      <c r="H606" s="24"/>
      <c r="I606" s="24"/>
      <c r="J606" s="29"/>
    </row>
    <row r="607" spans="1:10" ht="12.75" x14ac:dyDescent="0.2">
      <c r="A607"/>
      <c r="B607" s="42"/>
      <c r="C607"/>
      <c r="E607" s="26"/>
      <c r="F607" s="24"/>
      <c r="G607" s="24"/>
      <c r="H607" s="24"/>
      <c r="I607" s="24"/>
      <c r="J607" s="29"/>
    </row>
    <row r="608" spans="1:10" ht="12.75" x14ac:dyDescent="0.2">
      <c r="A608"/>
      <c r="B608" s="42"/>
      <c r="C608"/>
      <c r="E608" s="26"/>
      <c r="F608" s="24"/>
      <c r="G608" s="24"/>
      <c r="H608" s="24"/>
      <c r="I608" s="24"/>
      <c r="J608" s="29"/>
    </row>
    <row r="609" spans="1:10" ht="12.75" x14ac:dyDescent="0.2">
      <c r="A609"/>
      <c r="B609" s="42"/>
      <c r="C609"/>
      <c r="E609" s="26"/>
      <c r="F609" s="24"/>
      <c r="G609" s="24"/>
      <c r="H609" s="24"/>
      <c r="I609" s="24"/>
      <c r="J609" s="29"/>
    </row>
    <row r="610" spans="1:10" ht="12.75" x14ac:dyDescent="0.2">
      <c r="A610"/>
      <c r="B610" s="42"/>
      <c r="C610"/>
      <c r="E610" s="26"/>
      <c r="F610" s="24"/>
      <c r="G610" s="24"/>
      <c r="H610" s="24"/>
      <c r="I610" s="24"/>
      <c r="J610" s="29"/>
    </row>
    <row r="611" spans="1:10" ht="12.75" x14ac:dyDescent="0.2">
      <c r="A611"/>
      <c r="B611" s="42"/>
      <c r="C611"/>
      <c r="E611" s="26"/>
      <c r="F611" s="24"/>
      <c r="G611" s="24"/>
      <c r="H611" s="24"/>
      <c r="I611" s="24"/>
      <c r="J611" s="29"/>
    </row>
    <row r="612" spans="1:10" ht="12.75" x14ac:dyDescent="0.2">
      <c r="A612"/>
      <c r="B612" s="42"/>
      <c r="C612"/>
      <c r="E612" s="26"/>
      <c r="F612" s="24"/>
      <c r="G612" s="24"/>
      <c r="H612" s="24"/>
      <c r="I612" s="24"/>
      <c r="J612" s="29"/>
    </row>
    <row r="613" spans="1:10" ht="12.75" x14ac:dyDescent="0.2">
      <c r="A613"/>
      <c r="B613" s="42"/>
      <c r="C613"/>
      <c r="E613" s="26"/>
      <c r="F613" s="24"/>
      <c r="G613" s="24"/>
      <c r="H613" s="24"/>
      <c r="I613" s="24"/>
      <c r="J613" s="29"/>
    </row>
    <row r="614" spans="1:10" ht="12.75" x14ac:dyDescent="0.2">
      <c r="A614"/>
      <c r="B614" s="42"/>
      <c r="C614"/>
      <c r="E614" s="26"/>
      <c r="F614" s="24"/>
      <c r="G614" s="24"/>
      <c r="H614" s="24"/>
      <c r="I614" s="24"/>
      <c r="J614" s="29"/>
    </row>
    <row r="615" spans="1:10" ht="12.75" x14ac:dyDescent="0.2">
      <c r="A615"/>
      <c r="B615" s="42"/>
      <c r="C615"/>
      <c r="E615" s="26"/>
      <c r="F615" s="24"/>
      <c r="G615" s="24"/>
      <c r="H615" s="24"/>
      <c r="I615" s="24"/>
      <c r="J615" s="29"/>
    </row>
    <row r="616" spans="1:10" ht="12.75" x14ac:dyDescent="0.2">
      <c r="A616"/>
      <c r="B616" s="42"/>
      <c r="C616"/>
      <c r="E616" s="26"/>
      <c r="F616" s="24"/>
      <c r="G616" s="24"/>
      <c r="H616" s="24"/>
      <c r="I616" s="24"/>
      <c r="J616" s="29"/>
    </row>
    <row r="617" spans="1:10" ht="12.75" x14ac:dyDescent="0.2">
      <c r="A617"/>
      <c r="B617" s="42"/>
      <c r="C617"/>
      <c r="E617" s="26"/>
      <c r="F617" s="24"/>
      <c r="G617" s="24"/>
      <c r="H617" s="24"/>
      <c r="I617" s="24"/>
      <c r="J617" s="29"/>
    </row>
    <row r="618" spans="1:10" ht="12.75" x14ac:dyDescent="0.2">
      <c r="A618"/>
      <c r="B618" s="42"/>
      <c r="C618"/>
      <c r="E618" s="26"/>
      <c r="F618" s="24"/>
      <c r="G618" s="24"/>
      <c r="H618" s="24"/>
      <c r="I618" s="24"/>
      <c r="J618" s="29"/>
    </row>
    <row r="619" spans="1:10" ht="12.75" x14ac:dyDescent="0.2">
      <c r="A619"/>
      <c r="B619" s="42"/>
      <c r="C619"/>
      <c r="E619" s="26"/>
      <c r="F619" s="24"/>
      <c r="G619" s="24"/>
      <c r="H619" s="24"/>
      <c r="I619" s="24"/>
      <c r="J619" s="29"/>
    </row>
    <row r="620" spans="1:10" ht="12.75" x14ac:dyDescent="0.2">
      <c r="A620"/>
      <c r="B620" s="42"/>
      <c r="C620"/>
      <c r="E620" s="26"/>
      <c r="F620" s="24"/>
      <c r="G620" s="24"/>
      <c r="H620" s="24"/>
      <c r="I620" s="24"/>
      <c r="J620" s="29"/>
    </row>
    <row r="621" spans="1:10" ht="12.75" x14ac:dyDescent="0.2">
      <c r="A621"/>
      <c r="B621" s="42"/>
      <c r="C621"/>
      <c r="E621" s="26"/>
      <c r="F621" s="24"/>
      <c r="G621" s="24"/>
      <c r="H621" s="24"/>
      <c r="I621" s="24"/>
      <c r="J621" s="29"/>
    </row>
    <row r="622" spans="1:10" ht="12.75" x14ac:dyDescent="0.2">
      <c r="A622"/>
      <c r="B622" s="42"/>
      <c r="C622"/>
      <c r="E622" s="26"/>
      <c r="F622" s="24"/>
      <c r="G622" s="24"/>
      <c r="H622" s="24"/>
      <c r="I622" s="24"/>
      <c r="J622" s="29"/>
    </row>
    <row r="623" spans="1:10" ht="12.75" x14ac:dyDescent="0.2">
      <c r="A623"/>
      <c r="B623" s="42"/>
      <c r="C623"/>
      <c r="E623" s="26"/>
      <c r="F623" s="24"/>
      <c r="G623" s="24"/>
      <c r="H623" s="24"/>
      <c r="I623" s="24"/>
      <c r="J623" s="29"/>
    </row>
    <row r="624" spans="1:10" ht="12.75" x14ac:dyDescent="0.2">
      <c r="A624"/>
      <c r="B624" s="42"/>
      <c r="C624"/>
      <c r="E624" s="26"/>
      <c r="F624" s="24"/>
      <c r="G624" s="24"/>
      <c r="H624" s="24"/>
      <c r="I624" s="24"/>
      <c r="J624" s="29"/>
    </row>
    <row r="625" spans="1:10" ht="12.75" x14ac:dyDescent="0.2">
      <c r="A625"/>
      <c r="B625" s="42"/>
      <c r="C625"/>
      <c r="E625" s="26"/>
      <c r="F625" s="24"/>
      <c r="G625" s="24"/>
      <c r="H625" s="24"/>
      <c r="I625" s="24"/>
      <c r="J625" s="29"/>
    </row>
    <row r="626" spans="1:10" ht="12.75" x14ac:dyDescent="0.2">
      <c r="A626"/>
      <c r="B626" s="42"/>
      <c r="C626"/>
      <c r="E626" s="26"/>
      <c r="F626" s="24"/>
      <c r="G626" s="24"/>
      <c r="H626" s="24"/>
      <c r="I626" s="24"/>
      <c r="J626" s="29"/>
    </row>
    <row r="627" spans="1:10" ht="12.75" x14ac:dyDescent="0.2">
      <c r="A627"/>
      <c r="B627" s="42"/>
      <c r="C627"/>
      <c r="E627" s="26"/>
      <c r="F627" s="24"/>
      <c r="G627" s="24"/>
      <c r="H627" s="24"/>
      <c r="I627" s="24"/>
      <c r="J627" s="29"/>
    </row>
    <row r="628" spans="1:10" ht="12.75" x14ac:dyDescent="0.2">
      <c r="A628"/>
      <c r="B628" s="42"/>
      <c r="C628"/>
      <c r="E628" s="26"/>
      <c r="F628" s="24"/>
      <c r="G628" s="24"/>
      <c r="H628" s="24"/>
      <c r="I628" s="24"/>
      <c r="J628" s="29"/>
    </row>
    <row r="629" spans="1:10" ht="12.75" x14ac:dyDescent="0.2">
      <c r="A629"/>
      <c r="B629" s="42"/>
      <c r="C629"/>
      <c r="E629" s="26"/>
      <c r="F629" s="24"/>
      <c r="G629" s="24"/>
      <c r="H629" s="24"/>
      <c r="I629" s="24"/>
      <c r="J629" s="29"/>
    </row>
    <row r="630" spans="1:10" ht="12.75" x14ac:dyDescent="0.2">
      <c r="A630"/>
      <c r="B630" s="42"/>
      <c r="C630"/>
      <c r="E630" s="26"/>
      <c r="F630" s="24"/>
      <c r="G630" s="24"/>
      <c r="H630" s="24"/>
      <c r="I630" s="24"/>
      <c r="J630" s="29"/>
    </row>
    <row r="631" spans="1:10" ht="12.75" x14ac:dyDescent="0.2">
      <c r="A631"/>
      <c r="B631" s="42"/>
      <c r="C631"/>
      <c r="E631" s="26"/>
      <c r="F631" s="24"/>
      <c r="G631" s="24"/>
      <c r="H631" s="24"/>
      <c r="I631" s="24"/>
      <c r="J631" s="29"/>
    </row>
    <row r="632" spans="1:10" ht="12.75" x14ac:dyDescent="0.2">
      <c r="A632"/>
      <c r="B632" s="42"/>
      <c r="C632"/>
      <c r="E632" s="26"/>
      <c r="F632" s="24"/>
      <c r="G632" s="24"/>
      <c r="H632" s="24"/>
      <c r="I632" s="24"/>
      <c r="J632" s="29"/>
    </row>
    <row r="633" spans="1:10" ht="12.75" x14ac:dyDescent="0.2">
      <c r="A633"/>
      <c r="B633" s="42"/>
      <c r="C633"/>
      <c r="E633" s="26"/>
      <c r="F633" s="24"/>
      <c r="G633" s="24"/>
      <c r="H633" s="24"/>
      <c r="I633" s="24"/>
      <c r="J633" s="29"/>
    </row>
    <row r="634" spans="1:10" ht="12.75" x14ac:dyDescent="0.2">
      <c r="A634"/>
      <c r="B634" s="42"/>
      <c r="C634"/>
      <c r="E634" s="26"/>
      <c r="F634" s="24"/>
      <c r="G634" s="24"/>
      <c r="H634" s="24"/>
      <c r="I634" s="24"/>
      <c r="J634" s="29"/>
    </row>
    <row r="635" spans="1:10" ht="12.75" x14ac:dyDescent="0.2">
      <c r="A635"/>
      <c r="B635" s="42"/>
      <c r="C635"/>
      <c r="E635" s="26"/>
      <c r="F635" s="24"/>
      <c r="G635" s="24"/>
      <c r="H635" s="24"/>
      <c r="I635" s="24"/>
      <c r="J635" s="29"/>
    </row>
    <row r="636" spans="1:10" ht="12.75" x14ac:dyDescent="0.2">
      <c r="A636"/>
      <c r="B636" s="42"/>
      <c r="C636"/>
      <c r="E636" s="26"/>
      <c r="F636" s="24"/>
      <c r="G636" s="24"/>
      <c r="H636" s="24"/>
      <c r="I636" s="24"/>
      <c r="J636" s="29"/>
    </row>
    <row r="637" spans="1:10" ht="12.75" x14ac:dyDescent="0.2">
      <c r="A637"/>
      <c r="B637" s="42"/>
      <c r="C637"/>
      <c r="E637" s="26"/>
      <c r="F637" s="24"/>
      <c r="G637" s="24"/>
      <c r="H637" s="24"/>
      <c r="I637" s="24"/>
      <c r="J637" s="29"/>
    </row>
    <row r="638" spans="1:10" ht="12.75" x14ac:dyDescent="0.2">
      <c r="A638"/>
      <c r="B638" s="42"/>
      <c r="C638"/>
      <c r="E638" s="26"/>
      <c r="F638" s="24"/>
      <c r="G638" s="24"/>
      <c r="H638" s="24"/>
      <c r="I638" s="24"/>
      <c r="J638" s="29"/>
    </row>
    <row r="639" spans="1:10" ht="12.75" x14ac:dyDescent="0.2">
      <c r="A639"/>
      <c r="B639" s="42"/>
      <c r="C639"/>
      <c r="E639" s="26"/>
      <c r="F639" s="24"/>
      <c r="G639" s="24"/>
      <c r="H639" s="24"/>
      <c r="I639" s="24"/>
      <c r="J639" s="29"/>
    </row>
    <row r="640" spans="1:10" ht="12.75" x14ac:dyDescent="0.2">
      <c r="A640"/>
      <c r="B640" s="42"/>
      <c r="C640"/>
      <c r="E640" s="26"/>
      <c r="F640" s="24"/>
      <c r="G640" s="24"/>
      <c r="H640" s="24"/>
      <c r="I640" s="24"/>
      <c r="J640" s="29"/>
    </row>
    <row r="641" spans="1:10" ht="12.75" x14ac:dyDescent="0.2">
      <c r="A641"/>
      <c r="B641" s="42"/>
      <c r="C641"/>
      <c r="E641" s="26"/>
      <c r="F641" s="24"/>
      <c r="G641" s="24"/>
      <c r="H641" s="24"/>
      <c r="I641" s="24"/>
      <c r="J641" s="29"/>
    </row>
    <row r="642" spans="1:10" ht="12.75" x14ac:dyDescent="0.2">
      <c r="A642"/>
      <c r="B642" s="42"/>
      <c r="C642"/>
      <c r="E642" s="26"/>
      <c r="F642" s="24"/>
      <c r="G642" s="24"/>
      <c r="H642" s="24"/>
      <c r="I642" s="24"/>
      <c r="J642" s="29"/>
    </row>
    <row r="643" spans="1:10" ht="12.75" x14ac:dyDescent="0.2">
      <c r="A643"/>
      <c r="B643" s="42"/>
      <c r="C643"/>
      <c r="E643" s="26"/>
      <c r="F643" s="24"/>
      <c r="G643" s="24"/>
      <c r="H643" s="24"/>
      <c r="I643" s="24"/>
      <c r="J643" s="29"/>
    </row>
    <row r="644" spans="1:10" ht="12.75" x14ac:dyDescent="0.2">
      <c r="A644"/>
      <c r="B644" s="42"/>
      <c r="C644"/>
      <c r="E644" s="26"/>
      <c r="F644" s="24"/>
      <c r="G644" s="24"/>
      <c r="H644" s="24"/>
      <c r="I644" s="24"/>
      <c r="J644" s="29"/>
    </row>
    <row r="645" spans="1:10" ht="12.75" x14ac:dyDescent="0.2">
      <c r="A645"/>
      <c r="B645" s="42"/>
      <c r="C645"/>
      <c r="E645" s="26"/>
      <c r="F645" s="24"/>
      <c r="G645" s="24"/>
      <c r="H645" s="24"/>
      <c r="I645" s="24"/>
      <c r="J645" s="29"/>
    </row>
    <row r="646" spans="1:10" ht="12.75" x14ac:dyDescent="0.2">
      <c r="A646"/>
      <c r="B646" s="42"/>
      <c r="C646"/>
      <c r="E646" s="26"/>
      <c r="F646" s="24"/>
      <c r="G646" s="24"/>
      <c r="H646" s="24"/>
      <c r="I646" s="24"/>
      <c r="J646" s="29"/>
    </row>
    <row r="647" spans="1:10" ht="12.75" x14ac:dyDescent="0.2">
      <c r="A647"/>
      <c r="B647" s="42"/>
      <c r="C647"/>
      <c r="E647" s="26"/>
      <c r="F647" s="24"/>
      <c r="G647" s="24"/>
      <c r="H647" s="24"/>
      <c r="I647" s="24"/>
      <c r="J647" s="29"/>
    </row>
    <row r="648" spans="1:10" ht="12.75" x14ac:dyDescent="0.2">
      <c r="A648"/>
      <c r="B648" s="42"/>
      <c r="C648"/>
      <c r="E648" s="26"/>
      <c r="F648" s="24"/>
      <c r="G648" s="24"/>
      <c r="H648" s="24"/>
      <c r="I648" s="24"/>
      <c r="J648" s="29"/>
    </row>
    <row r="649" spans="1:10" ht="12.75" x14ac:dyDescent="0.2">
      <c r="A649"/>
      <c r="B649" s="42"/>
      <c r="C649"/>
      <c r="E649" s="26"/>
      <c r="F649" s="24"/>
      <c r="G649" s="24"/>
      <c r="H649" s="24"/>
      <c r="I649" s="24"/>
      <c r="J649" s="29"/>
    </row>
    <row r="650" spans="1:10" ht="12.75" x14ac:dyDescent="0.2">
      <c r="A650"/>
      <c r="B650" s="42"/>
      <c r="C650"/>
      <c r="E650" s="26"/>
      <c r="F650" s="24"/>
      <c r="G650" s="24"/>
      <c r="H650" s="24"/>
      <c r="I650" s="24"/>
      <c r="J650" s="29"/>
    </row>
    <row r="651" spans="1:10" ht="12.75" x14ac:dyDescent="0.2">
      <c r="A651"/>
      <c r="B651" s="42"/>
      <c r="C651"/>
      <c r="E651" s="26"/>
      <c r="F651" s="24"/>
      <c r="G651" s="24"/>
      <c r="H651" s="24"/>
      <c r="I651" s="24"/>
      <c r="J651" s="29"/>
    </row>
    <row r="652" spans="1:10" ht="12.75" x14ac:dyDescent="0.2">
      <c r="A652"/>
      <c r="B652" s="42"/>
      <c r="C652"/>
      <c r="E652" s="26"/>
      <c r="F652" s="24"/>
      <c r="G652" s="24"/>
      <c r="H652" s="24"/>
      <c r="I652" s="24"/>
      <c r="J652" s="29"/>
    </row>
    <row r="653" spans="1:10" ht="12.75" x14ac:dyDescent="0.2">
      <c r="A653"/>
      <c r="B653" s="42"/>
      <c r="C653"/>
      <c r="E653" s="26"/>
      <c r="F653" s="24"/>
      <c r="G653" s="24"/>
      <c r="H653" s="24"/>
      <c r="I653" s="24"/>
      <c r="J653" s="29"/>
    </row>
    <row r="654" spans="1:10" ht="12.75" x14ac:dyDescent="0.2">
      <c r="A654"/>
      <c r="B654" s="42"/>
      <c r="C654"/>
      <c r="E654" s="26"/>
      <c r="F654" s="24"/>
      <c r="G654" s="24"/>
      <c r="H654" s="24"/>
      <c r="I654" s="24"/>
      <c r="J654" s="29"/>
    </row>
    <row r="655" spans="1:10" ht="12.75" x14ac:dyDescent="0.2">
      <c r="A655"/>
      <c r="B655" s="42"/>
      <c r="C655"/>
      <c r="E655" s="26"/>
      <c r="F655" s="24"/>
      <c r="G655" s="24"/>
      <c r="H655" s="24"/>
      <c r="I655" s="24"/>
      <c r="J655" s="29"/>
    </row>
    <row r="656" spans="1:10" ht="12.75" x14ac:dyDescent="0.2">
      <c r="A656"/>
      <c r="B656" s="42"/>
      <c r="C656"/>
      <c r="E656" s="26"/>
      <c r="F656" s="24"/>
      <c r="G656" s="24"/>
      <c r="H656" s="24"/>
      <c r="I656" s="24"/>
      <c r="J656" s="29"/>
    </row>
    <row r="657" spans="1:10" ht="12.75" x14ac:dyDescent="0.2">
      <c r="A657"/>
      <c r="B657" s="42"/>
      <c r="C657"/>
      <c r="E657" s="26"/>
      <c r="F657" s="24"/>
      <c r="G657" s="24"/>
      <c r="H657" s="24"/>
      <c r="I657" s="24"/>
      <c r="J657" s="29"/>
    </row>
    <row r="658" spans="1:10" ht="12.75" x14ac:dyDescent="0.2">
      <c r="A658"/>
      <c r="B658" s="42"/>
      <c r="C658"/>
      <c r="E658" s="26"/>
      <c r="F658" s="24"/>
      <c r="G658" s="24"/>
      <c r="H658" s="24"/>
      <c r="I658" s="24"/>
      <c r="J658" s="29"/>
    </row>
    <row r="659" spans="1:10" ht="12.75" x14ac:dyDescent="0.2">
      <c r="A659"/>
      <c r="B659" s="42"/>
      <c r="C659"/>
      <c r="E659" s="26"/>
      <c r="F659" s="24"/>
      <c r="G659" s="24"/>
      <c r="H659" s="24"/>
      <c r="I659" s="24"/>
      <c r="J659" s="29"/>
    </row>
    <row r="660" spans="1:10" ht="12.75" x14ac:dyDescent="0.2">
      <c r="A660"/>
      <c r="B660" s="42"/>
      <c r="C660"/>
      <c r="E660" s="26"/>
      <c r="F660" s="24"/>
      <c r="G660" s="24"/>
      <c r="H660" s="24"/>
      <c r="I660" s="24"/>
      <c r="J660" s="29"/>
    </row>
    <row r="661" spans="1:10" ht="12.75" x14ac:dyDescent="0.2">
      <c r="A661"/>
      <c r="B661" s="42"/>
      <c r="C661"/>
      <c r="E661" s="26"/>
      <c r="F661" s="24"/>
      <c r="G661" s="24"/>
      <c r="H661" s="24"/>
      <c r="I661" s="24"/>
      <c r="J661" s="29"/>
    </row>
    <row r="662" spans="1:10" ht="12.75" x14ac:dyDescent="0.2">
      <c r="A662"/>
      <c r="B662" s="42"/>
      <c r="C662"/>
      <c r="E662" s="26"/>
      <c r="F662" s="24"/>
      <c r="G662" s="24"/>
      <c r="H662" s="24"/>
      <c r="I662" s="24"/>
      <c r="J662" s="29"/>
    </row>
    <row r="663" spans="1:10" ht="12.75" x14ac:dyDescent="0.2">
      <c r="A663"/>
      <c r="B663" s="42"/>
      <c r="C663"/>
      <c r="E663" s="26"/>
      <c r="F663" s="24"/>
      <c r="G663" s="24"/>
      <c r="H663" s="24"/>
      <c r="I663" s="24"/>
      <c r="J663" s="29"/>
    </row>
    <row r="664" spans="1:10" ht="12.75" x14ac:dyDescent="0.2">
      <c r="A664"/>
      <c r="B664" s="42"/>
      <c r="C664"/>
      <c r="E664" s="26"/>
      <c r="F664" s="24"/>
      <c r="G664" s="24"/>
      <c r="H664" s="24"/>
      <c r="I664" s="24"/>
      <c r="J664" s="29"/>
    </row>
    <row r="665" spans="1:10" ht="12.75" x14ac:dyDescent="0.2">
      <c r="A665"/>
      <c r="B665" s="42"/>
      <c r="C665"/>
      <c r="E665" s="26"/>
      <c r="F665" s="24"/>
      <c r="G665" s="24"/>
      <c r="H665" s="24"/>
      <c r="I665" s="24"/>
      <c r="J665" s="29"/>
    </row>
    <row r="666" spans="1:10" ht="12.75" x14ac:dyDescent="0.2">
      <c r="A666"/>
      <c r="B666" s="42"/>
      <c r="C666"/>
      <c r="E666" s="26"/>
      <c r="F666" s="24"/>
      <c r="G666" s="24"/>
      <c r="H666" s="24"/>
      <c r="I666" s="24"/>
      <c r="J666" s="29"/>
    </row>
    <row r="667" spans="1:10" ht="12.75" x14ac:dyDescent="0.2">
      <c r="A667"/>
      <c r="B667" s="42"/>
      <c r="C667"/>
      <c r="E667" s="26"/>
      <c r="F667" s="24"/>
      <c r="G667" s="24"/>
      <c r="H667" s="24"/>
      <c r="I667" s="24"/>
      <c r="J667" s="29"/>
    </row>
    <row r="668" spans="1:10" ht="12.75" x14ac:dyDescent="0.2">
      <c r="A668"/>
      <c r="B668" s="42"/>
      <c r="C668"/>
      <c r="E668" s="26"/>
      <c r="F668" s="24"/>
      <c r="G668" s="24"/>
      <c r="H668" s="24"/>
      <c r="I668" s="24"/>
      <c r="J668" s="29"/>
    </row>
    <row r="669" spans="1:10" ht="12.75" x14ac:dyDescent="0.2">
      <c r="A669"/>
      <c r="B669" s="42"/>
      <c r="C669"/>
      <c r="E669" s="26"/>
      <c r="F669" s="24"/>
      <c r="G669" s="24"/>
      <c r="H669" s="24"/>
      <c r="I669" s="24"/>
      <c r="J669" s="29"/>
    </row>
    <row r="670" spans="1:10" ht="12.75" x14ac:dyDescent="0.2">
      <c r="A670"/>
      <c r="B670" s="42"/>
      <c r="C670"/>
      <c r="E670" s="26"/>
      <c r="F670" s="24"/>
      <c r="G670" s="24"/>
      <c r="H670" s="24"/>
      <c r="I670" s="24"/>
      <c r="J670" s="29"/>
    </row>
    <row r="671" spans="1:10" ht="12.75" x14ac:dyDescent="0.2">
      <c r="A671"/>
      <c r="B671" s="42"/>
      <c r="C671"/>
      <c r="E671" s="26"/>
      <c r="F671" s="24"/>
      <c r="G671" s="24"/>
      <c r="H671" s="24"/>
      <c r="I671" s="24"/>
      <c r="J671" s="29"/>
    </row>
    <row r="672" spans="1:10" ht="12.75" x14ac:dyDescent="0.2">
      <c r="A672"/>
      <c r="B672" s="42"/>
      <c r="C672"/>
      <c r="E672" s="26"/>
      <c r="F672" s="24"/>
      <c r="G672" s="24"/>
      <c r="H672" s="24"/>
      <c r="I672" s="24"/>
      <c r="J672" s="29"/>
    </row>
    <row r="673" spans="1:10" ht="12.75" x14ac:dyDescent="0.2">
      <c r="A673"/>
      <c r="B673" s="42"/>
      <c r="C673"/>
      <c r="E673" s="26"/>
      <c r="F673" s="24"/>
      <c r="G673" s="24"/>
      <c r="H673" s="24"/>
      <c r="I673" s="24"/>
      <c r="J673" s="29"/>
    </row>
    <row r="674" spans="1:10" ht="12.75" x14ac:dyDescent="0.2">
      <c r="A674"/>
      <c r="B674" s="42"/>
      <c r="C674"/>
      <c r="E674" s="26"/>
      <c r="F674" s="24"/>
      <c r="G674" s="24"/>
      <c r="H674" s="24"/>
      <c r="I674" s="24"/>
      <c r="J674" s="29"/>
    </row>
    <row r="675" spans="1:10" ht="12.75" x14ac:dyDescent="0.2">
      <c r="A675"/>
      <c r="B675" s="42"/>
      <c r="C675"/>
      <c r="E675" s="26"/>
      <c r="F675" s="24"/>
      <c r="G675" s="24"/>
      <c r="H675" s="24"/>
      <c r="I675" s="24"/>
      <c r="J675" s="29"/>
    </row>
    <row r="676" spans="1:10" ht="12.75" x14ac:dyDescent="0.2">
      <c r="A676"/>
      <c r="B676" s="42"/>
      <c r="C676"/>
      <c r="E676" s="26"/>
      <c r="F676" s="24"/>
      <c r="G676" s="24"/>
      <c r="H676" s="24"/>
      <c r="I676" s="24"/>
      <c r="J676" s="29"/>
    </row>
    <row r="677" spans="1:10" ht="12.75" x14ac:dyDescent="0.2">
      <c r="A677"/>
      <c r="B677" s="42"/>
      <c r="C677"/>
      <c r="E677" s="26"/>
      <c r="F677" s="24"/>
      <c r="G677" s="24"/>
      <c r="H677" s="24"/>
      <c r="I677" s="24"/>
      <c r="J677" s="29"/>
    </row>
    <row r="678" spans="1:10" ht="12.75" x14ac:dyDescent="0.2">
      <c r="A678"/>
      <c r="B678" s="42"/>
      <c r="C678"/>
      <c r="E678" s="26"/>
      <c r="F678" s="24"/>
      <c r="G678" s="24"/>
      <c r="H678" s="24"/>
      <c r="I678" s="24"/>
      <c r="J678" s="29"/>
    </row>
    <row r="679" spans="1:10" ht="12.75" x14ac:dyDescent="0.2">
      <c r="A679"/>
      <c r="B679" s="42"/>
      <c r="C679"/>
      <c r="E679" s="26"/>
      <c r="F679" s="24"/>
      <c r="G679" s="24"/>
      <c r="H679" s="24"/>
      <c r="I679" s="24"/>
      <c r="J679" s="29"/>
    </row>
    <row r="680" spans="1:10" ht="12.75" x14ac:dyDescent="0.2">
      <c r="A680"/>
      <c r="B680" s="42"/>
      <c r="C680"/>
      <c r="E680" s="26"/>
      <c r="F680" s="24"/>
      <c r="G680" s="24"/>
      <c r="H680" s="24"/>
      <c r="I680" s="24"/>
      <c r="J680" s="29"/>
    </row>
    <row r="681" spans="1:10" ht="12.75" x14ac:dyDescent="0.2">
      <c r="A681"/>
      <c r="B681" s="42"/>
      <c r="C681"/>
      <c r="E681" s="26"/>
      <c r="F681" s="24"/>
      <c r="G681" s="24"/>
      <c r="H681" s="24"/>
      <c r="I681" s="24"/>
      <c r="J681" s="29"/>
    </row>
    <row r="682" spans="1:10" ht="12.75" x14ac:dyDescent="0.2">
      <c r="A682"/>
      <c r="B682" s="42"/>
      <c r="C682"/>
      <c r="E682" s="26"/>
      <c r="F682" s="24"/>
      <c r="G682" s="24"/>
      <c r="H682" s="24"/>
      <c r="I682" s="24"/>
      <c r="J682" s="29"/>
    </row>
    <row r="683" spans="1:10" ht="12.75" x14ac:dyDescent="0.2">
      <c r="A683"/>
      <c r="B683" s="42"/>
      <c r="C683"/>
      <c r="E683" s="26"/>
      <c r="F683" s="24"/>
      <c r="G683" s="24"/>
      <c r="H683" s="24"/>
      <c r="I683" s="24"/>
      <c r="J683" s="29"/>
    </row>
    <row r="684" spans="1:10" ht="12.75" x14ac:dyDescent="0.2">
      <c r="A684"/>
      <c r="B684" s="42"/>
      <c r="C684"/>
      <c r="E684" s="26"/>
      <c r="F684" s="24"/>
      <c r="G684" s="24"/>
      <c r="H684" s="24"/>
      <c r="I684" s="24"/>
      <c r="J684" s="29"/>
    </row>
    <row r="685" spans="1:10" ht="12.75" x14ac:dyDescent="0.2">
      <c r="A685"/>
      <c r="B685" s="42"/>
      <c r="C685"/>
      <c r="E685" s="26"/>
      <c r="F685" s="24"/>
      <c r="G685" s="24"/>
      <c r="H685" s="24"/>
      <c r="I685" s="24"/>
      <c r="J685" s="29"/>
    </row>
    <row r="686" spans="1:10" ht="12.75" x14ac:dyDescent="0.2">
      <c r="A686"/>
      <c r="B686" s="42"/>
      <c r="C686"/>
      <c r="E686" s="26"/>
      <c r="F686" s="24"/>
      <c r="G686" s="24"/>
      <c r="H686" s="24"/>
      <c r="I686" s="24"/>
      <c r="J686" s="29"/>
    </row>
    <row r="687" spans="1:10" ht="12.75" x14ac:dyDescent="0.2">
      <c r="A687"/>
      <c r="B687" s="42"/>
      <c r="C687"/>
      <c r="E687" s="26"/>
      <c r="F687" s="24"/>
      <c r="G687" s="24"/>
      <c r="H687" s="24"/>
      <c r="I687" s="24"/>
      <c r="J687" s="29"/>
    </row>
    <row r="688" spans="1:10" ht="12.75" x14ac:dyDescent="0.2">
      <c r="A688"/>
      <c r="B688" s="42"/>
      <c r="C688"/>
      <c r="E688" s="26"/>
      <c r="F688" s="24"/>
      <c r="G688" s="24"/>
      <c r="H688" s="24"/>
      <c r="I688" s="24"/>
      <c r="J688" s="29"/>
    </row>
    <row r="689" spans="1:10" ht="12.75" x14ac:dyDescent="0.2">
      <c r="A689"/>
      <c r="B689" s="42"/>
      <c r="C689"/>
      <c r="E689" s="26"/>
      <c r="F689" s="24"/>
      <c r="G689" s="24"/>
      <c r="H689" s="24"/>
      <c r="I689" s="24"/>
      <c r="J689" s="29"/>
    </row>
    <row r="690" spans="1:10" ht="12.75" x14ac:dyDescent="0.2">
      <c r="A690"/>
      <c r="B690" s="42"/>
      <c r="C690"/>
      <c r="E690" s="26"/>
      <c r="F690" s="24"/>
      <c r="G690" s="24"/>
      <c r="H690" s="24"/>
      <c r="I690" s="24"/>
      <c r="J690" s="29"/>
    </row>
    <row r="691" spans="1:10" ht="12.75" x14ac:dyDescent="0.2">
      <c r="A691"/>
      <c r="B691" s="42"/>
      <c r="C691"/>
      <c r="E691" s="26"/>
      <c r="F691" s="24"/>
      <c r="G691" s="24"/>
      <c r="H691" s="24"/>
      <c r="I691" s="24"/>
      <c r="J691" s="29"/>
    </row>
    <row r="692" spans="1:10" ht="12.75" x14ac:dyDescent="0.2">
      <c r="A692"/>
      <c r="B692" s="42"/>
      <c r="C692"/>
      <c r="E692" s="26"/>
      <c r="F692" s="24"/>
      <c r="G692" s="24"/>
      <c r="H692" s="24"/>
      <c r="I692" s="24"/>
      <c r="J692" s="29"/>
    </row>
    <row r="693" spans="1:10" ht="12.75" x14ac:dyDescent="0.2">
      <c r="A693"/>
      <c r="B693" s="42"/>
      <c r="C693"/>
      <c r="E693" s="26"/>
      <c r="F693" s="24"/>
      <c r="G693" s="24"/>
      <c r="H693" s="24"/>
      <c r="I693" s="24"/>
      <c r="J693" s="29"/>
    </row>
    <row r="694" spans="1:10" ht="12.75" x14ac:dyDescent="0.2">
      <c r="A694"/>
      <c r="B694" s="42"/>
      <c r="C694"/>
      <c r="E694" s="26"/>
      <c r="F694" s="24"/>
      <c r="G694" s="24"/>
      <c r="H694" s="24"/>
      <c r="I694" s="24"/>
      <c r="J694" s="29"/>
    </row>
    <row r="695" spans="1:10" ht="12.75" x14ac:dyDescent="0.2">
      <c r="A695"/>
      <c r="B695" s="42"/>
      <c r="C695"/>
      <c r="E695" s="26"/>
      <c r="F695" s="24"/>
      <c r="G695" s="24"/>
      <c r="H695" s="24"/>
      <c r="I695" s="24"/>
      <c r="J695" s="29"/>
    </row>
    <row r="696" spans="1:10" ht="12.75" x14ac:dyDescent="0.2">
      <c r="A696"/>
      <c r="B696" s="42"/>
      <c r="C696"/>
      <c r="E696" s="26"/>
      <c r="F696" s="24"/>
      <c r="G696" s="24"/>
      <c r="H696" s="24"/>
      <c r="I696" s="24"/>
      <c r="J696" s="29"/>
    </row>
    <row r="697" spans="1:10" ht="12.75" x14ac:dyDescent="0.2">
      <c r="A697"/>
      <c r="B697" s="42"/>
      <c r="C697"/>
      <c r="E697" s="26"/>
      <c r="F697" s="24"/>
      <c r="G697" s="24"/>
      <c r="H697" s="24"/>
      <c r="I697" s="24"/>
      <c r="J697" s="29"/>
    </row>
    <row r="698" spans="1:10" ht="12.75" x14ac:dyDescent="0.2">
      <c r="A698"/>
      <c r="B698" s="42"/>
      <c r="C698"/>
      <c r="E698" s="26"/>
      <c r="F698" s="24"/>
      <c r="G698" s="24"/>
      <c r="H698" s="24"/>
      <c r="I698" s="24"/>
      <c r="J698" s="29"/>
    </row>
    <row r="699" spans="1:10" ht="12.75" x14ac:dyDescent="0.2">
      <c r="A699"/>
      <c r="B699" s="42"/>
      <c r="C699"/>
      <c r="E699" s="26"/>
      <c r="F699" s="24"/>
      <c r="G699" s="24"/>
      <c r="H699" s="24"/>
      <c r="I699" s="24"/>
      <c r="J699" s="29"/>
    </row>
    <row r="700" spans="1:10" ht="12.75" x14ac:dyDescent="0.2">
      <c r="A700"/>
      <c r="B700" s="42"/>
      <c r="C700"/>
      <c r="E700" s="26"/>
      <c r="F700" s="24"/>
      <c r="G700" s="24"/>
      <c r="H700" s="24"/>
      <c r="I700" s="24"/>
      <c r="J700" s="29"/>
    </row>
    <row r="701" spans="1:10" ht="12.75" x14ac:dyDescent="0.2">
      <c r="A701"/>
      <c r="B701" s="42"/>
      <c r="C701"/>
      <c r="E701" s="26"/>
      <c r="F701" s="24"/>
      <c r="G701" s="24"/>
      <c r="H701" s="24"/>
      <c r="I701" s="24"/>
      <c r="J701" s="29"/>
    </row>
    <row r="702" spans="1:10" ht="12.75" x14ac:dyDescent="0.2">
      <c r="A702"/>
      <c r="B702" s="42"/>
      <c r="C702"/>
      <c r="E702" s="26"/>
      <c r="F702" s="24"/>
      <c r="G702" s="24"/>
      <c r="H702" s="24"/>
      <c r="I702" s="24"/>
      <c r="J702" s="29"/>
    </row>
    <row r="703" spans="1:10" ht="12.75" x14ac:dyDescent="0.2">
      <c r="A703"/>
      <c r="B703" s="42"/>
      <c r="C703"/>
      <c r="E703" s="26"/>
      <c r="F703" s="24"/>
      <c r="G703" s="24"/>
      <c r="H703" s="24"/>
      <c r="I703" s="24"/>
      <c r="J703" s="29"/>
    </row>
    <row r="704" spans="1:10" ht="12.75" x14ac:dyDescent="0.2">
      <c r="A704"/>
      <c r="B704" s="42"/>
      <c r="C704"/>
      <c r="E704" s="26"/>
      <c r="F704" s="24"/>
      <c r="G704" s="24"/>
      <c r="H704" s="24"/>
      <c r="I704" s="24"/>
      <c r="J704" s="29"/>
    </row>
    <row r="705" spans="1:10" ht="12.75" x14ac:dyDescent="0.2">
      <c r="A705"/>
      <c r="B705" s="42"/>
      <c r="C705"/>
      <c r="E705" s="26"/>
      <c r="F705" s="24"/>
      <c r="G705" s="24"/>
      <c r="H705" s="24"/>
      <c r="I705" s="24"/>
      <c r="J705" s="29"/>
    </row>
    <row r="706" spans="1:10" ht="12.75" x14ac:dyDescent="0.2">
      <c r="A706"/>
      <c r="B706" s="42"/>
      <c r="C706"/>
      <c r="E706" s="26"/>
      <c r="F706" s="24"/>
      <c r="G706" s="24"/>
      <c r="H706" s="24"/>
      <c r="I706" s="24"/>
      <c r="J706" s="29"/>
    </row>
    <row r="707" spans="1:10" ht="12.75" x14ac:dyDescent="0.2">
      <c r="A707"/>
      <c r="B707" s="42"/>
      <c r="C707"/>
      <c r="E707" s="26"/>
      <c r="F707" s="24"/>
      <c r="G707" s="24"/>
      <c r="H707" s="24"/>
      <c r="I707" s="24"/>
      <c r="J707" s="29"/>
    </row>
    <row r="708" spans="1:10" ht="12.75" x14ac:dyDescent="0.2">
      <c r="A708"/>
      <c r="B708" s="42"/>
      <c r="C708"/>
      <c r="E708" s="26"/>
      <c r="F708" s="24"/>
      <c r="G708" s="24"/>
      <c r="H708" s="24"/>
      <c r="I708" s="24"/>
      <c r="J708" s="29"/>
    </row>
    <row r="709" spans="1:10" ht="12.75" x14ac:dyDescent="0.2">
      <c r="A709"/>
      <c r="B709" s="42"/>
      <c r="C709"/>
      <c r="E709" s="26"/>
      <c r="F709" s="24"/>
      <c r="G709" s="24"/>
      <c r="H709" s="24"/>
      <c r="I709" s="24"/>
      <c r="J709" s="29"/>
    </row>
    <row r="710" spans="1:10" ht="12.75" x14ac:dyDescent="0.2">
      <c r="A710"/>
      <c r="B710" s="42"/>
      <c r="C710"/>
      <c r="E710" s="26"/>
      <c r="F710" s="24"/>
      <c r="G710" s="24"/>
      <c r="H710" s="24"/>
      <c r="I710" s="24"/>
      <c r="J710" s="29"/>
    </row>
    <row r="711" spans="1:10" ht="12.75" x14ac:dyDescent="0.2">
      <c r="A711"/>
      <c r="B711" s="42"/>
      <c r="C711"/>
      <c r="E711" s="26"/>
      <c r="F711" s="24"/>
      <c r="G711" s="24"/>
      <c r="H711" s="24"/>
      <c r="I711" s="24"/>
      <c r="J711" s="29"/>
    </row>
    <row r="712" spans="1:10" ht="12.75" x14ac:dyDescent="0.2">
      <c r="A712"/>
      <c r="B712" s="42"/>
      <c r="C712"/>
      <c r="E712" s="26"/>
      <c r="F712" s="24"/>
      <c r="G712" s="24"/>
      <c r="H712" s="24"/>
      <c r="I712" s="24"/>
      <c r="J712" s="29"/>
    </row>
    <row r="713" spans="1:10" ht="12.75" x14ac:dyDescent="0.2">
      <c r="A713"/>
      <c r="B713" s="42"/>
      <c r="C713"/>
      <c r="E713" s="26"/>
      <c r="F713" s="24"/>
      <c r="G713" s="24"/>
      <c r="H713" s="24"/>
      <c r="I713" s="24"/>
      <c r="J713" s="29"/>
    </row>
    <row r="714" spans="1:10" ht="12.75" x14ac:dyDescent="0.2">
      <c r="A714"/>
      <c r="B714" s="42"/>
      <c r="C714"/>
      <c r="E714" s="26"/>
      <c r="F714" s="24"/>
      <c r="G714" s="24"/>
      <c r="H714" s="24"/>
      <c r="I714" s="24"/>
      <c r="J714" s="29"/>
    </row>
    <row r="715" spans="1:10" ht="12.75" x14ac:dyDescent="0.2">
      <c r="A715"/>
      <c r="B715" s="42"/>
      <c r="C715"/>
      <c r="E715" s="26"/>
      <c r="F715" s="24"/>
      <c r="G715" s="24"/>
      <c r="H715" s="24"/>
      <c r="I715" s="24"/>
      <c r="J715" s="29"/>
    </row>
    <row r="716" spans="1:10" ht="12.75" x14ac:dyDescent="0.2">
      <c r="A716"/>
      <c r="B716" s="42"/>
      <c r="C716"/>
      <c r="E716" s="26"/>
      <c r="F716" s="24"/>
      <c r="G716" s="24"/>
      <c r="H716" s="24"/>
      <c r="I716" s="24"/>
      <c r="J716" s="29"/>
    </row>
    <row r="717" spans="1:10" ht="12.75" x14ac:dyDescent="0.2">
      <c r="A717"/>
      <c r="B717" s="42"/>
      <c r="C717"/>
      <c r="E717" s="26"/>
      <c r="F717" s="24"/>
      <c r="G717" s="24"/>
      <c r="H717" s="24"/>
      <c r="I717" s="24"/>
      <c r="J717" s="29"/>
    </row>
    <row r="718" spans="1:10" ht="12.75" x14ac:dyDescent="0.2">
      <c r="A718"/>
      <c r="B718" s="42"/>
      <c r="C718"/>
      <c r="E718" s="26"/>
      <c r="F718" s="24"/>
      <c r="G718" s="24"/>
      <c r="H718" s="24"/>
      <c r="I718" s="24"/>
      <c r="J718" s="29"/>
    </row>
    <row r="719" spans="1:10" ht="12.75" x14ac:dyDescent="0.2">
      <c r="A719"/>
      <c r="B719" s="42"/>
      <c r="C719"/>
      <c r="E719" s="26"/>
      <c r="F719" s="24"/>
      <c r="G719" s="24"/>
      <c r="H719" s="24"/>
      <c r="I719" s="24"/>
      <c r="J719" s="29"/>
    </row>
    <row r="720" spans="1:10" ht="12.75" x14ac:dyDescent="0.2">
      <c r="A720"/>
      <c r="B720" s="42"/>
      <c r="C720"/>
      <c r="E720" s="26"/>
      <c r="F720" s="24"/>
      <c r="G720" s="24"/>
      <c r="H720" s="24"/>
      <c r="I720" s="24"/>
      <c r="J720" s="29"/>
    </row>
    <row r="721" spans="1:10" ht="12.75" x14ac:dyDescent="0.2">
      <c r="A721"/>
      <c r="B721" s="42"/>
      <c r="C721"/>
      <c r="E721" s="26"/>
      <c r="F721" s="24"/>
      <c r="G721" s="24"/>
      <c r="H721" s="24"/>
      <c r="I721" s="24"/>
      <c r="J721" s="29"/>
    </row>
    <row r="722" spans="1:10" ht="12.75" x14ac:dyDescent="0.2">
      <c r="A722"/>
      <c r="B722" s="42"/>
      <c r="C722"/>
      <c r="E722" s="26"/>
      <c r="F722" s="24"/>
      <c r="G722" s="24"/>
      <c r="H722" s="24"/>
      <c r="I722" s="24"/>
      <c r="J722" s="29"/>
    </row>
    <row r="723" spans="1:10" ht="12.75" x14ac:dyDescent="0.2">
      <c r="A723"/>
      <c r="B723" s="42"/>
      <c r="C723"/>
      <c r="E723" s="26"/>
      <c r="F723" s="24"/>
      <c r="G723" s="24"/>
      <c r="H723" s="24"/>
      <c r="I723" s="24"/>
      <c r="J723" s="29"/>
    </row>
    <row r="724" spans="1:10" ht="12.75" x14ac:dyDescent="0.2">
      <c r="A724"/>
      <c r="B724" s="42"/>
      <c r="C724"/>
      <c r="E724" s="26"/>
      <c r="F724" s="24"/>
      <c r="G724" s="24"/>
      <c r="H724" s="24"/>
      <c r="I724" s="24"/>
      <c r="J724" s="29"/>
    </row>
    <row r="725" spans="1:10" ht="12.75" x14ac:dyDescent="0.2">
      <c r="A725"/>
      <c r="B725" s="42"/>
      <c r="C725"/>
      <c r="E725" s="26"/>
      <c r="F725" s="24"/>
      <c r="G725" s="24"/>
      <c r="H725" s="24"/>
      <c r="I725" s="24"/>
      <c r="J725" s="29"/>
    </row>
    <row r="726" spans="1:10" ht="12.75" x14ac:dyDescent="0.2">
      <c r="A726"/>
      <c r="B726" s="42"/>
      <c r="C726"/>
      <c r="E726" s="26"/>
      <c r="F726" s="24"/>
      <c r="G726" s="24"/>
      <c r="H726" s="24"/>
      <c r="I726" s="24"/>
      <c r="J726" s="29"/>
    </row>
    <row r="727" spans="1:10" ht="12.75" x14ac:dyDescent="0.2">
      <c r="A727"/>
      <c r="B727" s="42"/>
      <c r="C727"/>
      <c r="E727" s="26"/>
      <c r="F727" s="24"/>
      <c r="G727" s="24"/>
      <c r="H727" s="24"/>
      <c r="I727" s="24"/>
      <c r="J727" s="29"/>
    </row>
    <row r="728" spans="1:10" ht="12.75" x14ac:dyDescent="0.2">
      <c r="A728"/>
      <c r="B728" s="42"/>
      <c r="C728"/>
      <c r="E728" s="26"/>
      <c r="F728" s="24"/>
      <c r="G728" s="24"/>
      <c r="H728" s="24"/>
      <c r="I728" s="24"/>
      <c r="J728" s="29"/>
    </row>
    <row r="729" spans="1:10" ht="12.75" x14ac:dyDescent="0.2">
      <c r="A729"/>
      <c r="B729" s="42"/>
      <c r="C729"/>
      <c r="E729" s="26"/>
      <c r="F729" s="24"/>
      <c r="G729" s="24"/>
      <c r="H729" s="24"/>
      <c r="I729" s="24"/>
      <c r="J729" s="29"/>
    </row>
    <row r="730" spans="1:10" ht="12.75" x14ac:dyDescent="0.2">
      <c r="A730"/>
      <c r="B730" s="42"/>
      <c r="C730"/>
      <c r="E730" s="26"/>
      <c r="F730" s="24"/>
      <c r="G730" s="24"/>
      <c r="H730" s="24"/>
      <c r="I730" s="24"/>
      <c r="J730" s="29"/>
    </row>
    <row r="731" spans="1:10" ht="12.75" x14ac:dyDescent="0.2">
      <c r="A731"/>
      <c r="B731" s="42"/>
      <c r="C731"/>
      <c r="E731" s="26"/>
      <c r="F731" s="24"/>
      <c r="G731" s="24"/>
      <c r="H731" s="24"/>
      <c r="I731" s="24"/>
      <c r="J731" s="29"/>
    </row>
    <row r="732" spans="1:10" ht="12.75" x14ac:dyDescent="0.2">
      <c r="A732"/>
      <c r="B732" s="42"/>
      <c r="C732"/>
      <c r="E732" s="26"/>
      <c r="F732" s="24"/>
      <c r="G732" s="24"/>
      <c r="H732" s="24"/>
      <c r="I732" s="24"/>
      <c r="J732" s="29"/>
    </row>
    <row r="733" spans="1:10" ht="12.75" x14ac:dyDescent="0.2">
      <c r="A733"/>
      <c r="B733" s="42"/>
      <c r="C733"/>
      <c r="E733" s="26"/>
      <c r="F733" s="24"/>
      <c r="G733" s="24"/>
      <c r="H733" s="24"/>
      <c r="I733" s="24"/>
      <c r="J733" s="29"/>
    </row>
    <row r="734" spans="1:10" ht="12.75" x14ac:dyDescent="0.2">
      <c r="A734"/>
      <c r="B734" s="42"/>
      <c r="C734"/>
      <c r="E734" s="26"/>
      <c r="F734" s="24"/>
      <c r="G734" s="24"/>
      <c r="H734" s="24"/>
      <c r="I734" s="24"/>
      <c r="J734" s="29"/>
    </row>
    <row r="735" spans="1:10" ht="12.75" x14ac:dyDescent="0.2">
      <c r="A735"/>
      <c r="B735" s="42"/>
      <c r="C735"/>
      <c r="E735" s="26"/>
      <c r="F735" s="24"/>
      <c r="G735" s="24"/>
      <c r="H735" s="24"/>
      <c r="I735" s="24"/>
      <c r="J735" s="29"/>
    </row>
    <row r="736" spans="1:10" ht="12.75" x14ac:dyDescent="0.2">
      <c r="A736"/>
      <c r="B736" s="42"/>
      <c r="C736"/>
      <c r="E736" s="26"/>
      <c r="F736" s="24"/>
      <c r="G736" s="24"/>
      <c r="H736" s="24"/>
      <c r="I736" s="24"/>
      <c r="J736" s="29"/>
    </row>
    <row r="737" spans="1:10" ht="12.75" x14ac:dyDescent="0.2">
      <c r="A737"/>
      <c r="B737" s="42"/>
      <c r="C737"/>
      <c r="E737" s="26"/>
      <c r="F737" s="24"/>
      <c r="G737" s="24"/>
      <c r="H737" s="24"/>
      <c r="I737" s="24"/>
      <c r="J737" s="29"/>
    </row>
    <row r="738" spans="1:10" ht="12.75" x14ac:dyDescent="0.2">
      <c r="A738"/>
      <c r="B738" s="42"/>
      <c r="C738"/>
      <c r="E738" s="26"/>
      <c r="F738" s="24"/>
      <c r="G738" s="24"/>
      <c r="H738" s="24"/>
      <c r="I738" s="24"/>
      <c r="J738" s="29"/>
    </row>
    <row r="739" spans="1:10" ht="12.75" x14ac:dyDescent="0.2">
      <c r="A739"/>
      <c r="B739" s="42"/>
      <c r="C739"/>
      <c r="E739" s="26"/>
      <c r="F739" s="24"/>
      <c r="G739" s="24"/>
      <c r="H739" s="24"/>
      <c r="I739" s="24"/>
      <c r="J739" s="29"/>
    </row>
    <row r="740" spans="1:10" ht="12.75" x14ac:dyDescent="0.2">
      <c r="A740"/>
      <c r="B740" s="42"/>
      <c r="C740"/>
      <c r="E740" s="26"/>
      <c r="F740" s="24"/>
      <c r="G740" s="24"/>
      <c r="H740" s="24"/>
      <c r="I740" s="24"/>
      <c r="J740" s="29"/>
    </row>
    <row r="741" spans="1:10" ht="12.75" x14ac:dyDescent="0.2">
      <c r="A741"/>
      <c r="B741" s="42"/>
      <c r="C741"/>
      <c r="E741" s="26"/>
      <c r="F741" s="24"/>
      <c r="G741" s="24"/>
      <c r="H741" s="24"/>
      <c r="I741" s="24"/>
      <c r="J741" s="29"/>
    </row>
    <row r="742" spans="1:10" ht="12.75" x14ac:dyDescent="0.2">
      <c r="A742"/>
      <c r="B742" s="42"/>
      <c r="C742"/>
      <c r="E742" s="26"/>
      <c r="F742" s="24"/>
      <c r="G742" s="24"/>
      <c r="H742" s="24"/>
      <c r="I742" s="24"/>
      <c r="J742" s="29"/>
    </row>
    <row r="743" spans="1:10" ht="12.75" x14ac:dyDescent="0.2">
      <c r="A743"/>
      <c r="B743" s="42"/>
      <c r="C743"/>
      <c r="E743" s="26"/>
      <c r="F743" s="24"/>
      <c r="G743" s="24"/>
      <c r="H743" s="24"/>
      <c r="I743" s="24"/>
      <c r="J743" s="29"/>
    </row>
    <row r="744" spans="1:10" ht="12.75" x14ac:dyDescent="0.2">
      <c r="A744"/>
      <c r="B744" s="42"/>
      <c r="C744"/>
      <c r="E744" s="26"/>
      <c r="F744" s="24"/>
      <c r="G744" s="24"/>
      <c r="H744" s="24"/>
      <c r="I744" s="24"/>
      <c r="J744" s="29"/>
    </row>
    <row r="745" spans="1:10" ht="12.75" x14ac:dyDescent="0.2">
      <c r="A745"/>
      <c r="B745" s="42"/>
      <c r="C745"/>
      <c r="E745" s="26"/>
      <c r="F745" s="24"/>
      <c r="G745" s="24"/>
      <c r="H745" s="24"/>
      <c r="I745" s="24"/>
      <c r="J745" s="29"/>
    </row>
    <row r="746" spans="1:10" ht="12.75" x14ac:dyDescent="0.2">
      <c r="A746"/>
      <c r="B746" s="42"/>
      <c r="C746"/>
      <c r="E746" s="26"/>
      <c r="F746" s="24"/>
      <c r="G746" s="24"/>
      <c r="H746" s="24"/>
      <c r="I746" s="24"/>
      <c r="J746" s="29"/>
    </row>
    <row r="747" spans="1:10" ht="12.75" x14ac:dyDescent="0.2">
      <c r="A747"/>
      <c r="B747" s="42"/>
      <c r="C747"/>
      <c r="E747" s="26"/>
      <c r="F747" s="24"/>
      <c r="G747" s="24"/>
      <c r="H747" s="24"/>
      <c r="I747" s="24"/>
      <c r="J747" s="29"/>
    </row>
    <row r="748" spans="1:10" ht="12.75" x14ac:dyDescent="0.2">
      <c r="A748"/>
      <c r="B748" s="42"/>
      <c r="C748"/>
      <c r="E748" s="26"/>
      <c r="F748" s="24"/>
      <c r="G748" s="24"/>
      <c r="H748" s="24"/>
      <c r="I748" s="24"/>
      <c r="J748" s="29"/>
    </row>
    <row r="749" spans="1:10" ht="12.75" x14ac:dyDescent="0.2">
      <c r="A749"/>
      <c r="B749" s="42"/>
      <c r="C749"/>
      <c r="E749" s="26"/>
      <c r="F749" s="24"/>
      <c r="G749" s="24"/>
      <c r="H749" s="24"/>
      <c r="I749" s="24"/>
      <c r="J749" s="29"/>
    </row>
    <row r="750" spans="1:10" ht="12.75" x14ac:dyDescent="0.2">
      <c r="A750"/>
      <c r="B750" s="42"/>
      <c r="C750"/>
      <c r="E750" s="26"/>
      <c r="F750" s="24"/>
      <c r="G750" s="24"/>
      <c r="H750" s="24"/>
      <c r="I750" s="24"/>
      <c r="J750" s="29"/>
    </row>
    <row r="751" spans="1:10" ht="12.75" x14ac:dyDescent="0.2">
      <c r="A751"/>
      <c r="B751" s="42"/>
      <c r="C751"/>
      <c r="E751" s="26"/>
      <c r="F751" s="24"/>
      <c r="G751" s="24"/>
      <c r="H751" s="24"/>
      <c r="I751" s="24"/>
      <c r="J751" s="29"/>
    </row>
    <row r="752" spans="1:10" ht="12.75" x14ac:dyDescent="0.2">
      <c r="A752"/>
      <c r="B752" s="42"/>
      <c r="C752"/>
      <c r="E752" s="26"/>
      <c r="F752" s="24"/>
      <c r="G752" s="24"/>
      <c r="H752" s="24"/>
      <c r="I752" s="24"/>
      <c r="J752" s="29"/>
    </row>
    <row r="753" spans="1:10" ht="12.75" x14ac:dyDescent="0.2">
      <c r="A753"/>
      <c r="B753" s="42"/>
      <c r="C753"/>
      <c r="E753" s="26"/>
      <c r="F753" s="24"/>
      <c r="G753" s="24"/>
      <c r="H753" s="24"/>
      <c r="I753" s="24"/>
      <c r="J753" s="29"/>
    </row>
    <row r="754" spans="1:10" ht="12.75" x14ac:dyDescent="0.2">
      <c r="A754"/>
      <c r="B754" s="42"/>
      <c r="C754"/>
      <c r="E754" s="26"/>
      <c r="F754" s="24"/>
      <c r="G754" s="24"/>
      <c r="H754" s="24"/>
      <c r="I754" s="24"/>
      <c r="J754" s="29"/>
    </row>
    <row r="755" spans="1:10" ht="12.75" x14ac:dyDescent="0.2">
      <c r="A755"/>
      <c r="B755" s="42"/>
      <c r="C755"/>
      <c r="E755" s="26"/>
      <c r="F755" s="24"/>
      <c r="G755" s="24"/>
      <c r="H755" s="24"/>
      <c r="I755" s="24"/>
      <c r="J755" s="29"/>
    </row>
    <row r="756" spans="1:10" ht="12.75" x14ac:dyDescent="0.2">
      <c r="A756"/>
      <c r="B756" s="42"/>
      <c r="C756"/>
      <c r="E756" s="26"/>
      <c r="F756" s="24"/>
      <c r="G756" s="24"/>
      <c r="H756" s="24"/>
      <c r="I756" s="24"/>
      <c r="J756" s="29"/>
    </row>
    <row r="757" spans="1:10" ht="12.75" x14ac:dyDescent="0.2">
      <c r="A757"/>
      <c r="B757" s="42"/>
      <c r="C757"/>
      <c r="E757" s="26"/>
      <c r="F757" s="24"/>
      <c r="G757" s="24"/>
      <c r="H757" s="24"/>
      <c r="I757" s="24"/>
      <c r="J757" s="29"/>
    </row>
    <row r="758" spans="1:10" ht="12.75" x14ac:dyDescent="0.2">
      <c r="A758"/>
      <c r="B758" s="42"/>
      <c r="C758"/>
      <c r="E758" s="26"/>
      <c r="F758" s="24"/>
      <c r="G758" s="24"/>
      <c r="H758" s="24"/>
      <c r="I758" s="24"/>
      <c r="J758" s="29"/>
    </row>
    <row r="759" spans="1:10" ht="12.75" x14ac:dyDescent="0.2">
      <c r="A759"/>
      <c r="B759" s="42"/>
      <c r="C759"/>
      <c r="E759" s="26"/>
      <c r="F759" s="24"/>
      <c r="G759" s="24"/>
      <c r="H759" s="24"/>
      <c r="I759" s="24"/>
      <c r="J759" s="29"/>
    </row>
    <row r="760" spans="1:10" ht="12.75" x14ac:dyDescent="0.2">
      <c r="A760"/>
      <c r="B760" s="42"/>
      <c r="C760"/>
      <c r="E760" s="26"/>
      <c r="F760" s="24"/>
      <c r="G760" s="24"/>
      <c r="H760" s="24"/>
      <c r="I760" s="24"/>
      <c r="J760" s="29"/>
    </row>
    <row r="761" spans="1:10" ht="12.75" x14ac:dyDescent="0.2">
      <c r="A761"/>
      <c r="B761" s="42"/>
      <c r="C761"/>
      <c r="E761" s="26"/>
      <c r="F761" s="24"/>
      <c r="G761" s="24"/>
      <c r="H761" s="24"/>
      <c r="I761" s="24"/>
      <c r="J761" s="29"/>
    </row>
    <row r="762" spans="1:10" ht="12.75" x14ac:dyDescent="0.2">
      <c r="A762"/>
      <c r="B762" s="42"/>
      <c r="C762"/>
      <c r="E762" s="26"/>
      <c r="F762" s="24"/>
      <c r="G762" s="24"/>
      <c r="H762" s="24"/>
      <c r="I762" s="24"/>
      <c r="J762" s="29"/>
    </row>
    <row r="763" spans="1:10" ht="12.75" x14ac:dyDescent="0.2">
      <c r="A763"/>
      <c r="B763" s="42"/>
      <c r="C763"/>
      <c r="E763" s="26"/>
      <c r="F763" s="24"/>
      <c r="G763" s="24"/>
      <c r="H763" s="24"/>
      <c r="I763" s="24"/>
      <c r="J763" s="29"/>
    </row>
    <row r="764" spans="1:10" ht="12.75" x14ac:dyDescent="0.2">
      <c r="A764"/>
      <c r="B764" s="42"/>
      <c r="C764"/>
      <c r="E764" s="26"/>
      <c r="F764" s="24"/>
      <c r="G764" s="24"/>
      <c r="H764" s="24"/>
      <c r="I764" s="24"/>
      <c r="J764" s="29"/>
    </row>
    <row r="765" spans="1:10" ht="12.75" x14ac:dyDescent="0.2">
      <c r="A765"/>
      <c r="B765" s="42"/>
      <c r="C765"/>
      <c r="E765" s="26"/>
      <c r="F765" s="24"/>
      <c r="G765" s="24"/>
      <c r="H765" s="24"/>
      <c r="I765" s="24"/>
      <c r="J765" s="29"/>
    </row>
    <row r="766" spans="1:10" ht="12.75" x14ac:dyDescent="0.2">
      <c r="A766"/>
      <c r="B766" s="42"/>
      <c r="C766"/>
      <c r="E766" s="26"/>
      <c r="F766" s="24"/>
      <c r="G766" s="24"/>
      <c r="H766" s="24"/>
      <c r="I766" s="24"/>
      <c r="J766" s="29"/>
    </row>
    <row r="767" spans="1:10" ht="12.75" x14ac:dyDescent="0.2">
      <c r="A767"/>
      <c r="B767" s="42"/>
      <c r="C767"/>
      <c r="E767" s="26"/>
      <c r="F767" s="24"/>
      <c r="G767" s="24"/>
      <c r="H767" s="24"/>
      <c r="I767" s="24"/>
      <c r="J767" s="29"/>
    </row>
    <row r="768" spans="1:10" ht="12.75" x14ac:dyDescent="0.2">
      <c r="A768"/>
      <c r="B768" s="42"/>
      <c r="C768"/>
      <c r="E768" s="26"/>
      <c r="F768" s="24"/>
      <c r="G768" s="24"/>
      <c r="H768" s="24"/>
      <c r="I768" s="24"/>
      <c r="J768" s="29"/>
    </row>
    <row r="769" spans="1:10" ht="12.75" x14ac:dyDescent="0.2">
      <c r="A769"/>
      <c r="B769" s="42"/>
      <c r="C769"/>
      <c r="E769" s="26"/>
      <c r="F769" s="24"/>
      <c r="G769" s="24"/>
      <c r="H769" s="24"/>
      <c r="I769" s="24"/>
      <c r="J769" s="29"/>
    </row>
    <row r="770" spans="1:10" ht="12.75" x14ac:dyDescent="0.2">
      <c r="A770"/>
      <c r="B770" s="42"/>
      <c r="C770"/>
      <c r="E770" s="26"/>
      <c r="F770" s="24"/>
      <c r="G770" s="24"/>
      <c r="H770" s="24"/>
      <c r="I770" s="24"/>
      <c r="J770" s="29"/>
    </row>
    <row r="771" spans="1:10" ht="12.75" x14ac:dyDescent="0.2">
      <c r="A771"/>
      <c r="B771" s="42"/>
      <c r="C771"/>
      <c r="E771" s="26"/>
      <c r="F771" s="24"/>
      <c r="G771" s="24"/>
      <c r="H771" s="24"/>
      <c r="I771" s="24"/>
      <c r="J771" s="29"/>
    </row>
    <row r="772" spans="1:10" ht="12.75" x14ac:dyDescent="0.2">
      <c r="A772"/>
      <c r="B772" s="42"/>
      <c r="C772"/>
      <c r="E772" s="26"/>
      <c r="F772" s="24"/>
      <c r="G772" s="24"/>
      <c r="H772" s="24"/>
      <c r="I772" s="24"/>
      <c r="J772" s="29"/>
    </row>
    <row r="773" spans="1:10" ht="12.75" x14ac:dyDescent="0.2">
      <c r="A773"/>
      <c r="B773" s="42"/>
      <c r="C773"/>
      <c r="E773" s="26"/>
      <c r="F773" s="24"/>
      <c r="G773" s="24"/>
      <c r="H773" s="24"/>
      <c r="I773" s="24"/>
      <c r="J773" s="29"/>
    </row>
    <row r="774" spans="1:10" ht="12.75" x14ac:dyDescent="0.2">
      <c r="A774"/>
      <c r="B774" s="42"/>
      <c r="C774"/>
      <c r="E774" s="26"/>
      <c r="F774" s="24"/>
      <c r="G774" s="24"/>
      <c r="H774" s="24"/>
      <c r="I774" s="24"/>
      <c r="J774" s="29"/>
    </row>
    <row r="775" spans="1:10" ht="12.75" x14ac:dyDescent="0.2">
      <c r="A775"/>
      <c r="B775" s="42"/>
      <c r="C775"/>
      <c r="E775" s="26"/>
      <c r="F775" s="24"/>
      <c r="G775" s="24"/>
      <c r="H775" s="24"/>
      <c r="I775" s="24"/>
      <c r="J775" s="29"/>
    </row>
    <row r="776" spans="1:10" ht="12.75" x14ac:dyDescent="0.2">
      <c r="A776"/>
      <c r="B776" s="42"/>
      <c r="C776"/>
      <c r="E776" s="26"/>
      <c r="F776" s="24"/>
      <c r="G776" s="24"/>
      <c r="H776" s="24"/>
      <c r="I776" s="24"/>
      <c r="J776" s="29"/>
    </row>
    <row r="777" spans="1:10" ht="12.75" x14ac:dyDescent="0.2">
      <c r="A777"/>
      <c r="B777" s="42"/>
      <c r="C777"/>
      <c r="E777" s="26"/>
      <c r="F777" s="24"/>
      <c r="G777" s="24"/>
      <c r="H777" s="24"/>
      <c r="I777" s="24"/>
      <c r="J777" s="29"/>
    </row>
    <row r="778" spans="1:10" ht="12.75" x14ac:dyDescent="0.2">
      <c r="A778"/>
      <c r="B778" s="42"/>
      <c r="C778"/>
      <c r="E778" s="26"/>
      <c r="F778" s="24"/>
      <c r="G778" s="24"/>
      <c r="H778" s="24"/>
      <c r="I778" s="24"/>
      <c r="J778" s="29"/>
    </row>
    <row r="779" spans="1:10" ht="12.75" x14ac:dyDescent="0.2">
      <c r="A779"/>
      <c r="B779" s="42"/>
      <c r="C779"/>
      <c r="E779" s="26"/>
      <c r="F779" s="24"/>
      <c r="G779" s="24"/>
      <c r="H779" s="24"/>
      <c r="I779" s="24"/>
      <c r="J779" s="29"/>
    </row>
    <row r="780" spans="1:10" ht="12.75" x14ac:dyDescent="0.2">
      <c r="A780"/>
      <c r="B780" s="42"/>
      <c r="C780"/>
      <c r="E780" s="26"/>
      <c r="F780" s="24"/>
      <c r="G780" s="24"/>
      <c r="H780" s="24"/>
      <c r="I780" s="24"/>
      <c r="J780" s="29"/>
    </row>
    <row r="781" spans="1:10" ht="12.75" x14ac:dyDescent="0.2">
      <c r="A781"/>
      <c r="B781" s="42"/>
      <c r="C781"/>
      <c r="E781" s="26"/>
      <c r="F781" s="24"/>
      <c r="G781" s="24"/>
      <c r="H781" s="24"/>
      <c r="I781" s="24"/>
      <c r="J781" s="29"/>
    </row>
    <row r="782" spans="1:10" ht="12.75" x14ac:dyDescent="0.2">
      <c r="A782"/>
      <c r="B782" s="42"/>
      <c r="C782"/>
      <c r="E782" s="26"/>
      <c r="F782" s="24"/>
      <c r="G782" s="24"/>
      <c r="H782" s="24"/>
      <c r="I782" s="24"/>
      <c r="J782" s="29"/>
    </row>
    <row r="783" spans="1:10" ht="12.75" x14ac:dyDescent="0.2">
      <c r="A783"/>
      <c r="B783" s="42"/>
      <c r="C783"/>
      <c r="E783" s="26"/>
      <c r="F783" s="24"/>
      <c r="G783" s="24"/>
      <c r="H783" s="24"/>
      <c r="I783" s="24"/>
      <c r="J783" s="29"/>
    </row>
    <row r="784" spans="1:10" ht="12.75" x14ac:dyDescent="0.2">
      <c r="A784"/>
      <c r="B784" s="42"/>
      <c r="C784"/>
      <c r="E784" s="26"/>
      <c r="F784" s="24"/>
      <c r="G784" s="24"/>
      <c r="H784" s="24"/>
      <c r="I784" s="24"/>
      <c r="J784" s="29"/>
    </row>
    <row r="785" spans="1:10" ht="12.75" x14ac:dyDescent="0.2">
      <c r="A785"/>
      <c r="B785" s="42"/>
      <c r="C785"/>
      <c r="E785" s="26"/>
      <c r="F785" s="24"/>
      <c r="G785" s="24"/>
      <c r="H785" s="24"/>
      <c r="I785" s="24"/>
      <c r="J785" s="29"/>
    </row>
    <row r="786" spans="1:10" ht="12.75" x14ac:dyDescent="0.2">
      <c r="A786"/>
      <c r="B786" s="42"/>
      <c r="C786"/>
      <c r="E786" s="26"/>
      <c r="F786" s="24"/>
      <c r="G786" s="24"/>
      <c r="H786" s="24"/>
      <c r="I786" s="24"/>
      <c r="J786" s="29"/>
    </row>
    <row r="787" spans="1:10" ht="12.75" x14ac:dyDescent="0.2">
      <c r="A787"/>
      <c r="B787" s="42"/>
      <c r="C787"/>
      <c r="E787" s="26"/>
      <c r="F787" s="24"/>
      <c r="G787" s="24"/>
      <c r="H787" s="24"/>
      <c r="I787" s="24"/>
      <c r="J787" s="29"/>
    </row>
    <row r="788" spans="1:10" ht="12.75" x14ac:dyDescent="0.2">
      <c r="A788"/>
      <c r="B788" s="42"/>
      <c r="C788"/>
      <c r="E788" s="26"/>
      <c r="F788" s="24"/>
      <c r="G788" s="24"/>
      <c r="H788" s="24"/>
      <c r="I788" s="24"/>
      <c r="J788" s="29"/>
    </row>
    <row r="789" spans="1:10" ht="12.75" x14ac:dyDescent="0.2">
      <c r="A789"/>
      <c r="B789" s="42"/>
      <c r="C789"/>
      <c r="E789" s="26"/>
      <c r="F789" s="24"/>
      <c r="G789" s="24"/>
      <c r="H789" s="24"/>
      <c r="I789" s="24"/>
      <c r="J789" s="29"/>
    </row>
    <row r="790" spans="1:10" ht="12.75" x14ac:dyDescent="0.2">
      <c r="A790"/>
      <c r="B790" s="42"/>
      <c r="C790"/>
      <c r="E790" s="26"/>
      <c r="F790" s="24"/>
      <c r="G790" s="24"/>
      <c r="H790" s="24"/>
      <c r="I790" s="24"/>
      <c r="J790" s="29"/>
    </row>
    <row r="791" spans="1:10" ht="12.75" x14ac:dyDescent="0.2">
      <c r="A791"/>
      <c r="B791" s="42"/>
      <c r="C791"/>
      <c r="E791" s="26"/>
      <c r="F791" s="24"/>
      <c r="G791" s="24"/>
      <c r="H791" s="24"/>
      <c r="I791" s="24"/>
      <c r="J791" s="29"/>
    </row>
    <row r="792" spans="1:10" ht="12.75" x14ac:dyDescent="0.2">
      <c r="A792"/>
      <c r="B792" s="42"/>
      <c r="C792"/>
      <c r="E792" s="26"/>
      <c r="F792" s="24"/>
      <c r="G792" s="24"/>
      <c r="H792" s="24"/>
      <c r="I792" s="24"/>
      <c r="J792" s="29"/>
    </row>
    <row r="793" spans="1:10" ht="12.75" x14ac:dyDescent="0.2">
      <c r="A793"/>
      <c r="B793" s="42"/>
      <c r="C793"/>
      <c r="E793" s="26"/>
      <c r="F793" s="24"/>
      <c r="G793" s="24"/>
      <c r="H793" s="24"/>
      <c r="I793" s="24"/>
      <c r="J793" s="29"/>
    </row>
    <row r="794" spans="1:10" ht="12.75" x14ac:dyDescent="0.2">
      <c r="A794"/>
      <c r="B794" s="42"/>
      <c r="C794"/>
      <c r="E794" s="26"/>
      <c r="F794" s="24"/>
      <c r="G794" s="24"/>
      <c r="H794" s="24"/>
      <c r="I794" s="24"/>
      <c r="J794" s="29"/>
    </row>
    <row r="795" spans="1:10" ht="12.75" x14ac:dyDescent="0.2">
      <c r="A795"/>
      <c r="B795" s="42"/>
      <c r="C795"/>
      <c r="E795" s="26"/>
      <c r="F795" s="24"/>
      <c r="G795" s="24"/>
      <c r="H795" s="24"/>
      <c r="I795" s="24"/>
      <c r="J795" s="29"/>
    </row>
    <row r="796" spans="1:10" ht="12.75" x14ac:dyDescent="0.2">
      <c r="A796"/>
      <c r="B796" s="42"/>
      <c r="C796"/>
      <c r="E796" s="26"/>
      <c r="F796" s="24"/>
      <c r="G796" s="24"/>
      <c r="H796" s="24"/>
      <c r="I796" s="24"/>
      <c r="J796" s="29"/>
    </row>
    <row r="797" spans="1:10" ht="12.75" x14ac:dyDescent="0.2">
      <c r="A797"/>
      <c r="B797" s="42"/>
      <c r="C797"/>
      <c r="E797" s="26"/>
      <c r="F797" s="24"/>
      <c r="G797" s="24"/>
      <c r="H797" s="24"/>
      <c r="I797" s="24"/>
      <c r="J797" s="29"/>
    </row>
    <row r="798" spans="1:10" ht="12.75" x14ac:dyDescent="0.2">
      <c r="A798"/>
      <c r="B798" s="42"/>
      <c r="C798"/>
      <c r="E798" s="26"/>
      <c r="F798" s="24"/>
      <c r="G798" s="24"/>
      <c r="H798" s="24"/>
      <c r="I798" s="24"/>
      <c r="J798" s="29"/>
    </row>
    <row r="799" spans="1:10" ht="12.75" x14ac:dyDescent="0.2">
      <c r="A799"/>
      <c r="B799" s="42"/>
      <c r="C799"/>
      <c r="E799" s="26"/>
      <c r="F799" s="24"/>
      <c r="G799" s="24"/>
      <c r="H799" s="24"/>
      <c r="I799" s="24"/>
      <c r="J799" s="29"/>
    </row>
    <row r="800" spans="1:10" ht="12.75" x14ac:dyDescent="0.2">
      <c r="A800"/>
      <c r="B800" s="42"/>
      <c r="C800"/>
      <c r="E800" s="26"/>
      <c r="F800" s="24"/>
      <c r="G800" s="24"/>
      <c r="H800" s="24"/>
      <c r="I800" s="24"/>
      <c r="J800" s="29"/>
    </row>
    <row r="801" spans="1:10" ht="12.75" x14ac:dyDescent="0.2">
      <c r="A801"/>
      <c r="B801" s="42"/>
      <c r="C801"/>
      <c r="E801" s="26"/>
      <c r="F801" s="24"/>
      <c r="G801" s="24"/>
      <c r="H801" s="24"/>
      <c r="I801" s="24"/>
      <c r="J801" s="29"/>
    </row>
    <row r="802" spans="1:10" ht="12.75" x14ac:dyDescent="0.2">
      <c r="A802"/>
      <c r="B802" s="42"/>
      <c r="C802"/>
      <c r="E802" s="26"/>
      <c r="F802" s="24"/>
      <c r="G802" s="24"/>
      <c r="H802" s="24"/>
      <c r="I802" s="24"/>
      <c r="J802" s="29"/>
    </row>
    <row r="803" spans="1:10" ht="12.75" x14ac:dyDescent="0.2">
      <c r="A803"/>
      <c r="B803" s="42"/>
      <c r="C803"/>
      <c r="E803" s="26"/>
      <c r="F803" s="24"/>
      <c r="G803" s="24"/>
      <c r="H803" s="24"/>
      <c r="I803" s="24"/>
      <c r="J803" s="29"/>
    </row>
    <row r="804" spans="1:10" ht="12.75" x14ac:dyDescent="0.2">
      <c r="A804"/>
      <c r="B804" s="42"/>
      <c r="C804"/>
      <c r="E804" s="26"/>
      <c r="F804" s="24"/>
      <c r="G804" s="24"/>
      <c r="H804" s="24"/>
      <c r="I804" s="24"/>
      <c r="J804" s="29"/>
    </row>
    <row r="805" spans="1:10" ht="12.75" x14ac:dyDescent="0.2">
      <c r="A805"/>
      <c r="B805" s="42"/>
      <c r="C805"/>
      <c r="E805" s="26"/>
      <c r="F805" s="24"/>
      <c r="G805" s="24"/>
      <c r="H805" s="24"/>
      <c r="I805" s="24"/>
      <c r="J805" s="29"/>
    </row>
    <row r="806" spans="1:10" ht="12.75" x14ac:dyDescent="0.2">
      <c r="A806"/>
      <c r="B806" s="42"/>
      <c r="C806"/>
      <c r="E806" s="26"/>
      <c r="F806" s="24"/>
      <c r="G806" s="24"/>
      <c r="H806" s="24"/>
      <c r="I806" s="24"/>
      <c r="J806" s="29"/>
    </row>
    <row r="807" spans="1:10" ht="12.75" x14ac:dyDescent="0.2">
      <c r="A807"/>
      <c r="B807" s="42"/>
      <c r="C807"/>
      <c r="E807" s="26"/>
      <c r="F807" s="24"/>
      <c r="G807" s="24"/>
      <c r="H807" s="24"/>
      <c r="I807" s="24"/>
      <c r="J807" s="29"/>
    </row>
    <row r="808" spans="1:10" ht="12.75" x14ac:dyDescent="0.2">
      <c r="A808"/>
      <c r="B808" s="42"/>
      <c r="C808"/>
      <c r="E808" s="26"/>
      <c r="F808" s="24"/>
      <c r="G808" s="24"/>
      <c r="H808" s="24"/>
      <c r="I808" s="24"/>
      <c r="J808" s="29"/>
    </row>
    <row r="809" spans="1:10" ht="12.75" x14ac:dyDescent="0.2">
      <c r="A809"/>
      <c r="B809" s="42"/>
      <c r="C809"/>
      <c r="E809" s="26"/>
      <c r="F809" s="24"/>
      <c r="G809" s="24"/>
      <c r="H809" s="24"/>
      <c r="I809" s="24"/>
      <c r="J809" s="29"/>
    </row>
    <row r="810" spans="1:10" ht="12.75" x14ac:dyDescent="0.2">
      <c r="A810"/>
      <c r="B810" s="42"/>
      <c r="C810"/>
      <c r="E810" s="26"/>
      <c r="F810" s="24"/>
      <c r="G810" s="24"/>
      <c r="H810" s="24"/>
      <c r="I810" s="24"/>
      <c r="J810" s="29"/>
    </row>
    <row r="811" spans="1:10" ht="12.75" x14ac:dyDescent="0.2">
      <c r="A811"/>
      <c r="B811" s="42"/>
      <c r="C811"/>
      <c r="E811" s="26"/>
      <c r="F811" s="24"/>
      <c r="G811" s="24"/>
      <c r="H811" s="24"/>
      <c r="I811" s="24"/>
      <c r="J811" s="29"/>
    </row>
    <row r="812" spans="1:10" ht="12.75" x14ac:dyDescent="0.2">
      <c r="A812"/>
      <c r="B812" s="42"/>
      <c r="C812"/>
      <c r="E812" s="26"/>
      <c r="F812" s="24"/>
      <c r="G812" s="24"/>
      <c r="H812" s="24"/>
      <c r="I812" s="24"/>
      <c r="J812" s="29"/>
    </row>
    <row r="813" spans="1:10" ht="12.75" x14ac:dyDescent="0.2">
      <c r="A813"/>
      <c r="B813" s="42"/>
      <c r="C813"/>
      <c r="E813" s="26"/>
      <c r="F813" s="24"/>
      <c r="G813" s="24"/>
      <c r="H813" s="24"/>
      <c r="I813" s="24"/>
      <c r="J813" s="29"/>
    </row>
    <row r="814" spans="1:10" ht="12.75" x14ac:dyDescent="0.2">
      <c r="A814"/>
      <c r="B814" s="42"/>
      <c r="C814"/>
      <c r="E814" s="26"/>
      <c r="F814" s="24"/>
      <c r="G814" s="24"/>
      <c r="H814" s="24"/>
      <c r="I814" s="24"/>
      <c r="J814" s="29"/>
    </row>
    <row r="815" spans="1:10" ht="12.75" x14ac:dyDescent="0.2">
      <c r="A815"/>
      <c r="B815" s="42"/>
      <c r="C815"/>
      <c r="E815" s="26"/>
      <c r="F815" s="24"/>
      <c r="G815" s="24"/>
      <c r="H815" s="24"/>
      <c r="I815" s="24"/>
      <c r="J815" s="29"/>
    </row>
    <row r="816" spans="1:10" ht="12.75" x14ac:dyDescent="0.2">
      <c r="A816"/>
      <c r="B816" s="42"/>
      <c r="C816"/>
      <c r="E816" s="26"/>
      <c r="F816" s="24"/>
      <c r="G816" s="24"/>
      <c r="H816" s="24"/>
      <c r="I816" s="24"/>
      <c r="J816" s="29"/>
    </row>
    <row r="817" spans="1:10" ht="12.75" x14ac:dyDescent="0.2">
      <c r="A817"/>
      <c r="B817" s="42"/>
      <c r="C817"/>
      <c r="E817" s="26"/>
      <c r="F817" s="24"/>
      <c r="G817" s="24"/>
      <c r="H817" s="24"/>
      <c r="I817" s="24"/>
      <c r="J817" s="29"/>
    </row>
    <row r="818" spans="1:10" ht="12.75" x14ac:dyDescent="0.2">
      <c r="A818"/>
      <c r="B818" s="42"/>
      <c r="C818"/>
      <c r="E818" s="26"/>
      <c r="F818" s="24"/>
      <c r="G818" s="24"/>
      <c r="H818" s="24"/>
      <c r="I818" s="24"/>
      <c r="J818" s="29"/>
    </row>
    <row r="819" spans="1:10" ht="12.75" x14ac:dyDescent="0.2">
      <c r="A819"/>
      <c r="B819" s="42"/>
      <c r="C819"/>
      <c r="E819" s="26"/>
      <c r="F819" s="24"/>
      <c r="G819" s="24"/>
      <c r="H819" s="24"/>
      <c r="I819" s="24"/>
      <c r="J819" s="29"/>
    </row>
    <row r="820" spans="1:10" ht="12.75" x14ac:dyDescent="0.2">
      <c r="A820"/>
      <c r="B820" s="42"/>
      <c r="C820"/>
      <c r="E820" s="26"/>
      <c r="F820" s="24"/>
      <c r="G820" s="24"/>
      <c r="H820" s="24"/>
      <c r="I820" s="24"/>
      <c r="J820" s="29"/>
    </row>
    <row r="821" spans="1:10" ht="12.75" x14ac:dyDescent="0.2">
      <c r="A821"/>
      <c r="B821" s="42"/>
      <c r="C821"/>
      <c r="E821" s="26"/>
      <c r="F821" s="24"/>
      <c r="G821" s="24"/>
      <c r="H821" s="24"/>
      <c r="I821" s="24"/>
      <c r="J821" s="29"/>
    </row>
    <row r="822" spans="1:10" ht="12.75" x14ac:dyDescent="0.2">
      <c r="A822"/>
      <c r="B822" s="42"/>
      <c r="C822"/>
      <c r="E822" s="26"/>
      <c r="F822" s="24"/>
      <c r="G822" s="24"/>
      <c r="H822" s="24"/>
      <c r="I822" s="24"/>
      <c r="J822" s="29"/>
    </row>
    <row r="823" spans="1:10" ht="12.75" x14ac:dyDescent="0.2">
      <c r="A823"/>
      <c r="B823" s="42"/>
      <c r="C823"/>
      <c r="E823" s="26"/>
      <c r="F823" s="24"/>
      <c r="G823" s="24"/>
      <c r="H823" s="24"/>
      <c r="I823" s="24"/>
      <c r="J823" s="29"/>
    </row>
    <row r="824" spans="1:10" ht="12.75" x14ac:dyDescent="0.2">
      <c r="A824"/>
      <c r="B824" s="42"/>
      <c r="C824"/>
      <c r="E824" s="26"/>
      <c r="F824" s="24"/>
      <c r="G824" s="24"/>
      <c r="H824" s="24"/>
      <c r="I824" s="24"/>
      <c r="J824" s="29"/>
    </row>
    <row r="825" spans="1:10" ht="12.75" x14ac:dyDescent="0.2">
      <c r="A825"/>
      <c r="B825" s="42"/>
      <c r="C825"/>
      <c r="E825" s="26"/>
      <c r="F825" s="24"/>
      <c r="G825" s="24"/>
      <c r="H825" s="24"/>
      <c r="I825" s="24"/>
      <c r="J825" s="29"/>
    </row>
    <row r="826" spans="1:10" ht="12.75" x14ac:dyDescent="0.2">
      <c r="A826"/>
      <c r="B826" s="42"/>
      <c r="C826"/>
      <c r="E826" s="26"/>
      <c r="F826" s="24"/>
      <c r="G826" s="24"/>
      <c r="H826" s="24"/>
      <c r="I826" s="24"/>
      <c r="J826" s="29"/>
    </row>
    <row r="827" spans="1:10" ht="12.75" x14ac:dyDescent="0.2">
      <c r="A827"/>
      <c r="B827" s="42"/>
      <c r="C827"/>
      <c r="E827" s="26"/>
      <c r="F827" s="24"/>
      <c r="G827" s="24"/>
      <c r="H827" s="24"/>
      <c r="I827" s="24"/>
      <c r="J827" s="29"/>
    </row>
    <row r="828" spans="1:10" ht="12.75" x14ac:dyDescent="0.2">
      <c r="A828"/>
      <c r="B828" s="42"/>
      <c r="C828"/>
      <c r="E828" s="26"/>
      <c r="F828" s="24"/>
      <c r="G828" s="24"/>
      <c r="H828" s="24"/>
      <c r="I828" s="24"/>
      <c r="J828" s="29"/>
    </row>
    <row r="829" spans="1:10" ht="12.75" x14ac:dyDescent="0.2">
      <c r="A829"/>
      <c r="B829" s="42"/>
      <c r="C829"/>
      <c r="E829" s="26"/>
      <c r="F829" s="24"/>
      <c r="G829" s="24"/>
      <c r="H829" s="24"/>
      <c r="I829" s="24"/>
      <c r="J829" s="29"/>
    </row>
    <row r="830" spans="1:10" ht="12.75" x14ac:dyDescent="0.2">
      <c r="A830"/>
      <c r="B830" s="42"/>
      <c r="C830"/>
      <c r="E830" s="26"/>
      <c r="F830" s="24"/>
      <c r="G830" s="24"/>
      <c r="H830" s="24"/>
      <c r="I830" s="24"/>
      <c r="J830" s="29"/>
    </row>
    <row r="831" spans="1:10" ht="12.75" x14ac:dyDescent="0.2">
      <c r="A831"/>
      <c r="B831" s="42"/>
      <c r="C831"/>
      <c r="E831" s="26"/>
      <c r="F831" s="24"/>
      <c r="G831" s="24"/>
      <c r="H831" s="24"/>
      <c r="I831" s="24"/>
      <c r="J831" s="29"/>
    </row>
    <row r="832" spans="1:10" ht="12.75" x14ac:dyDescent="0.2">
      <c r="A832"/>
      <c r="B832" s="42"/>
      <c r="C832"/>
      <c r="E832" s="26"/>
      <c r="F832" s="24"/>
      <c r="G832" s="24"/>
      <c r="H832" s="24"/>
      <c r="I832" s="24"/>
      <c r="J832" s="29"/>
    </row>
    <row r="833" spans="1:10" ht="12.75" x14ac:dyDescent="0.2">
      <c r="A833"/>
      <c r="B833" s="42"/>
      <c r="C833"/>
      <c r="E833" s="26"/>
      <c r="F833" s="24"/>
      <c r="G833" s="24"/>
      <c r="H833" s="24"/>
      <c r="I833" s="24"/>
      <c r="J833" s="29"/>
    </row>
    <row r="834" spans="1:10" ht="12.75" x14ac:dyDescent="0.2">
      <c r="A834"/>
      <c r="B834" s="42"/>
      <c r="C834"/>
      <c r="E834" s="26"/>
      <c r="F834" s="24"/>
      <c r="G834" s="24"/>
      <c r="H834" s="24"/>
      <c r="I834" s="24"/>
      <c r="J834" s="29"/>
    </row>
    <row r="835" spans="1:10" ht="12.75" x14ac:dyDescent="0.2">
      <c r="A835"/>
      <c r="B835" s="42"/>
      <c r="C835"/>
      <c r="E835" s="26"/>
      <c r="F835" s="24"/>
      <c r="G835" s="24"/>
      <c r="H835" s="24"/>
      <c r="I835" s="24"/>
      <c r="J835" s="29"/>
    </row>
  </sheetData>
  <sheetProtection selectLockedCells="1" selectUnlockedCells="1"/>
  <autoFilter ref="A2:C9" xr:uid="{00000000-0009-0000-0000-000000000000}"/>
  <conditionalFormatting sqref="A3:A9">
    <cfRule type="duplicateValues" dxfId="0" priority="2"/>
  </conditionalFormatting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5BD6-8AC4-43C4-ABA8-E4F62BF27A0B}">
  <dimension ref="A1:P30"/>
  <sheetViews>
    <sheetView workbookViewId="0"/>
  </sheetViews>
  <sheetFormatPr defaultRowHeight="15" x14ac:dyDescent="0.25"/>
  <cols>
    <col min="1" max="1" width="14.140625" style="35" bestFit="1" customWidth="1"/>
    <col min="2" max="2" width="13.7109375" style="35" bestFit="1" customWidth="1"/>
    <col min="3" max="4" width="18.5703125" style="35" bestFit="1" customWidth="1"/>
    <col min="5" max="5" width="64" style="4" bestFit="1" customWidth="1"/>
    <col min="6" max="6" width="15.28515625" style="35" bestFit="1" customWidth="1"/>
    <col min="7" max="7" width="15.85546875" style="35" bestFit="1" customWidth="1"/>
    <col min="8" max="8" width="39.28515625" style="35" bestFit="1" customWidth="1"/>
    <col min="9" max="9" width="60.28515625" style="14" bestFit="1" customWidth="1"/>
    <col min="10" max="10" width="28" style="35" bestFit="1" customWidth="1"/>
    <col min="11" max="11" width="22.42578125" style="35" bestFit="1" customWidth="1"/>
    <col min="12" max="12" width="15.42578125" style="43" bestFit="1" customWidth="1"/>
    <col min="13" max="14" width="10.7109375" style="43" customWidth="1"/>
    <col min="15" max="15" width="87.85546875" style="14" bestFit="1" customWidth="1"/>
    <col min="16" max="16" width="21.42578125" style="54" bestFit="1" customWidth="1"/>
    <col min="17" max="16384" width="9.140625" style="4"/>
  </cols>
  <sheetData>
    <row r="1" spans="1:16" ht="214.5" x14ac:dyDescent="0.25">
      <c r="A1" s="36" t="s">
        <v>25</v>
      </c>
      <c r="B1" s="36" t="s">
        <v>10</v>
      </c>
      <c r="C1" s="36" t="s">
        <v>26</v>
      </c>
      <c r="D1" s="36" t="s">
        <v>27</v>
      </c>
      <c r="E1" s="37" t="s">
        <v>34</v>
      </c>
      <c r="F1" s="36" t="s">
        <v>28</v>
      </c>
      <c r="G1" s="36" t="s">
        <v>9</v>
      </c>
      <c r="H1" s="36" t="s">
        <v>29</v>
      </c>
      <c r="I1" s="37" t="s">
        <v>35</v>
      </c>
      <c r="J1" s="36" t="s">
        <v>36</v>
      </c>
      <c r="K1" s="36" t="s">
        <v>37</v>
      </c>
      <c r="L1" s="3" t="s">
        <v>40</v>
      </c>
      <c r="M1" s="3" t="s">
        <v>39</v>
      </c>
      <c r="N1" s="3" t="s">
        <v>38</v>
      </c>
      <c r="O1" s="37" t="s">
        <v>59</v>
      </c>
      <c r="P1" s="55" t="s">
        <v>61</v>
      </c>
    </row>
    <row r="2" spans="1:16" x14ac:dyDescent="0.25">
      <c r="A2" s="38" t="s">
        <v>196</v>
      </c>
      <c r="B2" s="38" t="s">
        <v>197</v>
      </c>
      <c r="C2" s="38" t="s">
        <v>198</v>
      </c>
      <c r="D2" s="38"/>
      <c r="F2" s="35" t="s">
        <v>200</v>
      </c>
      <c r="G2" s="35" t="s">
        <v>200</v>
      </c>
      <c r="H2" s="35" t="s">
        <v>326</v>
      </c>
      <c r="J2" s="35" t="s">
        <v>62</v>
      </c>
      <c r="K2" s="35" t="s">
        <v>63</v>
      </c>
      <c r="L2" s="43" t="s">
        <v>64</v>
      </c>
      <c r="M2" s="43" t="s">
        <v>65</v>
      </c>
      <c r="N2" s="43" t="s">
        <v>66</v>
      </c>
      <c r="P2" s="54" t="str" cm="1">
        <f t="array" aca="1" ref="P2" ca="1">_xlfn.LET(
_xlpm.linhas, COUNTA( B:B ),
_xlpm.array_matr, INDIRECT( "A2:A" &amp; _xlpm.linhas ),
_xlpm.array_qde, COUNTIF( _xlpm.array_matr, _xlpm.array_matr ),
_xlpm.filtrado, _xlfn._xlws.FILTER( _xlpm.array_matr, _xlpm.array_qde &gt; 1, "" ),
_xlfn.UNIQUE( _xlpm.filtrado )
)</f>
        <v/>
      </c>
    </row>
    <row r="3" spans="1:16" x14ac:dyDescent="0.25">
      <c r="A3" s="38" t="s">
        <v>199</v>
      </c>
      <c r="B3" s="38" t="s">
        <v>200</v>
      </c>
      <c r="C3" s="38" t="s">
        <v>201</v>
      </c>
      <c r="D3" s="38"/>
      <c r="F3" s="35" t="s">
        <v>239</v>
      </c>
      <c r="G3" s="35" t="s">
        <v>239</v>
      </c>
      <c r="H3" s="35" t="s">
        <v>327</v>
      </c>
      <c r="J3" s="35" t="s">
        <v>67</v>
      </c>
      <c r="K3" s="35" t="s">
        <v>68</v>
      </c>
      <c r="L3" s="43" t="s">
        <v>64</v>
      </c>
      <c r="M3" s="43" t="s">
        <v>69</v>
      </c>
      <c r="N3" s="43" t="s">
        <v>70</v>
      </c>
    </row>
    <row r="4" spans="1:16" x14ac:dyDescent="0.25">
      <c r="A4" s="35" t="s">
        <v>202</v>
      </c>
      <c r="B4" s="35" t="s">
        <v>203</v>
      </c>
      <c r="C4" s="35" t="s">
        <v>204</v>
      </c>
      <c r="F4" s="35" t="s">
        <v>299</v>
      </c>
      <c r="G4" s="35" t="s">
        <v>299</v>
      </c>
      <c r="H4" s="35" t="s">
        <v>328</v>
      </c>
      <c r="J4" s="35" t="s">
        <v>71</v>
      </c>
      <c r="K4" s="35" t="s">
        <v>72</v>
      </c>
      <c r="L4" s="43" t="s">
        <v>64</v>
      </c>
      <c r="M4" s="43" t="s">
        <v>69</v>
      </c>
      <c r="N4" s="43" t="s">
        <v>73</v>
      </c>
    </row>
    <row r="5" spans="1:16" x14ac:dyDescent="0.25">
      <c r="A5" s="35" t="s">
        <v>205</v>
      </c>
      <c r="B5" s="35" t="s">
        <v>206</v>
      </c>
      <c r="C5" s="35" t="s">
        <v>207</v>
      </c>
      <c r="D5" s="35" t="s">
        <v>208</v>
      </c>
      <c r="F5" s="35" t="s">
        <v>302</v>
      </c>
      <c r="G5" s="35" t="s">
        <v>302</v>
      </c>
      <c r="H5" s="35" t="s">
        <v>329</v>
      </c>
      <c r="J5" s="35" t="s">
        <v>74</v>
      </c>
      <c r="K5" s="35" t="s">
        <v>75</v>
      </c>
      <c r="L5" s="43" t="s">
        <v>64</v>
      </c>
      <c r="M5" s="43" t="s">
        <v>69</v>
      </c>
      <c r="N5" s="43" t="s">
        <v>76</v>
      </c>
    </row>
    <row r="6" spans="1:16" x14ac:dyDescent="0.25">
      <c r="A6" s="35" t="s">
        <v>209</v>
      </c>
      <c r="B6" s="35" t="s">
        <v>210</v>
      </c>
      <c r="C6" s="35" t="s">
        <v>211</v>
      </c>
      <c r="D6" s="35" t="s">
        <v>212</v>
      </c>
      <c r="F6" s="35" t="s">
        <v>303</v>
      </c>
      <c r="G6" s="35" t="s">
        <v>303</v>
      </c>
      <c r="H6" s="35" t="s">
        <v>330</v>
      </c>
      <c r="J6" s="35" t="s">
        <v>77</v>
      </c>
      <c r="K6" s="35" t="s">
        <v>78</v>
      </c>
      <c r="L6" s="43" t="s">
        <v>64</v>
      </c>
      <c r="M6" s="43" t="s">
        <v>69</v>
      </c>
      <c r="N6" s="43" t="s">
        <v>79</v>
      </c>
    </row>
    <row r="7" spans="1:16" x14ac:dyDescent="0.25">
      <c r="A7" s="35" t="s">
        <v>213</v>
      </c>
      <c r="B7" s="35" t="s">
        <v>214</v>
      </c>
      <c r="C7" s="35" t="s">
        <v>215</v>
      </c>
      <c r="D7" s="35" t="s">
        <v>216</v>
      </c>
      <c r="F7" s="35" t="s">
        <v>304</v>
      </c>
      <c r="G7" s="35" t="s">
        <v>304</v>
      </c>
      <c r="H7" s="35" t="s">
        <v>331</v>
      </c>
      <c r="J7" s="35" t="s">
        <v>80</v>
      </c>
      <c r="K7" s="35" t="s">
        <v>81</v>
      </c>
      <c r="L7" s="43" t="s">
        <v>64</v>
      </c>
      <c r="M7" s="43" t="s">
        <v>69</v>
      </c>
      <c r="N7" s="43" t="s">
        <v>82</v>
      </c>
    </row>
    <row r="8" spans="1:16" x14ac:dyDescent="0.25">
      <c r="A8" s="35" t="s">
        <v>217</v>
      </c>
      <c r="B8" s="35" t="s">
        <v>218</v>
      </c>
      <c r="C8" s="35" t="s">
        <v>215</v>
      </c>
      <c r="D8" s="35" t="s">
        <v>216</v>
      </c>
      <c r="F8" s="35" t="s">
        <v>305</v>
      </c>
      <c r="G8" s="35" t="s">
        <v>305</v>
      </c>
      <c r="H8" s="35" t="s">
        <v>332</v>
      </c>
      <c r="J8" s="35" t="s">
        <v>83</v>
      </c>
      <c r="K8" s="35" t="s">
        <v>84</v>
      </c>
      <c r="L8" s="43" t="s">
        <v>64</v>
      </c>
      <c r="M8" s="43" t="s">
        <v>85</v>
      </c>
      <c r="N8" s="43" t="s">
        <v>86</v>
      </c>
    </row>
    <row r="9" spans="1:16" x14ac:dyDescent="0.25">
      <c r="A9" s="35" t="s">
        <v>219</v>
      </c>
      <c r="B9" s="35" t="s">
        <v>220</v>
      </c>
      <c r="C9" s="35" t="s">
        <v>221</v>
      </c>
      <c r="D9" s="35" t="s">
        <v>222</v>
      </c>
      <c r="F9" s="35" t="s">
        <v>306</v>
      </c>
      <c r="G9" s="35" t="s">
        <v>306</v>
      </c>
      <c r="H9" s="35" t="s">
        <v>333</v>
      </c>
      <c r="J9" s="35" t="s">
        <v>87</v>
      </c>
      <c r="K9" s="35" t="s">
        <v>88</v>
      </c>
      <c r="L9" s="43" t="s">
        <v>64</v>
      </c>
      <c r="M9" s="43" t="s">
        <v>89</v>
      </c>
      <c r="N9" s="43" t="s">
        <v>90</v>
      </c>
    </row>
    <row r="10" spans="1:16" x14ac:dyDescent="0.25">
      <c r="A10" s="35" t="s">
        <v>223</v>
      </c>
      <c r="B10" s="35" t="s">
        <v>224</v>
      </c>
      <c r="C10" s="35" t="s">
        <v>225</v>
      </c>
      <c r="D10" s="35" t="s">
        <v>226</v>
      </c>
      <c r="F10" s="35" t="s">
        <v>307</v>
      </c>
      <c r="G10" s="35" t="s">
        <v>307</v>
      </c>
      <c r="H10" s="35" t="s">
        <v>334</v>
      </c>
      <c r="J10" s="35" t="s">
        <v>91</v>
      </c>
      <c r="K10" s="35" t="s">
        <v>92</v>
      </c>
      <c r="L10" s="43" t="s">
        <v>64</v>
      </c>
      <c r="M10" s="43" t="s">
        <v>89</v>
      </c>
      <c r="N10" s="43" t="s">
        <v>93</v>
      </c>
    </row>
    <row r="11" spans="1:16" x14ac:dyDescent="0.25">
      <c r="A11" s="35" t="s">
        <v>227</v>
      </c>
      <c r="B11" s="35" t="s">
        <v>228</v>
      </c>
      <c r="C11" s="35" t="s">
        <v>229</v>
      </c>
      <c r="D11" s="35" t="s">
        <v>230</v>
      </c>
      <c r="F11" s="35" t="s">
        <v>308</v>
      </c>
      <c r="G11" s="35" t="s">
        <v>308</v>
      </c>
      <c r="H11" s="35" t="s">
        <v>335</v>
      </c>
      <c r="J11" s="35" t="s">
        <v>94</v>
      </c>
      <c r="K11" s="35" t="s">
        <v>95</v>
      </c>
      <c r="L11" s="43" t="s">
        <v>64</v>
      </c>
      <c r="M11" s="43" t="s">
        <v>96</v>
      </c>
      <c r="N11" s="43" t="s">
        <v>97</v>
      </c>
    </row>
    <row r="12" spans="1:16" x14ac:dyDescent="0.25">
      <c r="A12" s="35" t="s">
        <v>231</v>
      </c>
      <c r="B12" s="35" t="s">
        <v>232</v>
      </c>
      <c r="C12" s="35" t="s">
        <v>233</v>
      </c>
      <c r="D12" s="35" t="s">
        <v>234</v>
      </c>
      <c r="F12" s="35" t="s">
        <v>309</v>
      </c>
      <c r="G12" s="35" t="s">
        <v>309</v>
      </c>
      <c r="H12" s="35" t="s">
        <v>336</v>
      </c>
      <c r="J12" s="35" t="s">
        <v>98</v>
      </c>
      <c r="K12" s="35" t="s">
        <v>99</v>
      </c>
      <c r="L12" s="43" t="s">
        <v>64</v>
      </c>
      <c r="M12" s="43" t="s">
        <v>100</v>
      </c>
      <c r="N12" s="43" t="s">
        <v>101</v>
      </c>
    </row>
    <row r="13" spans="1:16" x14ac:dyDescent="0.25">
      <c r="A13" s="35" t="s">
        <v>235</v>
      </c>
      <c r="B13" s="35" t="s">
        <v>236</v>
      </c>
      <c r="C13" s="35" t="s">
        <v>237</v>
      </c>
      <c r="F13" s="35" t="s">
        <v>310</v>
      </c>
      <c r="G13" s="35" t="s">
        <v>310</v>
      </c>
      <c r="H13" s="35" t="s">
        <v>337</v>
      </c>
      <c r="J13" s="35" t="s">
        <v>102</v>
      </c>
      <c r="K13" s="35" t="s">
        <v>103</v>
      </c>
      <c r="L13" s="43" t="s">
        <v>64</v>
      </c>
      <c r="M13" s="43" t="s">
        <v>104</v>
      </c>
      <c r="N13" s="43" t="s">
        <v>105</v>
      </c>
    </row>
    <row r="14" spans="1:16" x14ac:dyDescent="0.25">
      <c r="A14" s="35" t="s">
        <v>238</v>
      </c>
      <c r="B14" s="35" t="s">
        <v>239</v>
      </c>
      <c r="C14" s="35" t="s">
        <v>240</v>
      </c>
      <c r="D14" s="35" t="s">
        <v>241</v>
      </c>
      <c r="F14" s="35" t="s">
        <v>311</v>
      </c>
      <c r="G14" s="35" t="s">
        <v>311</v>
      </c>
      <c r="H14" s="35" t="s">
        <v>338</v>
      </c>
      <c r="J14" s="35" t="s">
        <v>106</v>
      </c>
      <c r="K14" s="35" t="s">
        <v>107</v>
      </c>
      <c r="L14" s="43" t="s">
        <v>64</v>
      </c>
      <c r="M14" s="43" t="s">
        <v>104</v>
      </c>
      <c r="N14" s="43" t="s">
        <v>108</v>
      </c>
    </row>
    <row r="15" spans="1:16" x14ac:dyDescent="0.25">
      <c r="A15" s="35" t="s">
        <v>242</v>
      </c>
      <c r="B15" s="35" t="s">
        <v>243</v>
      </c>
      <c r="C15" s="35" t="s">
        <v>244</v>
      </c>
      <c r="D15" s="35" t="s">
        <v>245</v>
      </c>
      <c r="F15" s="35" t="s">
        <v>300</v>
      </c>
      <c r="G15" s="35" t="s">
        <v>300</v>
      </c>
      <c r="H15" s="35" t="s">
        <v>339</v>
      </c>
      <c r="J15" s="35" t="s">
        <v>109</v>
      </c>
      <c r="K15" s="35" t="s">
        <v>110</v>
      </c>
      <c r="L15" s="43" t="s">
        <v>64</v>
      </c>
      <c r="M15" s="43" t="s">
        <v>111</v>
      </c>
      <c r="N15" s="43" t="s">
        <v>112</v>
      </c>
    </row>
    <row r="16" spans="1:16" x14ac:dyDescent="0.25">
      <c r="A16" s="35" t="s">
        <v>246</v>
      </c>
      <c r="B16" s="35" t="s">
        <v>247</v>
      </c>
      <c r="C16" s="35" t="s">
        <v>248</v>
      </c>
      <c r="D16" s="35" t="s">
        <v>249</v>
      </c>
      <c r="F16" s="35" t="s">
        <v>312</v>
      </c>
      <c r="G16" s="35" t="s">
        <v>312</v>
      </c>
      <c r="H16" s="35" t="s">
        <v>340</v>
      </c>
      <c r="J16" s="35" t="s">
        <v>113</v>
      </c>
      <c r="K16" s="35" t="s">
        <v>114</v>
      </c>
      <c r="L16" s="43" t="s">
        <v>64</v>
      </c>
      <c r="M16" s="43" t="s">
        <v>115</v>
      </c>
      <c r="N16" s="43" t="s">
        <v>116</v>
      </c>
    </row>
    <row r="17" spans="1:14" x14ac:dyDescent="0.25">
      <c r="A17" s="35" t="s">
        <v>250</v>
      </c>
      <c r="B17" s="35" t="s">
        <v>251</v>
      </c>
      <c r="C17" s="35" t="s">
        <v>248</v>
      </c>
      <c r="D17" s="35" t="s">
        <v>249</v>
      </c>
      <c r="F17" s="35" t="s">
        <v>313</v>
      </c>
      <c r="G17" s="35" t="s">
        <v>313</v>
      </c>
      <c r="H17" s="35" t="s">
        <v>341</v>
      </c>
      <c r="J17" s="35" t="s">
        <v>117</v>
      </c>
      <c r="K17" s="35" t="s">
        <v>118</v>
      </c>
      <c r="L17" s="43" t="s">
        <v>64</v>
      </c>
      <c r="M17" s="43" t="s">
        <v>119</v>
      </c>
      <c r="N17" s="43" t="s">
        <v>120</v>
      </c>
    </row>
    <row r="18" spans="1:14" x14ac:dyDescent="0.25">
      <c r="A18" s="35" t="s">
        <v>252</v>
      </c>
      <c r="B18" s="35" t="s">
        <v>253</v>
      </c>
      <c r="C18" s="35" t="s">
        <v>254</v>
      </c>
      <c r="D18" s="35" t="s">
        <v>255</v>
      </c>
      <c r="F18" s="35" t="s">
        <v>314</v>
      </c>
      <c r="G18" s="35" t="s">
        <v>314</v>
      </c>
      <c r="H18" s="35" t="s">
        <v>342</v>
      </c>
      <c r="J18" s="35" t="s">
        <v>121</v>
      </c>
      <c r="K18" s="35" t="s">
        <v>122</v>
      </c>
      <c r="L18" s="43" t="s">
        <v>64</v>
      </c>
      <c r="M18" s="43" t="s">
        <v>123</v>
      </c>
      <c r="N18" s="43" t="s">
        <v>124</v>
      </c>
    </row>
    <row r="19" spans="1:14" x14ac:dyDescent="0.25">
      <c r="A19" s="35" t="s">
        <v>256</v>
      </c>
      <c r="B19" s="35" t="s">
        <v>257</v>
      </c>
      <c r="C19" s="35" t="s">
        <v>258</v>
      </c>
      <c r="D19" s="35" t="s">
        <v>259</v>
      </c>
      <c r="F19" s="35" t="s">
        <v>315</v>
      </c>
      <c r="G19" s="35" t="s">
        <v>315</v>
      </c>
      <c r="H19" s="35" t="s">
        <v>343</v>
      </c>
      <c r="J19" s="35" t="s">
        <v>125</v>
      </c>
      <c r="K19" s="35" t="s">
        <v>126</v>
      </c>
      <c r="L19" s="43" t="s">
        <v>64</v>
      </c>
      <c r="M19" s="43" t="s">
        <v>127</v>
      </c>
      <c r="N19" s="43" t="s">
        <v>128</v>
      </c>
    </row>
    <row r="20" spans="1:14" x14ac:dyDescent="0.25">
      <c r="A20" s="35" t="s">
        <v>260</v>
      </c>
      <c r="B20" s="35" t="s">
        <v>261</v>
      </c>
      <c r="C20" s="35" t="s">
        <v>262</v>
      </c>
      <c r="D20" s="35" t="s">
        <v>263</v>
      </c>
      <c r="F20" s="35" t="s">
        <v>316</v>
      </c>
      <c r="G20" s="35" t="s">
        <v>316</v>
      </c>
      <c r="H20" s="35" t="s">
        <v>344</v>
      </c>
      <c r="J20" s="35" t="s">
        <v>129</v>
      </c>
      <c r="K20" s="35" t="s">
        <v>130</v>
      </c>
      <c r="L20" s="43" t="s">
        <v>64</v>
      </c>
      <c r="M20" s="43" t="s">
        <v>127</v>
      </c>
      <c r="N20" s="43" t="s">
        <v>131</v>
      </c>
    </row>
    <row r="21" spans="1:14" x14ac:dyDescent="0.25">
      <c r="A21" s="35" t="s">
        <v>264</v>
      </c>
      <c r="B21" s="35" t="s">
        <v>265</v>
      </c>
      <c r="C21" s="35" t="s">
        <v>266</v>
      </c>
      <c r="D21" s="35" t="s">
        <v>267</v>
      </c>
      <c r="F21" s="35" t="s">
        <v>317</v>
      </c>
      <c r="G21" s="35" t="s">
        <v>317</v>
      </c>
      <c r="H21" s="35" t="s">
        <v>345</v>
      </c>
      <c r="J21" s="35" t="s">
        <v>132</v>
      </c>
      <c r="K21" s="35" t="s">
        <v>133</v>
      </c>
      <c r="L21" s="43" t="s">
        <v>64</v>
      </c>
      <c r="M21" s="43" t="s">
        <v>134</v>
      </c>
      <c r="N21" s="43" t="s">
        <v>135</v>
      </c>
    </row>
    <row r="22" spans="1:14" x14ac:dyDescent="0.25">
      <c r="A22" s="35" t="s">
        <v>268</v>
      </c>
      <c r="B22" s="35" t="s">
        <v>269</v>
      </c>
      <c r="C22" s="35" t="s">
        <v>270</v>
      </c>
      <c r="D22" s="35" t="s">
        <v>271</v>
      </c>
      <c r="F22" s="35" t="s">
        <v>318</v>
      </c>
      <c r="G22" s="35" t="s">
        <v>318</v>
      </c>
      <c r="H22" s="35" t="s">
        <v>346</v>
      </c>
      <c r="J22" s="35" t="s">
        <v>136</v>
      </c>
      <c r="K22" s="35" t="s">
        <v>137</v>
      </c>
      <c r="L22" s="43" t="s">
        <v>64</v>
      </c>
      <c r="M22" s="43" t="s">
        <v>138</v>
      </c>
      <c r="N22" s="43" t="s">
        <v>139</v>
      </c>
    </row>
    <row r="23" spans="1:14" x14ac:dyDescent="0.25">
      <c r="A23" s="35" t="s">
        <v>272</v>
      </c>
      <c r="B23" s="35" t="s">
        <v>273</v>
      </c>
      <c r="C23" s="35" t="s">
        <v>274</v>
      </c>
      <c r="D23" s="35" t="s">
        <v>275</v>
      </c>
      <c r="F23" s="35" t="s">
        <v>319</v>
      </c>
      <c r="G23" s="35" t="s">
        <v>319</v>
      </c>
      <c r="H23" s="35" t="s">
        <v>347</v>
      </c>
      <c r="J23" s="35" t="s">
        <v>140</v>
      </c>
      <c r="K23" s="35" t="s">
        <v>141</v>
      </c>
      <c r="L23" s="43" t="s">
        <v>64</v>
      </c>
      <c r="M23" s="43" t="s">
        <v>142</v>
      </c>
      <c r="N23" s="43" t="s">
        <v>143</v>
      </c>
    </row>
    <row r="24" spans="1:14" x14ac:dyDescent="0.25">
      <c r="A24" s="35" t="s">
        <v>276</v>
      </c>
      <c r="B24" s="35" t="s">
        <v>277</v>
      </c>
      <c r="C24" s="35" t="s">
        <v>274</v>
      </c>
      <c r="D24" s="35" t="s">
        <v>278</v>
      </c>
      <c r="F24" s="35" t="s">
        <v>320</v>
      </c>
      <c r="G24" s="35" t="s">
        <v>320</v>
      </c>
      <c r="H24" s="35" t="s">
        <v>348</v>
      </c>
      <c r="J24" s="35" t="s">
        <v>144</v>
      </c>
      <c r="K24" s="35" t="s">
        <v>145</v>
      </c>
      <c r="L24" s="43" t="s">
        <v>64</v>
      </c>
      <c r="M24" s="43" t="s">
        <v>146</v>
      </c>
      <c r="N24" s="43" t="s">
        <v>147</v>
      </c>
    </row>
    <row r="25" spans="1:14" x14ac:dyDescent="0.25">
      <c r="A25" s="35" t="s">
        <v>279</v>
      </c>
      <c r="B25" s="35" t="s">
        <v>280</v>
      </c>
      <c r="C25" s="35" t="s">
        <v>281</v>
      </c>
      <c r="D25" s="35" t="s">
        <v>282</v>
      </c>
      <c r="F25" s="35" t="s">
        <v>321</v>
      </c>
      <c r="G25" s="35" t="s">
        <v>321</v>
      </c>
      <c r="H25" s="35" t="s">
        <v>349</v>
      </c>
      <c r="J25" s="35" t="s">
        <v>148</v>
      </c>
      <c r="K25" s="35" t="s">
        <v>149</v>
      </c>
      <c r="L25" s="43" t="s">
        <v>64</v>
      </c>
      <c r="M25" s="43" t="s">
        <v>150</v>
      </c>
      <c r="N25" s="43" t="s">
        <v>151</v>
      </c>
    </row>
    <row r="26" spans="1:14" x14ac:dyDescent="0.25">
      <c r="A26" s="35" t="s">
        <v>283</v>
      </c>
      <c r="B26" s="35" t="s">
        <v>284</v>
      </c>
      <c r="C26" s="35" t="s">
        <v>285</v>
      </c>
      <c r="D26" s="35" t="s">
        <v>259</v>
      </c>
      <c r="F26" s="35" t="s">
        <v>301</v>
      </c>
      <c r="G26" s="35" t="s">
        <v>301</v>
      </c>
      <c r="H26" s="35" t="s">
        <v>350</v>
      </c>
      <c r="J26" s="35" t="s">
        <v>152</v>
      </c>
      <c r="K26" s="35" t="s">
        <v>153</v>
      </c>
      <c r="L26" s="43" t="s">
        <v>64</v>
      </c>
      <c r="M26" s="43" t="s">
        <v>154</v>
      </c>
      <c r="N26" s="43" t="s">
        <v>155</v>
      </c>
    </row>
    <row r="27" spans="1:14" x14ac:dyDescent="0.25">
      <c r="A27" s="35" t="s">
        <v>286</v>
      </c>
      <c r="B27" s="35" t="s">
        <v>287</v>
      </c>
      <c r="C27" s="35" t="s">
        <v>288</v>
      </c>
      <c r="D27" s="35" t="s">
        <v>289</v>
      </c>
      <c r="F27" s="35" t="s">
        <v>322</v>
      </c>
      <c r="G27" s="35" t="s">
        <v>322</v>
      </c>
      <c r="H27" s="35" t="s">
        <v>351</v>
      </c>
      <c r="J27" s="35" t="s">
        <v>156</v>
      </c>
      <c r="K27" s="35" t="s">
        <v>157</v>
      </c>
      <c r="L27" s="43" t="s">
        <v>64</v>
      </c>
      <c r="M27" s="43" t="s">
        <v>154</v>
      </c>
      <c r="N27" s="43" t="s">
        <v>158</v>
      </c>
    </row>
    <row r="28" spans="1:14" x14ac:dyDescent="0.25">
      <c r="A28" s="35" t="s">
        <v>290</v>
      </c>
      <c r="B28" s="35" t="s">
        <v>291</v>
      </c>
      <c r="C28" s="35" t="s">
        <v>288</v>
      </c>
      <c r="D28" s="35" t="s">
        <v>292</v>
      </c>
      <c r="F28" s="35" t="s">
        <v>323</v>
      </c>
      <c r="G28" s="35" t="s">
        <v>323</v>
      </c>
      <c r="H28" s="35" t="s">
        <v>352</v>
      </c>
      <c r="J28" s="35" t="s">
        <v>159</v>
      </c>
      <c r="K28" s="35" t="s">
        <v>160</v>
      </c>
      <c r="L28" s="43" t="s">
        <v>64</v>
      </c>
      <c r="M28" s="43" t="s">
        <v>161</v>
      </c>
      <c r="N28" s="43" t="s">
        <v>162</v>
      </c>
    </row>
    <row r="29" spans="1:14" x14ac:dyDescent="0.25">
      <c r="A29" s="35" t="s">
        <v>293</v>
      </c>
      <c r="B29" s="35" t="s">
        <v>294</v>
      </c>
      <c r="C29" s="35" t="s">
        <v>295</v>
      </c>
      <c r="D29" s="35" t="s">
        <v>296</v>
      </c>
      <c r="F29" s="35" t="s">
        <v>324</v>
      </c>
      <c r="G29" s="35" t="s">
        <v>324</v>
      </c>
      <c r="H29" s="35" t="s">
        <v>353</v>
      </c>
      <c r="J29" s="35" t="s">
        <v>163</v>
      </c>
      <c r="K29" s="35" t="s">
        <v>164</v>
      </c>
      <c r="L29" s="43" t="s">
        <v>64</v>
      </c>
      <c r="M29" s="43" t="s">
        <v>165</v>
      </c>
      <c r="N29" s="43" t="s">
        <v>166</v>
      </c>
    </row>
    <row r="30" spans="1:14" x14ac:dyDescent="0.25">
      <c r="A30" s="35" t="s">
        <v>297</v>
      </c>
      <c r="B30" s="35" t="s">
        <v>298</v>
      </c>
      <c r="C30" s="35" t="s">
        <v>288</v>
      </c>
      <c r="D30" s="35" t="s">
        <v>234</v>
      </c>
      <c r="F30" s="35" t="s">
        <v>325</v>
      </c>
      <c r="G30" s="35" t="s">
        <v>325</v>
      </c>
      <c r="H30" s="35" t="s">
        <v>354</v>
      </c>
      <c r="J30" s="35" t="s">
        <v>167</v>
      </c>
      <c r="K30" s="35" t="s">
        <v>168</v>
      </c>
      <c r="L30" s="43" t="s">
        <v>64</v>
      </c>
      <c r="M30" s="43" t="s">
        <v>169</v>
      </c>
      <c r="N30" s="43" t="s">
        <v>170</v>
      </c>
    </row>
  </sheetData>
  <autoFilter ref="J1:N4" xr:uid="{F2795BD6-8AC4-43C4-ABA8-E4F62BF27A0B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Dados</vt:lpstr>
      <vt:lpstr>Base</vt:lpstr>
      <vt:lpstr>Dados!Excel_BuiltIn__FilterDatabase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Pickbrenner</cp:lastModifiedBy>
  <dcterms:created xsi:type="dcterms:W3CDTF">2022-07-17T12:24:06Z</dcterms:created>
  <dcterms:modified xsi:type="dcterms:W3CDTF">2026-07-07T19:07:16Z</dcterms:modified>
</cp:coreProperties>
</file>