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https://d.docs.live.net/011e3a717f9713d1/Migração v2/Ferramentas de migração/Gerador Scripts/"/>
    </mc:Choice>
  </mc:AlternateContent>
  <xr:revisionPtr revIDLastSave="393" documentId="8_{6C15CFF0-FAEC-4607-BFB3-524A65B79306}" xr6:coauthVersionLast="47" xr6:coauthVersionMax="47" xr10:uidLastSave="{955DAA2F-B904-4C49-8DB8-C687A546E2C0}"/>
  <bookViews>
    <workbookView minimized="1" xWindow="29625" yWindow="3870" windowWidth="17280" windowHeight="8880" xr2:uid="{0DB5D803-1FF4-4D8B-BFDE-668FF725612A}"/>
  </bookViews>
  <sheets>
    <sheet name="Dados" sheetId="1" r:id="rId1"/>
    <sheet name="Base" sheetId="2" r:id="rId2"/>
    <sheet name="prototipo 3" sheetId="3" r:id="rId3"/>
  </sheets>
  <definedNames>
    <definedName name="_xlnm._FilterDatabase" localSheetId="1" hidden="1">Base!$N$1:$P$1</definedName>
    <definedName name="_xlnm._FilterDatabase" localSheetId="0" hidden="1">Dados!$A$2:$CD$29</definedName>
    <definedName name="AUX_TROCAR">_xlfn.LAMBDA(_xlpm.texto,_xlpm.de,_xlpm.para, IF( _xlpm.de = "", _xlpm.texto, AUX_TROCAR( SUBSTITUTE( _xlpm.texto, LEFT( _xlpm.de ), LEFT( _xlpm.para ) ), RIGHT( _xlpm.de, LEN( _xlpm.de ) - 1), RIGHT( _xlpm.para, LEN( _xlpm.para ) - 1 ) ) ) )</definedName>
    <definedName name="MIG_GERA.SCRIPT">_xlfn.LAMBDA(_xlpm.script,_xlpm.chaves,_xlpm.valores, _xlfn.LET( _xlpm.saida, _xlfn.REDUCE( _xlpm.script, _xlpm.chaves, _xlfn.LAMBDA(_xlpm.A,_xlpm.B, SUBSTITUTE( _xlpm.A, _xlpm.B, _xlfn.XLOOKUP( _xlpm.B, _xlpm.chaves, _xlpm.valores ) ) ) ), _xlpm.saida ) )</definedName>
    <definedName name="MIG_NORMA.DATA">_xlfn.LAMBDA(_xlpm.data, "'" &amp; TEXT( TRIM( _xlpm.data ), "DD/MM/AAAA" ) &amp; "'" )</definedName>
    <definedName name="MIG_NORMA.DECIMAL">_xlfn.LAMBDA(_xlpm.número, SUBSTITUTE( _xlpm.número, ",", ".") )</definedName>
    <definedName name="MIG_NORMA.NÚMERICO">_xlfn.LAMBDA(_xlpm.texto, _xlfn.CONCAT( IFERROR( -- MID( _xlpm.texto, _xlfn.SEQUENCE(LEN( _xlpm.texto ) ), 1 ), "" ) ) )</definedName>
    <definedName name="MIG_NORMA.TEXTO">_xlfn.LAMBDA(_xlpm.texto, "'" &amp; UPPER( TRIM( MIG_REMOVE.ESPECIAL( _xlpm.texto ) ) ) &amp; "'" )</definedName>
    <definedName name="MIG_QRY.CHAVES">_xlfn.LAMBDA(_xlpm.colunaPK,_xlpm.org,_xlpm.campo,_xlpm.tabela,_xlpm.offset, _xlfn.LET( _xlpm.menor, SMALL( _xlpm.colunaPK, _xlpm.offset ), _xlpm.maior, LARGE( _xlpm.colunaPK, 1 ), _xlpm.qde, _xlpm.maior - _xlpm.menor + 1, "/*" &amp; _xlpm.tabela &amp; "*/ SELECT A + 1 A, B - 1 B, B - A - 1 LENGHT, (SELECT TO_NUMBER(NRSEQUENCIAL) FROM NOVOCODIGO WHERE NRORG = " &amp; _xlpm.org &amp; " AND CDCONTADOR = '" &amp; _xlpm.tabela &amp; "') NOVOCODIGO FROM (SELECT 0 A, MIN(" &amp; _xlpm.campo &amp; ") B FROM " &amp; _xlpm.tabela &amp; " WHERE NRORG = " &amp; _xlpm.org &amp; " UNION ALL SELECT " &amp; _xlpm.campo &amp;", LEAD(" &amp; _xlpm.campo &amp; ") OVER (ORDER BY " &amp; _xlpm.campo &amp; ") FROM " &amp; _xlpm.tabela &amp; " WHERE NRORG = " &amp; _xlpm.org &amp; " ) WHERE B - A &gt; " &amp; _xlpm.qde &amp; " OR B IS NULL ORDER BY A;" ) )</definedName>
    <definedName name="MIG_REMOVE.ESPECIAL">_xlfn.LAMBDA(_xlpm.texto, AUX_TROCAR( _xlpm.texto, "áàâãäÁÀÂÃÄéèêëÉÈÊËíìîïÍÌÎÏóòôöÓÒÔÖúùûüÚÙÛÜçÇ&amp;'`´~^", "aaaaaAAAAAeeeeEEEEiiiiIIIIooooOOOOuuuuUUUUcC      " )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G7" i="1" l="1"/>
  <c r="D3" i="1"/>
  <c r="FG29" i="1"/>
  <c r="EZ29" i="1"/>
  <c r="EY29" i="1"/>
  <c r="EP29" i="1"/>
  <c r="EO29" i="1"/>
  <c r="EM29" i="1"/>
  <c r="EL29" i="1"/>
  <c r="EK29" i="1"/>
  <c r="EJ29" i="1"/>
  <c r="EI29" i="1"/>
  <c r="EH29" i="1"/>
  <c r="EG29" i="1"/>
  <c r="EF29" i="1"/>
  <c r="EE29" i="1"/>
  <c r="ED29" i="1"/>
  <c r="EC29" i="1"/>
  <c r="EB29" i="1"/>
  <c r="EA29" i="1"/>
  <c r="EN29" i="1" s="1"/>
  <c r="DZ29" i="1"/>
  <c r="DY29" i="1" a="1"/>
  <c r="DY29" i="1" s="1"/>
  <c r="DX29" i="1" a="1"/>
  <c r="DX29" i="1" s="1"/>
  <c r="DW29" i="1"/>
  <c r="DV29" i="1"/>
  <c r="DU29" i="1"/>
  <c r="DT29" i="1"/>
  <c r="DS29" i="1"/>
  <c r="DR29" i="1"/>
  <c r="DQ29" i="1"/>
  <c r="DP29" i="1"/>
  <c r="DO29" i="1"/>
  <c r="DN29" i="1"/>
  <c r="DM29" i="1"/>
  <c r="DL29" i="1"/>
  <c r="DK29" i="1"/>
  <c r="DJ29" i="1"/>
  <c r="DI29" i="1"/>
  <c r="DH29" i="1"/>
  <c r="DG29" i="1"/>
  <c r="DF29" i="1"/>
  <c r="FG28" i="1"/>
  <c r="EZ28" i="1"/>
  <c r="EY28" i="1"/>
  <c r="EP28" i="1"/>
  <c r="EO28" i="1"/>
  <c r="EM28" i="1"/>
  <c r="EL28" i="1"/>
  <c r="EK28" i="1"/>
  <c r="EJ28" i="1"/>
  <c r="EI28" i="1"/>
  <c r="EH28" i="1"/>
  <c r="EG28" i="1"/>
  <c r="EF28" i="1"/>
  <c r="EE28" i="1"/>
  <c r="ED28" i="1"/>
  <c r="EC28" i="1"/>
  <c r="EB28" i="1"/>
  <c r="EA28" i="1"/>
  <c r="EN28" i="1" s="1"/>
  <c r="DZ28" i="1"/>
  <c r="DY28" i="1" a="1"/>
  <c r="DY28" i="1" s="1"/>
  <c r="DX28" i="1" a="1"/>
  <c r="DX28" i="1" s="1"/>
  <c r="DW28" i="1"/>
  <c r="DV28" i="1"/>
  <c r="DU28" i="1"/>
  <c r="DT28" i="1"/>
  <c r="DS28" i="1"/>
  <c r="DR28" i="1"/>
  <c r="DQ28" i="1"/>
  <c r="DP28" i="1"/>
  <c r="DO28" i="1"/>
  <c r="DN28" i="1"/>
  <c r="DM28" i="1"/>
  <c r="DL28" i="1"/>
  <c r="DK28" i="1"/>
  <c r="DJ28" i="1"/>
  <c r="DI28" i="1"/>
  <c r="DH28" i="1"/>
  <c r="DG28" i="1"/>
  <c r="DF28" i="1"/>
  <c r="FG27" i="1"/>
  <c r="EZ27" i="1"/>
  <c r="EP27" i="1"/>
  <c r="EO27" i="1"/>
  <c r="EM27" i="1"/>
  <c r="EL27" i="1"/>
  <c r="EK27" i="1"/>
  <c r="EJ27" i="1"/>
  <c r="EI27" i="1"/>
  <c r="EH27" i="1"/>
  <c r="EG27" i="1"/>
  <c r="EF27" i="1"/>
  <c r="EE27" i="1"/>
  <c r="ED27" i="1"/>
  <c r="EC27" i="1"/>
  <c r="EB27" i="1"/>
  <c r="EA27" i="1"/>
  <c r="DZ27" i="1"/>
  <c r="DY27" i="1" a="1"/>
  <c r="DY27" i="1" s="1"/>
  <c r="DX27" i="1" a="1"/>
  <c r="DX27" i="1" s="1"/>
  <c r="DW27" i="1"/>
  <c r="DV27" i="1"/>
  <c r="DU27" i="1"/>
  <c r="DT27" i="1"/>
  <c r="DS27" i="1"/>
  <c r="DR27" i="1"/>
  <c r="DQ27" i="1"/>
  <c r="DP27" i="1"/>
  <c r="DO27" i="1"/>
  <c r="DN27" i="1"/>
  <c r="DM27" i="1"/>
  <c r="DL27" i="1"/>
  <c r="DK27" i="1"/>
  <c r="DJ27" i="1"/>
  <c r="DI27" i="1"/>
  <c r="DH27" i="1"/>
  <c r="DG27" i="1"/>
  <c r="DF27" i="1"/>
  <c r="FG26" i="1"/>
  <c r="EZ26" i="1"/>
  <c r="EP26" i="1"/>
  <c r="EO26" i="1"/>
  <c r="EM26" i="1"/>
  <c r="EL26" i="1"/>
  <c r="EK26" i="1"/>
  <c r="EJ26" i="1"/>
  <c r="EI26" i="1"/>
  <c r="EH26" i="1"/>
  <c r="EG26" i="1"/>
  <c r="EF26" i="1"/>
  <c r="EE26" i="1"/>
  <c r="ED26" i="1"/>
  <c r="EC26" i="1"/>
  <c r="EB26" i="1"/>
  <c r="EA26" i="1"/>
  <c r="EN26" i="1" s="1"/>
  <c r="DZ26" i="1"/>
  <c r="DY26" i="1" a="1"/>
  <c r="DY26" i="1" s="1"/>
  <c r="DX26" i="1" a="1"/>
  <c r="DX26" i="1" s="1"/>
  <c r="DW26" i="1"/>
  <c r="DV26" i="1"/>
  <c r="DU26" i="1"/>
  <c r="DT26" i="1"/>
  <c r="DS26" i="1"/>
  <c r="DR26" i="1"/>
  <c r="DQ26" i="1"/>
  <c r="DP26" i="1"/>
  <c r="DO26" i="1"/>
  <c r="DN26" i="1"/>
  <c r="DM26" i="1"/>
  <c r="DL26" i="1"/>
  <c r="DK26" i="1"/>
  <c r="DJ26" i="1"/>
  <c r="DI26" i="1"/>
  <c r="DH26" i="1"/>
  <c r="DG26" i="1"/>
  <c r="DF26" i="1"/>
  <c r="FG25" i="1"/>
  <c r="EZ25" i="1"/>
  <c r="EY25" i="1"/>
  <c r="EP25" i="1"/>
  <c r="EO25" i="1"/>
  <c r="EM25" i="1"/>
  <c r="EL25" i="1"/>
  <c r="EK25" i="1"/>
  <c r="EJ25" i="1"/>
  <c r="EI25" i="1"/>
  <c r="EH25" i="1"/>
  <c r="EG25" i="1"/>
  <c r="EF25" i="1"/>
  <c r="EE25" i="1"/>
  <c r="ED25" i="1"/>
  <c r="EC25" i="1"/>
  <c r="EB25" i="1"/>
  <c r="EA25" i="1"/>
  <c r="EN25" i="1" s="1"/>
  <c r="DZ25" i="1"/>
  <c r="DY25" i="1" a="1"/>
  <c r="DY25" i="1" s="1"/>
  <c r="DX25" i="1" a="1"/>
  <c r="DX25" i="1" s="1"/>
  <c r="DW25" i="1"/>
  <c r="DV25" i="1"/>
  <c r="DU25" i="1"/>
  <c r="DT25" i="1"/>
  <c r="DS25" i="1"/>
  <c r="DR25" i="1"/>
  <c r="DQ25" i="1"/>
  <c r="DP25" i="1"/>
  <c r="DO25" i="1"/>
  <c r="DN25" i="1"/>
  <c r="DM25" i="1"/>
  <c r="DL25" i="1"/>
  <c r="DK25" i="1"/>
  <c r="DJ25" i="1"/>
  <c r="DI25" i="1"/>
  <c r="DH25" i="1"/>
  <c r="DG25" i="1"/>
  <c r="DF25" i="1"/>
  <c r="FG24" i="1"/>
  <c r="EZ24" i="1"/>
  <c r="EY24" i="1"/>
  <c r="EP24" i="1"/>
  <c r="EO24" i="1"/>
  <c r="EM24" i="1"/>
  <c r="EL24" i="1"/>
  <c r="EK24" i="1"/>
  <c r="EJ24" i="1"/>
  <c r="EI24" i="1"/>
  <c r="EH24" i="1"/>
  <c r="EG24" i="1"/>
  <c r="EF24" i="1"/>
  <c r="EE24" i="1"/>
  <c r="ED24" i="1"/>
  <c r="EC24" i="1"/>
  <c r="EB24" i="1"/>
  <c r="EA24" i="1"/>
  <c r="EN24" i="1" s="1"/>
  <c r="DZ24" i="1"/>
  <c r="DY24" i="1" a="1"/>
  <c r="DY24" i="1" s="1"/>
  <c r="DX24" i="1" a="1"/>
  <c r="DX24" i="1" s="1"/>
  <c r="DW24" i="1"/>
  <c r="DV24" i="1"/>
  <c r="DU24" i="1"/>
  <c r="DT24" i="1"/>
  <c r="DS24" i="1"/>
  <c r="DR24" i="1"/>
  <c r="DQ24" i="1"/>
  <c r="DP24" i="1"/>
  <c r="DO24" i="1"/>
  <c r="DN24" i="1"/>
  <c r="DM24" i="1"/>
  <c r="DL24" i="1"/>
  <c r="DK24" i="1"/>
  <c r="DJ24" i="1"/>
  <c r="DI24" i="1"/>
  <c r="DH24" i="1"/>
  <c r="DG24" i="1"/>
  <c r="DF24" i="1"/>
  <c r="FG23" i="1"/>
  <c r="EZ23" i="1"/>
  <c r="EP23" i="1"/>
  <c r="EO23" i="1"/>
  <c r="EM23" i="1"/>
  <c r="EL23" i="1"/>
  <c r="EK23" i="1"/>
  <c r="EJ23" i="1"/>
  <c r="EI23" i="1"/>
  <c r="EH23" i="1"/>
  <c r="EG23" i="1"/>
  <c r="EF23" i="1"/>
  <c r="EE23" i="1"/>
  <c r="ED23" i="1"/>
  <c r="EC23" i="1"/>
  <c r="EB23" i="1"/>
  <c r="EA23" i="1"/>
  <c r="EN23" i="1" s="1"/>
  <c r="DZ23" i="1"/>
  <c r="DY23" i="1" a="1"/>
  <c r="DY23" i="1" s="1"/>
  <c r="DX23" i="1" a="1"/>
  <c r="DX23" i="1" s="1"/>
  <c r="DW23" i="1"/>
  <c r="DV23" i="1"/>
  <c r="DU23" i="1"/>
  <c r="DT23" i="1"/>
  <c r="DS23" i="1"/>
  <c r="DR23" i="1"/>
  <c r="DQ23" i="1"/>
  <c r="DP23" i="1"/>
  <c r="DO23" i="1"/>
  <c r="DN23" i="1"/>
  <c r="DM23" i="1"/>
  <c r="DL23" i="1"/>
  <c r="DK23" i="1"/>
  <c r="DJ23" i="1"/>
  <c r="DI23" i="1"/>
  <c r="DH23" i="1"/>
  <c r="DG23" i="1"/>
  <c r="DF23" i="1"/>
  <c r="FG22" i="1"/>
  <c r="EZ22" i="1"/>
  <c r="EY22" i="1"/>
  <c r="EP22" i="1"/>
  <c r="EO22" i="1"/>
  <c r="EM22" i="1"/>
  <c r="EL22" i="1"/>
  <c r="EK22" i="1"/>
  <c r="EJ22" i="1"/>
  <c r="EI22" i="1"/>
  <c r="EH22" i="1"/>
  <c r="EG22" i="1"/>
  <c r="EF22" i="1"/>
  <c r="EE22" i="1"/>
  <c r="ED22" i="1"/>
  <c r="EC22" i="1"/>
  <c r="EB22" i="1"/>
  <c r="EA22" i="1"/>
  <c r="EN22" i="1" s="1"/>
  <c r="DZ22" i="1"/>
  <c r="DY22" i="1" a="1"/>
  <c r="DY22" i="1" s="1"/>
  <c r="DX22" i="1" a="1"/>
  <c r="DX22" i="1" s="1"/>
  <c r="DW22" i="1"/>
  <c r="DV22" i="1"/>
  <c r="DU22" i="1"/>
  <c r="DT22" i="1"/>
  <c r="DS22" i="1"/>
  <c r="DR22" i="1"/>
  <c r="DQ22" i="1"/>
  <c r="DP22" i="1"/>
  <c r="DO22" i="1"/>
  <c r="DN22" i="1"/>
  <c r="DM22" i="1"/>
  <c r="DL22" i="1"/>
  <c r="DK22" i="1"/>
  <c r="DJ22" i="1"/>
  <c r="DI22" i="1"/>
  <c r="DH22" i="1"/>
  <c r="DG22" i="1"/>
  <c r="DF22" i="1"/>
  <c r="FG21" i="1"/>
  <c r="EZ21" i="1"/>
  <c r="EY21" i="1"/>
  <c r="EP21" i="1"/>
  <c r="EO21" i="1"/>
  <c r="EM21" i="1"/>
  <c r="EL21" i="1"/>
  <c r="EK21" i="1"/>
  <c r="EJ21" i="1"/>
  <c r="EI21" i="1"/>
  <c r="EH21" i="1"/>
  <c r="EG21" i="1"/>
  <c r="EF21" i="1"/>
  <c r="EE21" i="1"/>
  <c r="ED21" i="1"/>
  <c r="EC21" i="1"/>
  <c r="EB21" i="1"/>
  <c r="EA21" i="1"/>
  <c r="EN21" i="1" s="1"/>
  <c r="DZ21" i="1"/>
  <c r="DY21" i="1" a="1"/>
  <c r="DY21" i="1" s="1"/>
  <c r="DX21" i="1" a="1"/>
  <c r="DX21" i="1" s="1"/>
  <c r="DW21" i="1"/>
  <c r="DV21" i="1"/>
  <c r="DU21" i="1"/>
  <c r="DT21" i="1"/>
  <c r="DS21" i="1"/>
  <c r="DR21" i="1"/>
  <c r="DQ21" i="1"/>
  <c r="DP21" i="1"/>
  <c r="DO21" i="1"/>
  <c r="DN21" i="1"/>
  <c r="DM21" i="1"/>
  <c r="DL21" i="1"/>
  <c r="DK21" i="1"/>
  <c r="DJ21" i="1"/>
  <c r="DI21" i="1"/>
  <c r="DH21" i="1"/>
  <c r="DG21" i="1"/>
  <c r="DF21" i="1"/>
  <c r="GG8" i="1"/>
  <c r="DH20" i="1"/>
  <c r="DH19" i="1"/>
  <c r="DH18" i="1"/>
  <c r="DH17" i="1"/>
  <c r="DH16" i="1"/>
  <c r="DH15" i="1"/>
  <c r="DH14" i="1"/>
  <c r="DH13" i="1"/>
  <c r="DH12" i="1"/>
  <c r="DH11" i="1"/>
  <c r="DH10" i="1"/>
  <c r="DH9" i="1"/>
  <c r="DH8" i="1"/>
  <c r="DH7" i="1"/>
  <c r="DH6" i="1"/>
  <c r="DH5" i="1"/>
  <c r="DH4" i="1"/>
  <c r="DH3" i="1"/>
  <c r="FL1" i="1"/>
  <c r="CU2" i="1"/>
  <c r="EZ4" i="1"/>
  <c r="EZ5" i="1"/>
  <c r="EZ6" i="1"/>
  <c r="EZ7" i="1"/>
  <c r="EZ8" i="1"/>
  <c r="EZ9" i="1"/>
  <c r="EZ10" i="1"/>
  <c r="EZ11" i="1"/>
  <c r="EZ13" i="1"/>
  <c r="EZ14" i="1"/>
  <c r="EZ16" i="1"/>
  <c r="EZ17" i="1"/>
  <c r="EZ19" i="1"/>
  <c r="FG20" i="1"/>
  <c r="EY20" i="1"/>
  <c r="EP20" i="1"/>
  <c r="EO20" i="1"/>
  <c r="EM20" i="1"/>
  <c r="EL20" i="1"/>
  <c r="EK20" i="1"/>
  <c r="EJ20" i="1"/>
  <c r="EI20" i="1"/>
  <c r="EH20" i="1"/>
  <c r="EG20" i="1"/>
  <c r="EF20" i="1"/>
  <c r="EE20" i="1"/>
  <c r="ED20" i="1"/>
  <c r="EC20" i="1"/>
  <c r="EB20" i="1"/>
  <c r="EA20" i="1"/>
  <c r="EN20" i="1" s="1"/>
  <c r="DZ20" i="1"/>
  <c r="DY20" i="1" a="1"/>
  <c r="DY20" i="1" s="1"/>
  <c r="DX20" i="1" a="1"/>
  <c r="DX20" i="1" s="1"/>
  <c r="DW20" i="1"/>
  <c r="DV20" i="1"/>
  <c r="DU20" i="1"/>
  <c r="DT20" i="1"/>
  <c r="DS20" i="1"/>
  <c r="DR20" i="1"/>
  <c r="DQ20" i="1"/>
  <c r="DP20" i="1"/>
  <c r="DO20" i="1"/>
  <c r="DN20" i="1"/>
  <c r="DM20" i="1"/>
  <c r="DL20" i="1"/>
  <c r="DK20" i="1"/>
  <c r="DJ20" i="1"/>
  <c r="DI20" i="1"/>
  <c r="DG20" i="1"/>
  <c r="DF20" i="1"/>
  <c r="DG3" i="1" a="1"/>
  <c r="DG3" i="1" s="1"/>
  <c r="DI4" i="1"/>
  <c r="DI5" i="1"/>
  <c r="DI6" i="1"/>
  <c r="DI7" i="1"/>
  <c r="DI8" i="1"/>
  <c r="DI9" i="1"/>
  <c r="DI10" i="1"/>
  <c r="DI11" i="1"/>
  <c r="DI12" i="1"/>
  <c r="DI13" i="1"/>
  <c r="DI14" i="1"/>
  <c r="DI15" i="1"/>
  <c r="DI16" i="1"/>
  <c r="DI17" i="1"/>
  <c r="DI18" i="1"/>
  <c r="DI19" i="1"/>
  <c r="DI3" i="1"/>
  <c r="DO4" i="1"/>
  <c r="DP4" i="1"/>
  <c r="DO5" i="1"/>
  <c r="DP5" i="1"/>
  <c r="DO6" i="1"/>
  <c r="DP6" i="1"/>
  <c r="DO7" i="1"/>
  <c r="DP7" i="1"/>
  <c r="DO8" i="1"/>
  <c r="DP8" i="1"/>
  <c r="DO9" i="1"/>
  <c r="DP9" i="1"/>
  <c r="DO10" i="1"/>
  <c r="DP10" i="1"/>
  <c r="DO11" i="1"/>
  <c r="DP11" i="1"/>
  <c r="DO12" i="1"/>
  <c r="DP12" i="1"/>
  <c r="DO13" i="1"/>
  <c r="DP13" i="1"/>
  <c r="DO14" i="1"/>
  <c r="DP14" i="1"/>
  <c r="DO15" i="1"/>
  <c r="DP15" i="1"/>
  <c r="DO16" i="1"/>
  <c r="DP16" i="1"/>
  <c r="DO17" i="1"/>
  <c r="DP17" i="1"/>
  <c r="DO18" i="1"/>
  <c r="DP18" i="1"/>
  <c r="DO19" i="1"/>
  <c r="DP19" i="1"/>
  <c r="DP3" i="1"/>
  <c r="DO3" i="1"/>
  <c r="DP2" i="1"/>
  <c r="DO2" i="1"/>
  <c r="EO19" i="1"/>
  <c r="EM19" i="1"/>
  <c r="EL19" i="1"/>
  <c r="EK19" i="1"/>
  <c r="EJ19" i="1"/>
  <c r="EI19" i="1"/>
  <c r="EH19" i="1"/>
  <c r="EG19" i="1"/>
  <c r="EF19" i="1"/>
  <c r="EE19" i="1"/>
  <c r="ED19" i="1"/>
  <c r="EC19" i="1"/>
  <c r="EB19" i="1"/>
  <c r="EA19" i="1"/>
  <c r="EN19" i="1" s="1"/>
  <c r="DZ19" i="1"/>
  <c r="EO18" i="1"/>
  <c r="EM18" i="1"/>
  <c r="EL18" i="1"/>
  <c r="EK18" i="1"/>
  <c r="EJ18" i="1"/>
  <c r="EI18" i="1"/>
  <c r="EH18" i="1"/>
  <c r="EG18" i="1"/>
  <c r="EF18" i="1"/>
  <c r="EE18" i="1"/>
  <c r="ED18" i="1"/>
  <c r="EC18" i="1"/>
  <c r="EB18" i="1"/>
  <c r="EA18" i="1"/>
  <c r="DZ18" i="1"/>
  <c r="EO17" i="1"/>
  <c r="EM17" i="1"/>
  <c r="EL17" i="1"/>
  <c r="EK17" i="1"/>
  <c r="EJ17" i="1"/>
  <c r="EI17" i="1"/>
  <c r="EH17" i="1"/>
  <c r="EG17" i="1"/>
  <c r="EF17" i="1"/>
  <c r="EE17" i="1"/>
  <c r="ED17" i="1"/>
  <c r="EC17" i="1"/>
  <c r="EB17" i="1"/>
  <c r="EA17" i="1"/>
  <c r="DZ17" i="1"/>
  <c r="EO16" i="1"/>
  <c r="EM16" i="1"/>
  <c r="EL16" i="1"/>
  <c r="EK16" i="1"/>
  <c r="EJ16" i="1"/>
  <c r="EI16" i="1"/>
  <c r="EH16" i="1"/>
  <c r="EG16" i="1"/>
  <c r="EF16" i="1"/>
  <c r="EE16" i="1"/>
  <c r="ED16" i="1"/>
  <c r="EC16" i="1"/>
  <c r="EB16" i="1"/>
  <c r="EA16" i="1"/>
  <c r="DZ16" i="1"/>
  <c r="EO15" i="1"/>
  <c r="EM15" i="1"/>
  <c r="EL15" i="1"/>
  <c r="EK15" i="1"/>
  <c r="EJ15" i="1"/>
  <c r="EI15" i="1"/>
  <c r="EH15" i="1"/>
  <c r="EG15" i="1"/>
  <c r="EF15" i="1"/>
  <c r="EE15" i="1"/>
  <c r="ED15" i="1"/>
  <c r="EC15" i="1"/>
  <c r="EB15" i="1"/>
  <c r="EA15" i="1"/>
  <c r="DZ15" i="1"/>
  <c r="EO14" i="1"/>
  <c r="EM14" i="1"/>
  <c r="EL14" i="1"/>
  <c r="EK14" i="1"/>
  <c r="EJ14" i="1"/>
  <c r="EI14" i="1"/>
  <c r="EH14" i="1"/>
  <c r="EG14" i="1"/>
  <c r="EF14" i="1"/>
  <c r="EE14" i="1"/>
  <c r="ED14" i="1"/>
  <c r="EC14" i="1"/>
  <c r="EB14" i="1"/>
  <c r="EA14" i="1"/>
  <c r="DZ14" i="1"/>
  <c r="EO13" i="1"/>
  <c r="EM13" i="1"/>
  <c r="EL13" i="1"/>
  <c r="EK13" i="1"/>
  <c r="EJ13" i="1"/>
  <c r="EI13" i="1"/>
  <c r="EH13" i="1"/>
  <c r="EG13" i="1"/>
  <c r="EF13" i="1"/>
  <c r="EE13" i="1"/>
  <c r="ED13" i="1"/>
  <c r="EC13" i="1"/>
  <c r="EB13" i="1"/>
  <c r="EA13" i="1"/>
  <c r="DZ13" i="1"/>
  <c r="EO12" i="1"/>
  <c r="EM12" i="1"/>
  <c r="EL12" i="1"/>
  <c r="EK12" i="1"/>
  <c r="EJ12" i="1"/>
  <c r="EI12" i="1"/>
  <c r="EH12" i="1"/>
  <c r="EG12" i="1"/>
  <c r="EF12" i="1"/>
  <c r="EE12" i="1"/>
  <c r="ED12" i="1"/>
  <c r="EC12" i="1"/>
  <c r="EB12" i="1"/>
  <c r="EA12" i="1"/>
  <c r="DZ12" i="1"/>
  <c r="EO11" i="1"/>
  <c r="EM11" i="1"/>
  <c r="EL11" i="1"/>
  <c r="EK11" i="1"/>
  <c r="EJ11" i="1"/>
  <c r="EI11" i="1"/>
  <c r="EH11" i="1"/>
  <c r="EG11" i="1"/>
  <c r="EF11" i="1"/>
  <c r="EE11" i="1"/>
  <c r="ED11" i="1"/>
  <c r="EC11" i="1"/>
  <c r="EB11" i="1"/>
  <c r="EA11" i="1"/>
  <c r="DZ11" i="1"/>
  <c r="EO10" i="1"/>
  <c r="EM10" i="1"/>
  <c r="EL10" i="1"/>
  <c r="EK10" i="1"/>
  <c r="EJ10" i="1"/>
  <c r="EI10" i="1"/>
  <c r="EH10" i="1"/>
  <c r="EG10" i="1"/>
  <c r="EF10" i="1"/>
  <c r="EE10" i="1"/>
  <c r="ED10" i="1"/>
  <c r="EC10" i="1"/>
  <c r="EB10" i="1"/>
  <c r="EA10" i="1"/>
  <c r="DZ10" i="1"/>
  <c r="EO9" i="1"/>
  <c r="EM9" i="1"/>
  <c r="EL9" i="1"/>
  <c r="EK9" i="1"/>
  <c r="EJ9" i="1"/>
  <c r="EI9" i="1"/>
  <c r="EH9" i="1"/>
  <c r="EG9" i="1"/>
  <c r="EF9" i="1"/>
  <c r="EE9" i="1"/>
  <c r="ED9" i="1"/>
  <c r="EC9" i="1"/>
  <c r="EB9" i="1"/>
  <c r="EA9" i="1"/>
  <c r="EN9" i="1" s="1"/>
  <c r="DZ9" i="1"/>
  <c r="EO8" i="1"/>
  <c r="EM8" i="1"/>
  <c r="EL8" i="1"/>
  <c r="EK8" i="1"/>
  <c r="EJ8" i="1"/>
  <c r="EI8" i="1"/>
  <c r="EH8" i="1"/>
  <c r="EG8" i="1"/>
  <c r="EF8" i="1"/>
  <c r="EE8" i="1"/>
  <c r="ED8" i="1"/>
  <c r="EC8" i="1"/>
  <c r="EB8" i="1"/>
  <c r="EA8" i="1"/>
  <c r="DZ8" i="1"/>
  <c r="EO7" i="1"/>
  <c r="EM7" i="1"/>
  <c r="EL7" i="1"/>
  <c r="EK7" i="1"/>
  <c r="EJ7" i="1"/>
  <c r="EI7" i="1"/>
  <c r="EH7" i="1"/>
  <c r="EG7" i="1"/>
  <c r="EF7" i="1"/>
  <c r="EE7" i="1"/>
  <c r="ED7" i="1"/>
  <c r="EC7" i="1"/>
  <c r="EB7" i="1"/>
  <c r="EA7" i="1"/>
  <c r="DZ7" i="1"/>
  <c r="EO6" i="1"/>
  <c r="EM6" i="1"/>
  <c r="EL6" i="1"/>
  <c r="EK6" i="1"/>
  <c r="EJ6" i="1"/>
  <c r="EI6" i="1"/>
  <c r="EH6" i="1"/>
  <c r="EG6" i="1"/>
  <c r="EF6" i="1"/>
  <c r="EE6" i="1"/>
  <c r="ED6" i="1"/>
  <c r="EC6" i="1"/>
  <c r="EB6" i="1"/>
  <c r="EA6" i="1"/>
  <c r="DZ6" i="1"/>
  <c r="EO5" i="1"/>
  <c r="EM5" i="1"/>
  <c r="EL5" i="1"/>
  <c r="EK5" i="1"/>
  <c r="EJ5" i="1"/>
  <c r="EI5" i="1"/>
  <c r="EH5" i="1"/>
  <c r="EG5" i="1"/>
  <c r="EF5" i="1"/>
  <c r="EE5" i="1"/>
  <c r="ED5" i="1"/>
  <c r="EC5" i="1"/>
  <c r="EB5" i="1"/>
  <c r="EA5" i="1"/>
  <c r="EN5" i="1" s="1"/>
  <c r="DZ5" i="1"/>
  <c r="EO4" i="1"/>
  <c r="EM4" i="1"/>
  <c r="EL4" i="1"/>
  <c r="EK4" i="1"/>
  <c r="EJ4" i="1"/>
  <c r="EI4" i="1"/>
  <c r="EH4" i="1"/>
  <c r="EG4" i="1"/>
  <c r="EF4" i="1"/>
  <c r="EE4" i="1"/>
  <c r="ED4" i="1"/>
  <c r="EC4" i="1"/>
  <c r="EB4" i="1"/>
  <c r="EA4" i="1"/>
  <c r="DZ4" i="1"/>
  <c r="EO3" i="1"/>
  <c r="EM3" i="1"/>
  <c r="EL3" i="1"/>
  <c r="EK3" i="1"/>
  <c r="EJ3" i="1"/>
  <c r="EI3" i="1"/>
  <c r="EH3" i="1"/>
  <c r="EG3" i="1"/>
  <c r="EF3" i="1"/>
  <c r="EE3" i="1"/>
  <c r="ED3" i="1"/>
  <c r="EC3" i="1"/>
  <c r="EB3" i="1"/>
  <c r="DZ3" i="1"/>
  <c r="EA3" i="1"/>
  <c r="FG19" i="1"/>
  <c r="EP19" i="1"/>
  <c r="DY19" i="1" a="1"/>
  <c r="DY19" i="1" s="1"/>
  <c r="DX19" i="1" a="1"/>
  <c r="DX19" i="1" s="1"/>
  <c r="DW19" i="1"/>
  <c r="DV19" i="1"/>
  <c r="DU19" i="1"/>
  <c r="DT19" i="1"/>
  <c r="DS19" i="1"/>
  <c r="DR19" i="1"/>
  <c r="DQ19" i="1"/>
  <c r="DN19" i="1"/>
  <c r="DM19" i="1"/>
  <c r="DL19" i="1"/>
  <c r="DK19" i="1"/>
  <c r="DJ19" i="1"/>
  <c r="DG19" i="1"/>
  <c r="DF19" i="1"/>
  <c r="FG18" i="1"/>
  <c r="EP18" i="1"/>
  <c r="DY18" i="1" a="1"/>
  <c r="DY18" i="1" s="1"/>
  <c r="DX18" i="1" a="1"/>
  <c r="DX18" i="1" s="1"/>
  <c r="DW18" i="1"/>
  <c r="DV18" i="1"/>
  <c r="DU18" i="1"/>
  <c r="DT18" i="1"/>
  <c r="DS18" i="1"/>
  <c r="DR18" i="1"/>
  <c r="DQ18" i="1"/>
  <c r="DN18" i="1"/>
  <c r="DM18" i="1"/>
  <c r="DL18" i="1"/>
  <c r="DK18" i="1"/>
  <c r="DJ18" i="1"/>
  <c r="DG18" i="1"/>
  <c r="DF18" i="1"/>
  <c r="FG17" i="1"/>
  <c r="EP17" i="1"/>
  <c r="DY17" i="1" a="1"/>
  <c r="DY17" i="1" s="1"/>
  <c r="DX17" i="1" a="1"/>
  <c r="DX17" i="1" s="1"/>
  <c r="DW17" i="1"/>
  <c r="DV17" i="1"/>
  <c r="DU17" i="1"/>
  <c r="DT17" i="1"/>
  <c r="DS17" i="1"/>
  <c r="DR17" i="1"/>
  <c r="DQ17" i="1"/>
  <c r="DN17" i="1"/>
  <c r="DM17" i="1"/>
  <c r="DL17" i="1"/>
  <c r="DK17" i="1"/>
  <c r="DJ17" i="1"/>
  <c r="DG17" i="1"/>
  <c r="DF17" i="1"/>
  <c r="FG16" i="1"/>
  <c r="EP16" i="1"/>
  <c r="DY16" i="1" a="1"/>
  <c r="DY16" i="1" s="1"/>
  <c r="DX16" i="1" a="1"/>
  <c r="DX16" i="1" s="1"/>
  <c r="DW16" i="1"/>
  <c r="DV16" i="1"/>
  <c r="DU16" i="1"/>
  <c r="DT16" i="1"/>
  <c r="DS16" i="1"/>
  <c r="DR16" i="1"/>
  <c r="DQ16" i="1"/>
  <c r="DN16" i="1"/>
  <c r="DM16" i="1"/>
  <c r="DL16" i="1"/>
  <c r="DK16" i="1"/>
  <c r="DJ16" i="1"/>
  <c r="DG16" i="1"/>
  <c r="DF16" i="1"/>
  <c r="FG15" i="1"/>
  <c r="EP15" i="1"/>
  <c r="DY15" i="1" a="1"/>
  <c r="DY15" i="1" s="1"/>
  <c r="DX15" i="1" a="1"/>
  <c r="DX15" i="1" s="1"/>
  <c r="DW15" i="1"/>
  <c r="DV15" i="1"/>
  <c r="DU15" i="1"/>
  <c r="DT15" i="1"/>
  <c r="DS15" i="1"/>
  <c r="DR15" i="1"/>
  <c r="DQ15" i="1"/>
  <c r="DN15" i="1"/>
  <c r="DM15" i="1"/>
  <c r="DL15" i="1"/>
  <c r="DK15" i="1"/>
  <c r="DJ15" i="1"/>
  <c r="DG15" i="1"/>
  <c r="DF15" i="1"/>
  <c r="FG14" i="1"/>
  <c r="EP14" i="1"/>
  <c r="DY14" i="1" a="1"/>
  <c r="DY14" i="1" s="1"/>
  <c r="DX14" i="1" a="1"/>
  <c r="DX14" i="1" s="1"/>
  <c r="DW14" i="1"/>
  <c r="DV14" i="1"/>
  <c r="DU14" i="1"/>
  <c r="DT14" i="1"/>
  <c r="DS14" i="1"/>
  <c r="DR14" i="1"/>
  <c r="DQ14" i="1"/>
  <c r="DN14" i="1"/>
  <c r="DM14" i="1"/>
  <c r="DL14" i="1"/>
  <c r="DK14" i="1"/>
  <c r="DJ14" i="1"/>
  <c r="DG14" i="1"/>
  <c r="DF14" i="1"/>
  <c r="FG13" i="1"/>
  <c r="EP13" i="1"/>
  <c r="DY13" i="1" a="1"/>
  <c r="DY13" i="1" s="1"/>
  <c r="DX13" i="1" a="1"/>
  <c r="DX13" i="1" s="1"/>
  <c r="DW13" i="1"/>
  <c r="DV13" i="1"/>
  <c r="DU13" i="1"/>
  <c r="DT13" i="1"/>
  <c r="DS13" i="1"/>
  <c r="DR13" i="1"/>
  <c r="DQ13" i="1"/>
  <c r="DN13" i="1"/>
  <c r="DM13" i="1"/>
  <c r="DL13" i="1"/>
  <c r="DK13" i="1"/>
  <c r="DJ13" i="1"/>
  <c r="DG13" i="1"/>
  <c r="DF13" i="1"/>
  <c r="FG12" i="1"/>
  <c r="EP12" i="1"/>
  <c r="DY12" i="1" a="1"/>
  <c r="DY12" i="1" s="1"/>
  <c r="DX12" i="1" a="1"/>
  <c r="DX12" i="1" s="1"/>
  <c r="DW12" i="1"/>
  <c r="DV12" i="1"/>
  <c r="DU12" i="1"/>
  <c r="DT12" i="1"/>
  <c r="DS12" i="1"/>
  <c r="DR12" i="1"/>
  <c r="DQ12" i="1"/>
  <c r="DN12" i="1"/>
  <c r="DM12" i="1"/>
  <c r="DL12" i="1"/>
  <c r="DK12" i="1"/>
  <c r="DJ12" i="1"/>
  <c r="DG12" i="1"/>
  <c r="DF12" i="1"/>
  <c r="FG11" i="1"/>
  <c r="EP11" i="1"/>
  <c r="DY11" i="1" a="1"/>
  <c r="DY11" i="1" s="1"/>
  <c r="DX11" i="1" a="1"/>
  <c r="DX11" i="1" s="1"/>
  <c r="DW11" i="1"/>
  <c r="DV11" i="1"/>
  <c r="DU11" i="1"/>
  <c r="DT11" i="1"/>
  <c r="DS11" i="1"/>
  <c r="DR11" i="1"/>
  <c r="DQ11" i="1"/>
  <c r="DN11" i="1"/>
  <c r="DM11" i="1"/>
  <c r="DL11" i="1"/>
  <c r="DK11" i="1"/>
  <c r="DJ11" i="1"/>
  <c r="DG11" i="1"/>
  <c r="DF11" i="1"/>
  <c r="CP3" i="1"/>
  <c r="CQ3" i="1"/>
  <c r="CR3" i="1"/>
  <c r="FK1" i="1"/>
  <c r="FH1" i="1"/>
  <c r="M2" i="2" a="1"/>
  <c r="EN27" i="1" l="1"/>
  <c r="EN7" i="1"/>
  <c r="M2" i="2"/>
  <c r="EN12" i="1"/>
  <c r="EN17" i="1"/>
  <c r="EN13" i="1"/>
  <c r="EN15" i="1"/>
  <c r="EN14" i="1"/>
  <c r="EN18" i="1"/>
  <c r="EN16" i="1"/>
  <c r="EN11" i="1"/>
  <c r="EN10" i="1"/>
  <c r="EN8" i="1"/>
  <c r="EN6" i="1"/>
  <c r="EN4" i="1"/>
  <c r="CX3" i="1"/>
  <c r="CX4" i="1" s="1"/>
  <c r="CY3" i="1"/>
  <c r="EZ3" i="1" s="1"/>
  <c r="HD5" i="1"/>
  <c r="HO5" i="1" s="1"/>
  <c r="HC5" i="1"/>
  <c r="HN5" i="1" s="1"/>
  <c r="HB5" i="1"/>
  <c r="HM5" i="1" s="1"/>
  <c r="HA5" i="1"/>
  <c r="HL5" i="1" s="1"/>
  <c r="GZ5" i="1"/>
  <c r="HK5" i="1" s="1"/>
  <c r="GY5" i="1"/>
  <c r="HJ5" i="1" s="1"/>
  <c r="GX5" i="1"/>
  <c r="HI5" i="1" s="1"/>
  <c r="GW5" i="1"/>
  <c r="HH5" i="1" s="1"/>
  <c r="GV5" i="1"/>
  <c r="HG5" i="1" s="1"/>
  <c r="HD4" i="1"/>
  <c r="HO4" i="1" s="1"/>
  <c r="HC4" i="1"/>
  <c r="HN4" i="1" s="1"/>
  <c r="HB4" i="1"/>
  <c r="HM4" i="1" s="1"/>
  <c r="HA4" i="1"/>
  <c r="HL4" i="1" s="1"/>
  <c r="GZ4" i="1"/>
  <c r="HK4" i="1" s="1"/>
  <c r="GY4" i="1"/>
  <c r="HJ4" i="1" s="1"/>
  <c r="GX4" i="1"/>
  <c r="HI4" i="1" s="1"/>
  <c r="GW4" i="1"/>
  <c r="HH4" i="1" s="1"/>
  <c r="GV4" i="1"/>
  <c r="HG4" i="1" s="1"/>
  <c r="EP10" i="1"/>
  <c r="EP9" i="1"/>
  <c r="EP8" i="1"/>
  <c r="EP7" i="1"/>
  <c r="EP6" i="1"/>
  <c r="EP5" i="1"/>
  <c r="EP3" i="1"/>
  <c r="EP4" i="1"/>
  <c r="EP2" i="1"/>
  <c r="FX1" i="1"/>
  <c r="FT1" i="1"/>
  <c r="GB1" i="1"/>
  <c r="DB3" i="1"/>
  <c r="CP4" i="1"/>
  <c r="CP5" i="1" s="1"/>
  <c r="CW3" i="1"/>
  <c r="CS3" i="1"/>
  <c r="CS4" i="1" s="1"/>
  <c r="CQ4" i="1"/>
  <c r="DX10" i="1" a="1"/>
  <c r="DX10" i="1" s="1"/>
  <c r="DY10" i="1" a="1"/>
  <c r="DY10" i="1" s="1"/>
  <c r="DQ10" i="1"/>
  <c r="DG10" i="1"/>
  <c r="DR10" i="1"/>
  <c r="DX9" i="1" a="1"/>
  <c r="DX9" i="1" s="1"/>
  <c r="DY9" i="1" a="1"/>
  <c r="DY9" i="1" s="1"/>
  <c r="DQ9" i="1"/>
  <c r="DG9" i="1"/>
  <c r="DR9" i="1"/>
  <c r="DX8" i="1" a="1"/>
  <c r="DX8" i="1" s="1"/>
  <c r="DY8" i="1" a="1"/>
  <c r="DY8" i="1" s="1"/>
  <c r="DQ8" i="1"/>
  <c r="DG8" i="1"/>
  <c r="DR8" i="1"/>
  <c r="DX7" i="1" a="1"/>
  <c r="DX7" i="1" s="1"/>
  <c r="DY7" i="1" a="1"/>
  <c r="DY7" i="1" s="1"/>
  <c r="DQ7" i="1"/>
  <c r="DG7" i="1"/>
  <c r="DR7" i="1"/>
  <c r="DX6" i="1" a="1"/>
  <c r="DX6" i="1" s="1"/>
  <c r="DY6" i="1" a="1"/>
  <c r="DY6" i="1" s="1"/>
  <c r="DQ6" i="1"/>
  <c r="DG6" i="1"/>
  <c r="DR6" i="1"/>
  <c r="DX5" i="1" a="1"/>
  <c r="DX5" i="1" s="1"/>
  <c r="DY5" i="1" a="1"/>
  <c r="DY5" i="1" s="1"/>
  <c r="DQ5" i="1"/>
  <c r="DG5" i="1"/>
  <c r="DR5" i="1"/>
  <c r="DX4" i="1" a="1"/>
  <c r="DX4" i="1" s="1"/>
  <c r="DY4" i="1" a="1"/>
  <c r="DY4" i="1" s="1"/>
  <c r="DQ4" i="1"/>
  <c r="DG4" i="1"/>
  <c r="DR4" i="1"/>
  <c r="DX3" i="1" a="1"/>
  <c r="DX3" i="1" s="1"/>
  <c r="DY3" i="1" a="1"/>
  <c r="DY3" i="1" s="1"/>
  <c r="DQ3" i="1"/>
  <c r="DR3" i="1"/>
  <c r="DY2" i="1"/>
  <c r="DW10" i="1"/>
  <c r="DW9" i="1"/>
  <c r="DW8" i="1"/>
  <c r="DW7" i="1"/>
  <c r="DW6" i="1"/>
  <c r="DW5" i="1"/>
  <c r="DW4" i="1"/>
  <c r="DW3" i="1"/>
  <c r="DN8" i="1"/>
  <c r="DN10" i="1"/>
  <c r="DN7" i="1"/>
  <c r="DN9" i="1"/>
  <c r="DN6" i="1"/>
  <c r="DN5" i="1"/>
  <c r="DN4" i="1"/>
  <c r="DN3" i="1"/>
  <c r="DU10" i="1"/>
  <c r="DT10" i="1"/>
  <c r="DU9" i="1"/>
  <c r="DT9" i="1"/>
  <c r="DU8" i="1"/>
  <c r="DT8" i="1"/>
  <c r="DU7" i="1"/>
  <c r="DT7" i="1"/>
  <c r="DU6" i="1"/>
  <c r="DT6" i="1"/>
  <c r="DU5" i="1"/>
  <c r="DT5" i="1"/>
  <c r="DU4" i="1"/>
  <c r="DT4" i="1"/>
  <c r="DU3" i="1"/>
  <c r="DT3" i="1"/>
  <c r="B11" i="3" a="1"/>
  <c r="B11" i="3"/>
  <c r="GJ9" i="1"/>
  <c r="GK9" i="1" s="1"/>
  <c r="FP1" i="1"/>
  <c r="FI1" i="1"/>
  <c r="DX2" i="1"/>
  <c r="B19" i="3" a="1"/>
  <c r="B19" i="3"/>
  <c r="B13" i="3" a="1"/>
  <c r="B13" i="3"/>
  <c r="B10" i="3" a="1"/>
  <c r="B10" i="3"/>
  <c r="B9" i="3" a="1"/>
  <c r="B9" i="3"/>
  <c r="B8" i="3" a="1"/>
  <c r="B8" i="3"/>
  <c r="B5" i="3" a="1"/>
  <c r="B5" i="3"/>
  <c r="B4" i="3"/>
  <c r="B3" i="3" a="1"/>
  <c r="B3" i="3"/>
  <c r="DF10" i="1"/>
  <c r="DF9" i="1"/>
  <c r="DF8" i="1"/>
  <c r="DF7" i="1"/>
  <c r="DF6" i="1"/>
  <c r="DF5" i="1"/>
  <c r="DF4" i="1"/>
  <c r="DF3" i="1"/>
  <c r="DF2" i="1"/>
  <c r="FG10" i="1"/>
  <c r="DV10" i="1"/>
  <c r="DS10" i="1"/>
  <c r="DM10" i="1"/>
  <c r="DL10" i="1"/>
  <c r="DK10" i="1"/>
  <c r="DJ10" i="1"/>
  <c r="FG9" i="1"/>
  <c r="DV9" i="1"/>
  <c r="DS9" i="1"/>
  <c r="DM9" i="1"/>
  <c r="DL9" i="1"/>
  <c r="DK9" i="1"/>
  <c r="DJ9" i="1"/>
  <c r="FG8" i="1"/>
  <c r="DV8" i="1"/>
  <c r="DS8" i="1"/>
  <c r="DM8" i="1"/>
  <c r="DL8" i="1"/>
  <c r="DK8" i="1"/>
  <c r="DJ8" i="1"/>
  <c r="GU5" i="1"/>
  <c r="HF5" i="1" s="1"/>
  <c r="GU4" i="1"/>
  <c r="HF4" i="1" s="1"/>
  <c r="FG7" i="1"/>
  <c r="DV7" i="1"/>
  <c r="DS7" i="1"/>
  <c r="DM7" i="1"/>
  <c r="DL7" i="1"/>
  <c r="DK7" i="1"/>
  <c r="DJ7" i="1"/>
  <c r="FG6" i="1"/>
  <c r="DV6" i="1"/>
  <c r="DS6" i="1"/>
  <c r="DM6" i="1"/>
  <c r="DL6" i="1"/>
  <c r="DK6" i="1"/>
  <c r="DJ6" i="1"/>
  <c r="FG5" i="1"/>
  <c r="DV5" i="1"/>
  <c r="DS5" i="1"/>
  <c r="DM5" i="1"/>
  <c r="DL5" i="1"/>
  <c r="DK5" i="1"/>
  <c r="DJ5" i="1"/>
  <c r="FG4" i="1"/>
  <c r="DV4" i="1"/>
  <c r="DS4" i="1"/>
  <c r="DM4" i="1"/>
  <c r="DL4" i="1"/>
  <c r="DK4" i="1"/>
  <c r="DJ4" i="1"/>
  <c r="FG3" i="1"/>
  <c r="DV3" i="1"/>
  <c r="DS3" i="1"/>
  <c r="DM3" i="1"/>
  <c r="DL3" i="1"/>
  <c r="DK3" i="1"/>
  <c r="DJ3" i="1"/>
  <c r="CT3" i="1"/>
  <c r="CR4" i="1"/>
  <c r="FI3" i="1" a="1"/>
  <c r="FP3" i="1" a="1"/>
  <c r="CW4" i="1" l="1"/>
  <c r="EX3" i="1"/>
  <c r="ES3" i="1"/>
  <c r="DB4" i="1"/>
  <c r="FC3" i="1"/>
  <c r="ES4" i="1"/>
  <c r="EU3" i="1"/>
  <c r="CY4" i="1"/>
  <c r="CY5" i="1" s="1"/>
  <c r="CT4" i="1"/>
  <c r="EU4" i="1" s="1"/>
  <c r="CU3" i="1"/>
  <c r="CV2" i="1"/>
  <c r="CV3" i="1" s="1"/>
  <c r="CW14" i="1"/>
  <c r="CR5" i="1"/>
  <c r="ER3" i="1"/>
  <c r="EN3" i="1"/>
  <c r="EY3" i="1"/>
  <c r="ER4" i="1"/>
  <c r="CQ5" i="1"/>
  <c r="CQ6" i="1" s="1"/>
  <c r="CQ7" i="1" s="1"/>
  <c r="CS5" i="1"/>
  <c r="CS6" i="1" s="1"/>
  <c r="CS7" i="1" s="1"/>
  <c r="CS8" i="1" s="1"/>
  <c r="CP6" i="1"/>
  <c r="CP7" i="1" s="1"/>
  <c r="CP8" i="1" s="1"/>
  <c r="CP9" i="1" s="1"/>
  <c r="CP10" i="1" s="1"/>
  <c r="CP11" i="1" s="1"/>
  <c r="ET4" i="1"/>
  <c r="EQ3" i="1"/>
  <c r="ET3" i="1"/>
  <c r="EQ4" i="1"/>
  <c r="EQ5" i="1"/>
  <c r="EY4" i="1"/>
  <c r="CX5" i="1"/>
  <c r="GU9" i="1"/>
  <c r="HF9" i="1" s="1"/>
  <c r="HF2" i="1" s="1"/>
  <c r="FI3" i="1"/>
  <c r="FP3" i="1"/>
  <c r="GL9" i="1"/>
  <c r="GV9" i="1"/>
  <c r="HG9" i="1" s="1"/>
  <c r="HG2" i="1" s="1"/>
  <c r="FR3" i="1" a="1"/>
  <c r="FJ3" i="1" a="1"/>
  <c r="EX4" i="1" l="1"/>
  <c r="CW5" i="1"/>
  <c r="DB5" i="1"/>
  <c r="FC4" i="1"/>
  <c r="ES5" i="1"/>
  <c r="CY6" i="1"/>
  <c r="CY7" i="1" s="1"/>
  <c r="CY8" i="1" s="1"/>
  <c r="CY9" i="1" s="1"/>
  <c r="CT5" i="1"/>
  <c r="EU5" i="1" s="1"/>
  <c r="CV4" i="1"/>
  <c r="EW3" i="1"/>
  <c r="EV3" i="1"/>
  <c r="CU4" i="1"/>
  <c r="EQ11" i="1"/>
  <c r="CP12" i="1"/>
  <c r="CW15" i="1"/>
  <c r="CR6" i="1"/>
  <c r="ES6" i="1" s="1"/>
  <c r="EQ8" i="1"/>
  <c r="EQ6" i="1"/>
  <c r="EQ7" i="1"/>
  <c r="EQ10" i="1"/>
  <c r="EQ9" i="1"/>
  <c r="FR3" i="1"/>
  <c r="ET5" i="1"/>
  <c r="ET6" i="1"/>
  <c r="ET7" i="1"/>
  <c r="ER5" i="1"/>
  <c r="ER7" i="1"/>
  <c r="CQ8" i="1"/>
  <c r="ET8" i="1" s="1"/>
  <c r="CS9" i="1"/>
  <c r="ER6" i="1"/>
  <c r="EY5" i="1"/>
  <c r="CX6" i="1"/>
  <c r="FJ3" i="1"/>
  <c r="FJ2" i="1" s="1"/>
  <c r="GW9" i="1"/>
  <c r="GM9" i="1"/>
  <c r="FQ3" i="1" a="1"/>
  <c r="EX5" i="1" l="1"/>
  <c r="CW6" i="1"/>
  <c r="DB6" i="1"/>
  <c r="FC5" i="1"/>
  <c r="CT6" i="1"/>
  <c r="EU6" i="1" s="1"/>
  <c r="EW4" i="1"/>
  <c r="CV5" i="1"/>
  <c r="CU5" i="1"/>
  <c r="CU6" i="1" s="1"/>
  <c r="EV4" i="1"/>
  <c r="CP13" i="1"/>
  <c r="EQ12" i="1"/>
  <c r="CW16" i="1"/>
  <c r="CR7" i="1"/>
  <c r="ES7" i="1" s="1"/>
  <c r="CS10" i="1"/>
  <c r="CS11" i="1" s="1"/>
  <c r="CQ9" i="1"/>
  <c r="ET9" i="1" s="1"/>
  <c r="ER8" i="1"/>
  <c r="CY10" i="1"/>
  <c r="CX7" i="1"/>
  <c r="EY6" i="1"/>
  <c r="FR2" i="1"/>
  <c r="FQ3" i="1"/>
  <c r="FQ2" i="1" s="1"/>
  <c r="GN9" i="1"/>
  <c r="GX9" i="1"/>
  <c r="HH9" i="1"/>
  <c r="HH2" i="1" s="1"/>
  <c r="EX6" i="1" l="1"/>
  <c r="CW7" i="1"/>
  <c r="DB7" i="1"/>
  <c r="FC6" i="1"/>
  <c r="CY11" i="1"/>
  <c r="CY12" i="1" s="1"/>
  <c r="EZ12" i="1" s="1"/>
  <c r="CT7" i="1"/>
  <c r="EU7" i="1" s="1"/>
  <c r="EV5" i="1"/>
  <c r="EW5" i="1"/>
  <c r="CV6" i="1"/>
  <c r="EV6" i="1" s="1"/>
  <c r="CU7" i="1"/>
  <c r="CS12" i="1"/>
  <c r="EQ13" i="1"/>
  <c r="CP14" i="1"/>
  <c r="CW17" i="1"/>
  <c r="CR8" i="1"/>
  <c r="ES8" i="1" s="1"/>
  <c r="CQ10" i="1"/>
  <c r="ER9" i="1"/>
  <c r="EY7" i="1"/>
  <c r="CX8" i="1"/>
  <c r="HI9" i="1"/>
  <c r="HI2" i="1" s="1"/>
  <c r="GY9" i="1"/>
  <c r="GO9" i="1"/>
  <c r="EX7" i="1" l="1"/>
  <c r="CW8" i="1"/>
  <c r="DB8" i="1"/>
  <c r="FC7" i="1"/>
  <c r="CT8" i="1"/>
  <c r="EU8" i="1" s="1"/>
  <c r="EW6" i="1"/>
  <c r="CV7" i="1"/>
  <c r="CU8" i="1"/>
  <c r="CY13" i="1"/>
  <c r="CS13" i="1"/>
  <c r="ET10" i="1"/>
  <c r="CQ11" i="1"/>
  <c r="EQ14" i="1"/>
  <c r="CP15" i="1"/>
  <c r="CW18" i="1"/>
  <c r="CR9" i="1"/>
  <c r="ES9" i="1" s="1"/>
  <c r="ER10" i="1"/>
  <c r="CX9" i="1"/>
  <c r="EY8" i="1"/>
  <c r="HJ9" i="1"/>
  <c r="HJ2" i="1" s="1"/>
  <c r="GP9" i="1"/>
  <c r="GZ9" i="1"/>
  <c r="EX8" i="1" l="1"/>
  <c r="CW9" i="1"/>
  <c r="DB9" i="1"/>
  <c r="FC8" i="1"/>
  <c r="CT9" i="1"/>
  <c r="EU9" i="1" s="1"/>
  <c r="CV8" i="1"/>
  <c r="EV8" i="1" s="1"/>
  <c r="EV7" i="1"/>
  <c r="EW7" i="1"/>
  <c r="CU9" i="1"/>
  <c r="CY14" i="1"/>
  <c r="CS14" i="1"/>
  <c r="EX14" i="1" s="1"/>
  <c r="ER11" i="1"/>
  <c r="ET11" i="1"/>
  <c r="CQ12" i="1"/>
  <c r="CP16" i="1"/>
  <c r="EQ15" i="1"/>
  <c r="CW19" i="1"/>
  <c r="CR10" i="1"/>
  <c r="EY9" i="1"/>
  <c r="CX10" i="1"/>
  <c r="CX11" i="1" s="1"/>
  <c r="HK9" i="1"/>
  <c r="HK2" i="1" s="1"/>
  <c r="GQ9" i="1"/>
  <c r="HA9" i="1"/>
  <c r="EX9" i="1" l="1"/>
  <c r="CW10" i="1"/>
  <c r="CW20" i="1"/>
  <c r="CW22" i="1"/>
  <c r="DB10" i="1"/>
  <c r="FC9" i="1"/>
  <c r="CR11" i="1"/>
  <c r="ES10" i="1"/>
  <c r="CT10" i="1"/>
  <c r="EU10" i="1" s="1"/>
  <c r="EW8" i="1"/>
  <c r="CV9" i="1"/>
  <c r="EV9" i="1" s="1"/>
  <c r="CU10" i="1"/>
  <c r="CY15" i="1"/>
  <c r="EZ15" i="1" s="1"/>
  <c r="EY11" i="1"/>
  <c r="CX12" i="1"/>
  <c r="CS15" i="1"/>
  <c r="EX15" i="1" s="1"/>
  <c r="ER12" i="1"/>
  <c r="CQ13" i="1"/>
  <c r="ET12" i="1"/>
  <c r="CP17" i="1"/>
  <c r="EQ16" i="1"/>
  <c r="EY10" i="1"/>
  <c r="HL9" i="1"/>
  <c r="HL2" i="1" s="1"/>
  <c r="HB9" i="1"/>
  <c r="GR9" i="1"/>
  <c r="EX10" i="1" l="1"/>
  <c r="CW11" i="1"/>
  <c r="CW21" i="1"/>
  <c r="CW23" i="1"/>
  <c r="DB11" i="1"/>
  <c r="FC10" i="1"/>
  <c r="ES11" i="1"/>
  <c r="CR12" i="1"/>
  <c r="CT11" i="1"/>
  <c r="EU11" i="1" s="1"/>
  <c r="EW9" i="1"/>
  <c r="CV10" i="1"/>
  <c r="EV10" i="1" s="1"/>
  <c r="CU11" i="1"/>
  <c r="CU12" i="1" s="1"/>
  <c r="CY16" i="1"/>
  <c r="EY12" i="1"/>
  <c r="CX13" i="1"/>
  <c r="CS16" i="1"/>
  <c r="EX16" i="1" s="1"/>
  <c r="ER13" i="1"/>
  <c r="CQ14" i="1"/>
  <c r="ET13" i="1"/>
  <c r="EQ17" i="1"/>
  <c r="CP18" i="1"/>
  <c r="HC9" i="1"/>
  <c r="GS9" i="1"/>
  <c r="HM9" i="1"/>
  <c r="HM2" i="1" s="1"/>
  <c r="EX11" i="1" l="1"/>
  <c r="CW12" i="1"/>
  <c r="CW24" i="1"/>
  <c r="DB12" i="1"/>
  <c r="FC11" i="1"/>
  <c r="ES12" i="1"/>
  <c r="CR13" i="1"/>
  <c r="CT12" i="1"/>
  <c r="EU12" i="1" s="1"/>
  <c r="EW10" i="1"/>
  <c r="CV11" i="1"/>
  <c r="EV11" i="1" s="1"/>
  <c r="CU13" i="1"/>
  <c r="CY17" i="1"/>
  <c r="EY13" i="1"/>
  <c r="CX14" i="1"/>
  <c r="CS17" i="1"/>
  <c r="EX17" i="1" s="1"/>
  <c r="ER14" i="1"/>
  <c r="ET14" i="1"/>
  <c r="CQ15" i="1"/>
  <c r="CP19" i="1"/>
  <c r="CP20" i="1" s="1"/>
  <c r="CP21" i="1" s="1"/>
  <c r="EQ18" i="1"/>
  <c r="HD9" i="1"/>
  <c r="HO9" i="1" s="1"/>
  <c r="HO2" i="1" s="1"/>
  <c r="HN9" i="1"/>
  <c r="HN2" i="1" s="1"/>
  <c r="GB3" i="1" a="1"/>
  <c r="FX3" i="1" a="1"/>
  <c r="FT3" i="1" a="1"/>
  <c r="EX12" i="1" l="1"/>
  <c r="CW13" i="1"/>
  <c r="EX13" i="1" s="1"/>
  <c r="CW25" i="1"/>
  <c r="CP22" i="1"/>
  <c r="EQ21" i="1"/>
  <c r="DE29" i="1"/>
  <c r="FF29" i="1" s="1"/>
  <c r="DE28" i="1"/>
  <c r="FF28" i="1" s="1"/>
  <c r="DE26" i="1"/>
  <c r="FF26" i="1" s="1"/>
  <c r="DE25" i="1"/>
  <c r="FF25" i="1" s="1"/>
  <c r="DE24" i="1"/>
  <c r="FF24" i="1" s="1"/>
  <c r="DE22" i="1"/>
  <c r="FF22" i="1" s="1"/>
  <c r="DE21" i="1"/>
  <c r="FF21" i="1" s="1"/>
  <c r="DB13" i="1"/>
  <c r="FC12" i="1"/>
  <c r="ES13" i="1"/>
  <c r="CR14" i="1"/>
  <c r="ES14" i="1" s="1"/>
  <c r="EQ20" i="1"/>
  <c r="CT13" i="1"/>
  <c r="EU13" i="1" s="1"/>
  <c r="EW11" i="1"/>
  <c r="CV12" i="1"/>
  <c r="CU14" i="1"/>
  <c r="CY18" i="1"/>
  <c r="EZ18" i="1" s="1"/>
  <c r="EY14" i="1"/>
  <c r="CX15" i="1"/>
  <c r="CS18" i="1"/>
  <c r="EX18" i="1" s="1"/>
  <c r="ER15" i="1"/>
  <c r="ET15" i="1"/>
  <c r="CQ16" i="1"/>
  <c r="EQ19" i="1"/>
  <c r="GB3" i="1"/>
  <c r="FX3" i="1"/>
  <c r="FT3" i="1"/>
  <c r="FZ3" i="1" a="1"/>
  <c r="CW26" i="1" l="1"/>
  <c r="CP23" i="1"/>
  <c r="EQ22" i="1"/>
  <c r="CR15" i="1"/>
  <c r="FC13" i="1"/>
  <c r="DB14" i="1"/>
  <c r="CT14" i="1"/>
  <c r="EU14" i="1" s="1"/>
  <c r="CV13" i="1"/>
  <c r="EW12" i="1"/>
  <c r="EV12" i="1"/>
  <c r="CU15" i="1"/>
  <c r="CY19" i="1"/>
  <c r="CY20" i="1" s="1"/>
  <c r="EY15" i="1"/>
  <c r="CX16" i="1"/>
  <c r="CS19" i="1"/>
  <c r="ER16" i="1"/>
  <c r="ET16" i="1"/>
  <c r="CQ17" i="1"/>
  <c r="FZ3" i="1"/>
  <c r="FU3" i="1" a="1"/>
  <c r="DC3" i="1"/>
  <c r="GC3" i="1" a="1"/>
  <c r="FY3" i="1" a="1"/>
  <c r="FV3" i="1" a="1"/>
  <c r="GD3" i="1" a="1"/>
  <c r="CS20" i="1" l="1"/>
  <c r="EX19" i="1"/>
  <c r="ES15" i="1"/>
  <c r="CR16" i="1"/>
  <c r="CW27" i="1"/>
  <c r="CP24" i="1"/>
  <c r="EQ23" i="1"/>
  <c r="EZ20" i="1"/>
  <c r="CY21" i="1"/>
  <c r="CY22" i="1" s="1"/>
  <c r="CY23" i="1" s="1"/>
  <c r="CY24" i="1" s="1"/>
  <c r="CY25" i="1" s="1"/>
  <c r="CY26" i="1" s="1"/>
  <c r="CY27" i="1" s="1"/>
  <c r="CY28" i="1" s="1"/>
  <c r="CY29" i="1" s="1"/>
  <c r="CS22" i="1"/>
  <c r="EX22" i="1" s="1"/>
  <c r="FC14" i="1"/>
  <c r="DB15" i="1"/>
  <c r="CT15" i="1"/>
  <c r="EU15" i="1" s="1"/>
  <c r="EW13" i="1"/>
  <c r="EV13" i="1"/>
  <c r="CV14" i="1"/>
  <c r="EV14" i="1" s="1"/>
  <c r="CU16" i="1"/>
  <c r="EY16" i="1"/>
  <c r="CX17" i="1"/>
  <c r="ER17" i="1"/>
  <c r="CQ18" i="1"/>
  <c r="ET17" i="1"/>
  <c r="FU3" i="1"/>
  <c r="FU2" i="1" s="1"/>
  <c r="GC3" i="1"/>
  <c r="GC2" i="1" s="1"/>
  <c r="FY3" i="1"/>
  <c r="FY2" i="1" s="1"/>
  <c r="FV3" i="1"/>
  <c r="FV2" i="1" s="1"/>
  <c r="FZ2" i="1"/>
  <c r="GD3" i="1"/>
  <c r="GD2" i="1" s="1"/>
  <c r="FD3" i="1"/>
  <c r="DC4" i="1"/>
  <c r="EX20" i="1" l="1"/>
  <c r="CS21" i="1"/>
  <c r="EX21" i="1" s="1"/>
  <c r="ES16" i="1"/>
  <c r="CR17" i="1"/>
  <c r="CW28" i="1"/>
  <c r="CP25" i="1"/>
  <c r="EQ24" i="1"/>
  <c r="CS23" i="1"/>
  <c r="EX23" i="1" s="1"/>
  <c r="FC15" i="1"/>
  <c r="DB16" i="1"/>
  <c r="CT16" i="1"/>
  <c r="EU16" i="1" s="1"/>
  <c r="EW14" i="1"/>
  <c r="CV15" i="1"/>
  <c r="EV15" i="1" s="1"/>
  <c r="CU17" i="1"/>
  <c r="EY17" i="1"/>
  <c r="CX18" i="1"/>
  <c r="ER18" i="1"/>
  <c r="CQ19" i="1"/>
  <c r="CQ20" i="1" s="1"/>
  <c r="CQ21" i="1" s="1"/>
  <c r="ET18" i="1"/>
  <c r="FD4" i="1"/>
  <c r="DC5" i="1"/>
  <c r="ES17" i="1" l="1"/>
  <c r="CR18" i="1"/>
  <c r="CW29" i="1"/>
  <c r="CP26" i="1"/>
  <c r="EQ25" i="1"/>
  <c r="CS24" i="1"/>
  <c r="EX24" i="1" s="1"/>
  <c r="ET21" i="1"/>
  <c r="ER21" i="1"/>
  <c r="CQ22" i="1"/>
  <c r="FC16" i="1"/>
  <c r="DB17" i="1"/>
  <c r="ET20" i="1"/>
  <c r="ER20" i="1"/>
  <c r="CT17" i="1"/>
  <c r="EU17" i="1" s="1"/>
  <c r="EW15" i="1"/>
  <c r="CV16" i="1"/>
  <c r="EV16" i="1" s="1"/>
  <c r="CU18" i="1"/>
  <c r="EY18" i="1"/>
  <c r="CX19" i="1"/>
  <c r="CX20" i="1" s="1"/>
  <c r="CX21" i="1" s="1"/>
  <c r="CX22" i="1" s="1"/>
  <c r="CX23" i="1" s="1"/>
  <c r="ER19" i="1"/>
  <c r="ET19" i="1"/>
  <c r="DC6" i="1"/>
  <c r="FD5" i="1"/>
  <c r="ES18" i="1" l="1"/>
  <c r="CR19" i="1"/>
  <c r="ES19" i="1" s="1"/>
  <c r="CP27" i="1"/>
  <c r="EQ26" i="1"/>
  <c r="CS25" i="1"/>
  <c r="EX25" i="1" s="1"/>
  <c r="ET22" i="1"/>
  <c r="CQ23" i="1"/>
  <c r="ER22" i="1"/>
  <c r="EY23" i="1"/>
  <c r="CX24" i="1"/>
  <c r="CX25" i="1" s="1"/>
  <c r="CX26" i="1" s="1"/>
  <c r="FC17" i="1"/>
  <c r="DB18" i="1"/>
  <c r="CR20" i="1"/>
  <c r="CT18" i="1"/>
  <c r="EU18" i="1" s="1"/>
  <c r="EW16" i="1"/>
  <c r="CV17" i="1"/>
  <c r="CU19" i="1"/>
  <c r="CU20" i="1" s="1"/>
  <c r="CU21" i="1" s="1"/>
  <c r="CU22" i="1" s="1"/>
  <c r="CU23" i="1" s="1"/>
  <c r="CU24" i="1" s="1"/>
  <c r="CU25" i="1" s="1"/>
  <c r="CU26" i="1" s="1"/>
  <c r="CU27" i="1" s="1"/>
  <c r="CU28" i="1" s="1"/>
  <c r="CU29" i="1" s="1"/>
  <c r="EY19" i="1"/>
  <c r="FD6" i="1"/>
  <c r="DC7" i="1"/>
  <c r="CP28" i="1" l="1"/>
  <c r="EQ27" i="1"/>
  <c r="CS26" i="1"/>
  <c r="EX26" i="1" s="1"/>
  <c r="ET23" i="1"/>
  <c r="CQ24" i="1"/>
  <c r="ER23" i="1"/>
  <c r="EY26" i="1"/>
  <c r="CX27" i="1"/>
  <c r="ES20" i="1"/>
  <c r="CR21" i="1"/>
  <c r="FC18" i="1"/>
  <c r="DB19" i="1"/>
  <c r="CT19" i="1"/>
  <c r="EU19" i="1" s="1"/>
  <c r="CV18" i="1"/>
  <c r="EW17" i="1"/>
  <c r="EV17" i="1"/>
  <c r="FD7" i="1"/>
  <c r="DC8" i="1"/>
  <c r="DC9" i="1" s="1"/>
  <c r="CP29" i="1" l="1"/>
  <c r="EQ28" i="1"/>
  <c r="CS27" i="1"/>
  <c r="EX27" i="1" s="1"/>
  <c r="ET24" i="1"/>
  <c r="CQ25" i="1"/>
  <c r="ER24" i="1"/>
  <c r="EY27" i="1"/>
  <c r="CX28" i="1"/>
  <c r="CX29" i="1" s="1"/>
  <c r="ES21" i="1"/>
  <c r="CR22" i="1"/>
  <c r="DB20" i="1"/>
  <c r="FC19" i="1"/>
  <c r="CT20" i="1"/>
  <c r="EW18" i="1"/>
  <c r="EV18" i="1"/>
  <c r="CV19" i="1"/>
  <c r="FD8" i="1"/>
  <c r="FD9" i="1"/>
  <c r="DC10" i="1"/>
  <c r="EQ29" i="1" l="1"/>
  <c r="CS28" i="1"/>
  <c r="EX28" i="1" s="1"/>
  <c r="ET25" i="1"/>
  <c r="CQ26" i="1"/>
  <c r="ER25" i="1"/>
  <c r="CR23" i="1"/>
  <c r="ES22" i="1"/>
  <c r="FC20" i="1"/>
  <c r="DB21" i="1"/>
  <c r="EU20" i="1"/>
  <c r="CT21" i="1"/>
  <c r="EV19" i="1"/>
  <c r="CV20" i="1"/>
  <c r="CV21" i="1" s="1"/>
  <c r="CV22" i="1" s="1"/>
  <c r="CV23" i="1" s="1"/>
  <c r="CV24" i="1" s="1"/>
  <c r="CV25" i="1" s="1"/>
  <c r="CV26" i="1" s="1"/>
  <c r="CV27" i="1" s="1"/>
  <c r="CV28" i="1" s="1"/>
  <c r="CV29" i="1" s="1"/>
  <c r="EW19" i="1"/>
  <c r="FD10" i="1"/>
  <c r="DC11" i="1"/>
  <c r="CS29" i="1" l="1"/>
  <c r="EX29" i="1" s="1"/>
  <c r="ET26" i="1"/>
  <c r="ER26" i="1"/>
  <c r="CQ27" i="1"/>
  <c r="CR24" i="1"/>
  <c r="ES23" i="1"/>
  <c r="FC21" i="1"/>
  <c r="DB22" i="1"/>
  <c r="EU21" i="1"/>
  <c r="EW21" i="1"/>
  <c r="EV21" i="1"/>
  <c r="CT22" i="1"/>
  <c r="EV20" i="1"/>
  <c r="EW20" i="1"/>
  <c r="DC12" i="1"/>
  <c r="FD11" i="1"/>
  <c r="ET27" i="1" l="1"/>
  <c r="CQ28" i="1"/>
  <c r="ER27" i="1"/>
  <c r="CR25" i="1"/>
  <c r="ES24" i="1"/>
  <c r="FC22" i="1"/>
  <c r="DB23" i="1"/>
  <c r="CT23" i="1"/>
  <c r="EW22" i="1"/>
  <c r="EV22" i="1"/>
  <c r="EU22" i="1"/>
  <c r="FD12" i="1"/>
  <c r="DC13" i="1"/>
  <c r="ET28" i="1" l="1"/>
  <c r="CQ29" i="1"/>
  <c r="ER28" i="1"/>
  <c r="CR26" i="1"/>
  <c r="ES25" i="1"/>
  <c r="DB24" i="1"/>
  <c r="FC23" i="1"/>
  <c r="CT24" i="1"/>
  <c r="EW23" i="1"/>
  <c r="EV23" i="1"/>
  <c r="EU23" i="1"/>
  <c r="DC14" i="1"/>
  <c r="FD13" i="1"/>
  <c r="ET29" i="1" l="1"/>
  <c r="ER29" i="1"/>
  <c r="CR27" i="1"/>
  <c r="ES26" i="1"/>
  <c r="DB25" i="1"/>
  <c r="FC24" i="1"/>
  <c r="CT25" i="1"/>
  <c r="EW24" i="1"/>
  <c r="EV24" i="1"/>
  <c r="EU24" i="1"/>
  <c r="DC15" i="1"/>
  <c r="FD14" i="1"/>
  <c r="CR28" i="1" l="1"/>
  <c r="ES27" i="1"/>
  <c r="DB26" i="1"/>
  <c r="FC25" i="1"/>
  <c r="CT26" i="1"/>
  <c r="EW25" i="1"/>
  <c r="EV25" i="1"/>
  <c r="EU25" i="1"/>
  <c r="DC16" i="1"/>
  <c r="FD15" i="1"/>
  <c r="CR29" i="1" l="1"/>
  <c r="ES28" i="1"/>
  <c r="FC26" i="1"/>
  <c r="DB27" i="1"/>
  <c r="CT27" i="1"/>
  <c r="EV26" i="1"/>
  <c r="EU26" i="1"/>
  <c r="EW26" i="1"/>
  <c r="FD16" i="1"/>
  <c r="DC17" i="1"/>
  <c r="ES29" i="1" l="1"/>
  <c r="DB28" i="1"/>
  <c r="FC27" i="1"/>
  <c r="CT28" i="1"/>
  <c r="EW27" i="1"/>
  <c r="EV27" i="1"/>
  <c r="EU27" i="1"/>
  <c r="DC18" i="1"/>
  <c r="FD17" i="1"/>
  <c r="DB29" i="1" l="1"/>
  <c r="FC28" i="1"/>
  <c r="CT29" i="1"/>
  <c r="EW28" i="1"/>
  <c r="EV28" i="1"/>
  <c r="EU28" i="1"/>
  <c r="DC19" i="1"/>
  <c r="DC20" i="1" s="1"/>
  <c r="DC21" i="1" s="1"/>
  <c r="FD18" i="1"/>
  <c r="FC29" i="1" l="1"/>
  <c r="EW29" i="1"/>
  <c r="EV29" i="1"/>
  <c r="EU29" i="1"/>
  <c r="FD21" i="1"/>
  <c r="DC22" i="1"/>
  <c r="FD20" i="1"/>
  <c r="FD19" i="1"/>
  <c r="DC23" i="1" l="1"/>
  <c r="FD22" i="1"/>
  <c r="DC24" i="1" l="1"/>
  <c r="FD23" i="1"/>
  <c r="DC25" i="1" l="1"/>
  <c r="FD24" i="1"/>
  <c r="DC26" i="1" l="1"/>
  <c r="FD25" i="1"/>
  <c r="DC27" i="1" l="1"/>
  <c r="FD26" i="1"/>
  <c r="DC28" i="1" l="1"/>
  <c r="FD27" i="1"/>
  <c r="DC29" i="1" l="1"/>
  <c r="FD28" i="1"/>
  <c r="FD29" i="1" l="1"/>
  <c r="DE4" i="1" l="1"/>
  <c r="DE5" i="1" l="1"/>
  <c r="FF4" i="1"/>
  <c r="FF5" i="1" l="1"/>
  <c r="DE9" i="1" l="1"/>
  <c r="DE10" i="1" l="1"/>
  <c r="DE11" i="1" s="1"/>
  <c r="FF11" i="1" s="1"/>
  <c r="FF9" i="1"/>
  <c r="FF10" i="1" l="1"/>
  <c r="DE12" i="1"/>
  <c r="FF12" i="1" l="1"/>
  <c r="DE13" i="1"/>
  <c r="FF13" i="1" l="1"/>
  <c r="DE14" i="1"/>
  <c r="FF14" i="1" l="1"/>
  <c r="DE16" i="1" l="1"/>
  <c r="FF16" i="1" l="1"/>
  <c r="DE19" i="1" l="1"/>
  <c r="DE20" i="1" l="1"/>
  <c r="FF19" i="1"/>
  <c r="FF20" i="1" l="1"/>
  <c r="GO6" i="1" l="1"/>
  <c r="GZ6" i="1" s="1"/>
  <c r="GO7" i="1"/>
  <c r="FL3" i="1" a="1"/>
  <c r="FL3" i="1" l="1"/>
  <c r="GZ7" i="1"/>
  <c r="GO8" i="1"/>
  <c r="FM3" i="1" a="1"/>
  <c r="FN3" i="1" a="1"/>
  <c r="FN3" i="1" l="1"/>
  <c r="FM3" i="1"/>
  <c r="GO2" i="1"/>
  <c r="GZ8" i="1"/>
  <c r="GZ2" i="1" s="1"/>
  <c r="GP7" i="1" l="1"/>
  <c r="GP6" i="1"/>
  <c r="HA6" i="1" s="1"/>
  <c r="CZ2" i="1"/>
  <c r="GP8" i="1" l="1"/>
  <c r="HA7" i="1"/>
  <c r="CZ3" i="1"/>
  <c r="GP2" i="1" l="1"/>
  <c r="HA8" i="1"/>
  <c r="HA2" i="1" s="1"/>
  <c r="CZ4" i="1"/>
  <c r="FA3" i="1"/>
  <c r="FA4" i="1" l="1"/>
  <c r="CZ5" i="1"/>
  <c r="CZ6" i="1" l="1"/>
  <c r="FA5" i="1"/>
  <c r="CZ7" i="1" l="1"/>
  <c r="FA6" i="1"/>
  <c r="CZ8" i="1" l="1"/>
  <c r="FA7" i="1"/>
  <c r="CZ9" i="1" l="1"/>
  <c r="FA8" i="1"/>
  <c r="CZ10" i="1" l="1"/>
  <c r="FA9" i="1"/>
  <c r="FA10" i="1" l="1"/>
  <c r="CZ11" i="1"/>
  <c r="CZ12" i="1" l="1"/>
  <c r="FA11" i="1"/>
  <c r="CZ13" i="1" l="1"/>
  <c r="FA12" i="1"/>
  <c r="FA13" i="1" l="1"/>
  <c r="CZ14" i="1"/>
  <c r="CZ15" i="1" l="1"/>
  <c r="FA14" i="1"/>
  <c r="FA15" i="1" l="1"/>
  <c r="CZ16" i="1"/>
  <c r="CZ17" i="1" l="1"/>
  <c r="FA16" i="1"/>
  <c r="CZ18" i="1" l="1"/>
  <c r="FA17" i="1"/>
  <c r="CZ19" i="1" l="1"/>
  <c r="FA18" i="1"/>
  <c r="CZ20" i="1" l="1"/>
  <c r="FA19" i="1"/>
  <c r="CZ21" i="1" l="1"/>
  <c r="FA20" i="1"/>
  <c r="FA21" i="1" l="1"/>
  <c r="CZ22" i="1"/>
  <c r="FA22" i="1" l="1"/>
  <c r="CZ23" i="1"/>
  <c r="FA23" i="1" l="1"/>
  <c r="CZ24" i="1"/>
  <c r="FA24" i="1" l="1"/>
  <c r="CZ25" i="1"/>
  <c r="FA25" i="1" l="1"/>
  <c r="CZ26" i="1"/>
  <c r="FA26" i="1" l="1"/>
  <c r="CZ27" i="1"/>
  <c r="FA27" i="1" l="1"/>
  <c r="CZ28" i="1"/>
  <c r="FA28" i="1" l="1"/>
  <c r="CZ29" i="1"/>
  <c r="FA29" i="1" l="1"/>
  <c r="GN7" i="1" l="1"/>
  <c r="GN6" i="1"/>
  <c r="GY6" i="1" s="1"/>
  <c r="GN8" i="1" l="1"/>
  <c r="GY7" i="1"/>
  <c r="GN2" i="1" l="1"/>
  <c r="GY8" i="1"/>
  <c r="GY2" i="1" s="1"/>
  <c r="GQ7" i="1" l="1"/>
  <c r="GQ6" i="1"/>
  <c r="HB6" i="1" s="1"/>
  <c r="GJ6" i="1" l="1"/>
  <c r="GU6" i="1" s="1"/>
  <c r="GJ7" i="1"/>
  <c r="HB7" i="1"/>
  <c r="GQ8" i="1"/>
  <c r="GU7" i="1" l="1"/>
  <c r="GJ8" i="1"/>
  <c r="GQ2" i="1"/>
  <c r="HB8" i="1"/>
  <c r="HB2" i="1" s="1"/>
  <c r="GU8" i="1" l="1"/>
  <c r="GU2" i="1" s="1"/>
  <c r="GJ2" i="1"/>
  <c r="GM7" i="1"/>
  <c r="GM6" i="1"/>
  <c r="GX6" i="1" s="1"/>
  <c r="GX7" i="1" l="1"/>
  <c r="GM8" i="1"/>
  <c r="GX8" i="1" l="1"/>
  <c r="GX2" i="1" s="1"/>
  <c r="GM2" i="1"/>
  <c r="GK7" i="1"/>
  <c r="GK6" i="1"/>
  <c r="GV6" i="1" s="1"/>
  <c r="GK8" i="1" l="1"/>
  <c r="GV7" i="1"/>
  <c r="GV8" i="1" l="1"/>
  <c r="GV2" i="1" s="1"/>
  <c r="GK2" i="1"/>
  <c r="GL6" i="1" l="1"/>
  <c r="GW6" i="1" s="1"/>
  <c r="GL7" i="1"/>
  <c r="GL8" i="1" l="1"/>
  <c r="GW7" i="1"/>
  <c r="GW8" i="1" l="1"/>
  <c r="GW2" i="1" s="1"/>
  <c r="GL2" i="1"/>
  <c r="GR6" i="1"/>
  <c r="HC6" i="1" s="1"/>
  <c r="GR7" i="1"/>
  <c r="HC7" i="1" l="1"/>
  <c r="GR8" i="1"/>
  <c r="HC8" i="1" l="1"/>
  <c r="HC2" i="1" s="1"/>
  <c r="GR2" i="1"/>
  <c r="DD2" i="1" l="1"/>
  <c r="DD3" i="1" l="1"/>
  <c r="FE3" i="1" l="1"/>
  <c r="DD4" i="1"/>
  <c r="DD5" i="1" l="1"/>
  <c r="FE4" i="1"/>
  <c r="FE5" i="1" l="1"/>
  <c r="DD6" i="1"/>
  <c r="FE6" i="1" l="1"/>
  <c r="DD7" i="1"/>
  <c r="DD8" i="1" l="1"/>
  <c r="FE7" i="1"/>
  <c r="DD9" i="1" l="1"/>
  <c r="FE8" i="1"/>
  <c r="DD10" i="1" l="1"/>
  <c r="FE9" i="1"/>
  <c r="DD11" i="1" l="1"/>
  <c r="FE10" i="1"/>
  <c r="DD12" i="1" l="1"/>
  <c r="FE11" i="1"/>
  <c r="DD13" i="1" l="1"/>
  <c r="FE12" i="1"/>
  <c r="DD14" i="1" l="1"/>
  <c r="FE13" i="1"/>
  <c r="DD15" i="1" l="1"/>
  <c r="FE14" i="1"/>
  <c r="DD16" i="1" l="1"/>
  <c r="FE15" i="1"/>
  <c r="DD17" i="1" l="1"/>
  <c r="FE16" i="1"/>
  <c r="DD18" i="1" l="1"/>
  <c r="FE17" i="1"/>
  <c r="DD19" i="1" l="1"/>
  <c r="FE18" i="1"/>
  <c r="DD20" i="1" l="1"/>
  <c r="FE19" i="1"/>
  <c r="FE20" i="1" l="1"/>
  <c r="DD21" i="1"/>
  <c r="DD22" i="1" l="1"/>
  <c r="FE21" i="1"/>
  <c r="DD23" i="1" l="1"/>
  <c r="FE22" i="1"/>
  <c r="DD24" i="1" l="1"/>
  <c r="FE23" i="1"/>
  <c r="DD25" i="1" l="1"/>
  <c r="FE24" i="1"/>
  <c r="DD26" i="1" l="1"/>
  <c r="FE25" i="1"/>
  <c r="DD27" i="1" l="1"/>
  <c r="FE26" i="1"/>
  <c r="DD28" i="1" l="1"/>
  <c r="FE27" i="1"/>
  <c r="DD29" i="1" l="1"/>
  <c r="FE28" i="1"/>
  <c r="FE29" i="1" l="1"/>
  <c r="DA2" i="1" l="1"/>
  <c r="DA3" i="1" s="1"/>
  <c r="DA4" i="1" l="1"/>
  <c r="FB3" i="1"/>
  <c r="DA5" i="1" l="1"/>
  <c r="FB4" i="1"/>
  <c r="DA6" i="1" l="1"/>
  <c r="FB5" i="1"/>
  <c r="DA7" i="1" l="1"/>
  <c r="FB6" i="1"/>
  <c r="DA8" i="1" l="1"/>
  <c r="FB7" i="1"/>
  <c r="DA9" i="1" l="1"/>
  <c r="FB8" i="1"/>
  <c r="DA10" i="1" l="1"/>
  <c r="FB9" i="1"/>
  <c r="DA11" i="1" l="1"/>
  <c r="FB10" i="1"/>
  <c r="DA12" i="1" l="1"/>
  <c r="FB11" i="1"/>
  <c r="DA13" i="1" l="1"/>
  <c r="FB12" i="1"/>
  <c r="DA14" i="1" l="1"/>
  <c r="FB13" i="1"/>
  <c r="DA15" i="1" l="1"/>
  <c r="FB14" i="1"/>
  <c r="DA16" i="1" l="1"/>
  <c r="FB15" i="1"/>
  <c r="DA17" i="1" l="1"/>
  <c r="FB16" i="1"/>
  <c r="DA18" i="1" l="1"/>
  <c r="FB17" i="1"/>
  <c r="DA19" i="1" l="1"/>
  <c r="FB18" i="1"/>
  <c r="DA20" i="1" l="1"/>
  <c r="FB19" i="1"/>
  <c r="DA21" i="1" l="1"/>
  <c r="FB20" i="1"/>
  <c r="FB21" i="1" l="1"/>
  <c r="DA22" i="1"/>
  <c r="FB22" i="1" l="1"/>
  <c r="DA23" i="1"/>
  <c r="FB23" i="1" l="1"/>
  <c r="DA24" i="1"/>
  <c r="FB24" i="1" l="1"/>
  <c r="DA25" i="1"/>
  <c r="FB25" i="1" l="1"/>
  <c r="DA26" i="1"/>
  <c r="FB26" i="1" l="1"/>
  <c r="DA27" i="1"/>
  <c r="FB27" i="1" l="1"/>
  <c r="DA28" i="1"/>
  <c r="FB28" i="1" l="1"/>
  <c r="DA29" i="1"/>
  <c r="FB29" i="1" l="1"/>
  <c r="DE2" i="1" l="1"/>
  <c r="DE3" i="1" l="1"/>
  <c r="FF3" i="1" l="1"/>
  <c r="DE6" i="1"/>
  <c r="FF6" i="1" l="1"/>
  <c r="DE7" i="1"/>
  <c r="FF7" i="1" l="1"/>
  <c r="DE8" i="1"/>
  <c r="FF8" i="1" l="1"/>
  <c r="DE15" i="1"/>
  <c r="DE17" i="1" l="1"/>
  <c r="FF15" i="1"/>
  <c r="DE18" i="1" l="1"/>
  <c r="FF17" i="1"/>
  <c r="DE23" i="1" l="1"/>
  <c r="FF18" i="1"/>
  <c r="DE27" i="1" l="1"/>
  <c r="FF23" i="1"/>
  <c r="FF27" i="1" l="1"/>
  <c r="GS6" i="1" l="1"/>
  <c r="HD6" i="1" s="1"/>
  <c r="GS7" i="1"/>
  <c r="HD7" i="1" l="1"/>
  <c r="GS8" i="1"/>
  <c r="GS2" i="1" l="1"/>
  <c r="HD8" i="1"/>
  <c r="HD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SANDRA APARECIDA DA SILVA</author>
  </authors>
  <commentList>
    <comment ref="A2" authorId="0" shapeId="0" xr:uid="{09901097-0771-4E4E-9704-818C85E4581A}">
      <text>
        <r>
          <rPr>
            <sz val="10"/>
            <rFont val="Arial"/>
            <family val="2"/>
          </rPr>
          <t>Campo da Total: 
Data de Admissão</t>
        </r>
      </text>
    </comment>
    <comment ref="B2" authorId="0" shapeId="0" xr:uid="{9CE6035B-0F24-4900-BC5A-5DFD62BF530A}">
      <text>
        <r>
          <rPr>
            <sz val="10"/>
            <rFont val="Arial"/>
            <family val="2"/>
          </rPr>
          <t>Campo total:
Data de Desligamento</t>
        </r>
      </text>
    </comment>
    <comment ref="D2" authorId="0" shapeId="0" xr:uid="{E9EF8250-7C3F-4CD3-AF1D-7A3A168D94EE}">
      <text>
        <r>
          <rPr>
            <sz val="10"/>
            <rFont val="Arial"/>
            <family val="2"/>
          </rPr>
          <t>Campo total:
Código da situação
OBS.: O valor deste campo deverá ser relacionado aos valores utilizados na base Teknisa. 
18 - SITUAÇÃO FUNCIONAL
Chave Valor
1 Atividade Normal
2 Afastamento com Direito FGTS/INSS (até 15 dias)
3 Afastamento Acidente Trabalho mais 15 Dias
4 Afastamento Serviço Militar
5 Afastamento Licença Gestante
6 Afastamento Doença Superior 15 Dias
7 Afastamento sem Atividade Ocupando Vaga na Empresa
8 Novo Afastamento Acidente de Trabalho 60 Dias
9 Novo afastamento temporário em decorrência da mesma doença, dentro de 60
dias;
10 Falecido
11 Prorrogação Afastamento Licença Gestante
12 Atestado Médico
13 Demitido
14 Afastamento Invalidez
100001 Af.Ac.Trabalho
100002 Af.Previdência
100003 Férias
Pebbian HRM Página 24 / 38
18 - SITUAÇÃO FUNCIONAL
Chave Valor
100004 Linceça sem vencimento</t>
        </r>
      </text>
    </comment>
    <comment ref="E2" authorId="0" shapeId="0" xr:uid="{3687B623-F464-4618-A1CC-A13501F0377C}">
      <text>
        <r>
          <rPr>
            <sz val="10"/>
            <rFont val="Arial"/>
            <family val="2"/>
          </rPr>
          <t>Campo total:
Código do Horário</t>
        </r>
      </text>
    </comment>
    <comment ref="F2" authorId="0" shapeId="0" xr:uid="{FA97A911-008A-4946-8296-871D21212388}">
      <text>
        <r>
          <rPr>
            <sz val="10"/>
            <rFont val="Arial"/>
            <family val="2"/>
          </rPr>
          <t>Valor fixo informado</t>
        </r>
      </text>
    </comment>
    <comment ref="G2" authorId="0" shapeId="0" xr:uid="{EB887199-D1A0-4062-898C-B166D69DFAA0}">
      <text>
        <r>
          <rPr>
            <sz val="10"/>
            <rFont val="Arial"/>
            <family val="2"/>
          </rPr>
          <t>Campo total:
Contribuição Sindical
Utilizando a fórmula: =SE(A1="J";"DESCONTOU";SE(A1="L";"SEMPRE";"NUNCA"))</t>
        </r>
      </text>
    </comment>
    <comment ref="AC2" authorId="0" shapeId="0" xr:uid="{629C9047-A918-4DBC-B98E-65FE3ABDB6A9}">
      <text>
        <r>
          <rPr>
            <sz val="10"/>
            <rFont val="Arial"/>
            <family val="2"/>
          </rPr>
          <t>CAMPO TOTAL:  COR/RACA
=SE(CA2="0"; "1"; SE(CA2="2";"2";se(CA2="4";"3";SE(CA2="6";"4";SE(CA2="8"; "5"; "6")))))</t>
        </r>
      </text>
    </comment>
    <comment ref="AH2" authorId="0" shapeId="0" xr:uid="{7C0F313C-7B7D-4D29-91CF-278A661F6319}">
      <text>
        <r>
          <rPr>
            <sz val="10"/>
            <rFont val="Arial"/>
            <family val="2"/>
          </rPr>
          <t>CAMPOS TOTAL: SEXO</t>
        </r>
      </text>
    </comment>
    <comment ref="AI2" authorId="0" shapeId="0" xr:uid="{60D434D0-EAFF-48AF-B521-F6E7A0E703E4}">
      <text>
        <r>
          <rPr>
            <sz val="10"/>
            <rFont val="Arial"/>
            <family val="2"/>
          </rPr>
          <t>Campo total:
Grupo Salarial</t>
        </r>
      </text>
    </comment>
    <comment ref="AL2" authorId="0" shapeId="0" xr:uid="{D6F05FB3-08FD-4CDD-AB03-7CEAC322AA87}">
      <text>
        <r>
          <rPr>
            <sz val="10"/>
            <rFont val="Arial"/>
            <family val="2"/>
          </rPr>
          <t>Campo total:
 Conta de Pagamento</t>
        </r>
      </text>
    </comment>
    <comment ref="AP2" authorId="0" shapeId="0" xr:uid="{364E8A89-DF02-400F-BDE3-C294AC6162B8}">
      <text>
        <r>
          <rPr>
            <sz val="10"/>
            <rFont val="Arial"/>
            <family val="2"/>
          </rPr>
          <t>Campo total:
Código da Filial</t>
        </r>
      </text>
    </comment>
    <comment ref="AQ2" authorId="1" shapeId="0" xr:uid="{A0A03D66-FF6A-45DE-8CA2-1673A502C2D6}">
      <text>
        <r>
          <rPr>
            <b/>
            <sz val="9"/>
            <color indexed="81"/>
            <rFont val="Segoe UI"/>
            <family val="2"/>
          </rPr>
          <t>SANDRA APARECIDA DA SILVA:</t>
        </r>
        <r>
          <rPr>
            <sz val="9"/>
            <color indexed="81"/>
            <rFont val="Segoe UI"/>
            <family val="2"/>
          </rPr>
          <t xml:space="preserve">
Número do posto de trabalho pegar da base de Vinculos</t>
        </r>
      </text>
    </comment>
    <comment ref="BB2" authorId="0" shapeId="0" xr:uid="{70FC8C45-041F-4E17-BCE6-76F9EE5A9EFB}">
      <text>
        <r>
          <rPr>
            <sz val="10"/>
            <rFont val="Arial"/>
            <family val="2"/>
          </rPr>
          <t>Campo total: Tipo de demissão.
Verificar o padrão de código utilizado pela base da Total</t>
        </r>
      </text>
    </comment>
    <comment ref="BC2" authorId="0" shapeId="0" xr:uid="{BAC74234-EE91-4650-81BF-91386DC291DF}">
      <text>
        <r>
          <rPr>
            <sz val="10"/>
            <rFont val="Arial"/>
            <family val="2"/>
          </rPr>
          <t>Campo total:
 Data de Opção de FGTS</t>
        </r>
      </text>
    </comment>
    <comment ref="BD2" authorId="0" shapeId="0" xr:uid="{937996B6-4947-42D2-868B-1E148EBA3A88}">
      <text>
        <r>
          <rPr>
            <sz val="10"/>
            <rFont val="Arial"/>
            <family val="2"/>
          </rPr>
          <t xml:space="preserve">Campo total:
Data de aposentadoria
Este campo não possui dado algum na base da total, exceto pelo valor “1”,  para o vínculo na linha 184
</t>
        </r>
      </text>
    </comment>
    <comment ref="BF2" authorId="0" shapeId="0" xr:uid="{ECC0D034-5D54-4039-8A89-2AA30E91300E}">
      <text>
        <r>
          <rPr>
            <sz val="10"/>
            <rFont val="Arial"/>
            <family val="2"/>
          </rPr>
          <t>Campo da total:
Código da Função
OBS.: Verificar equivalência entre os códigos de ocupação do Sistema Teknisa e do código de função dos dados da Total.
Verificar necessidade (ou viabilidade) de alterar a geração dos registros de ocupação, na migração desta estrutura.</t>
        </r>
      </text>
    </comment>
    <comment ref="BH2" authorId="0" shapeId="0" xr:uid="{EE631033-7E66-47E1-9A95-00BD4CC7E993}">
      <text>
        <r>
          <rPr>
            <sz val="10"/>
            <color indexed="8"/>
            <rFont val="Arial"/>
            <family val="2"/>
          </rPr>
          <t>Campo total:
Código Contribuinte Individual</t>
        </r>
      </text>
    </comment>
    <comment ref="BI2" authorId="0" shapeId="0" xr:uid="{AF17CC9F-8AA8-4373-BEB9-7204F8689E67}">
      <text>
        <r>
          <rPr>
            <sz val="10"/>
            <rFont val="Arial"/>
            <family val="2"/>
          </rPr>
          <t>Campo total:
Motivo da Demissão.
OBS.: Verificar Correspondência entre os códigos de tipo de rescisão do sistema teknisa e do sistema Total</t>
        </r>
      </text>
    </comment>
    <comment ref="BK2" authorId="0" shapeId="0" xr:uid="{302F1CA5-243E-4569-A8DC-ADE59CC0E89B}">
      <text>
        <r>
          <rPr>
            <sz val="10"/>
            <color indexed="8"/>
            <rFont val="Arial"/>
            <family val="2"/>
          </rPr>
          <t>Campo total:
Data do Aviso Prévio</t>
        </r>
      </text>
    </comment>
    <comment ref="BM2" authorId="0" shapeId="0" xr:uid="{26D701AE-AB3D-4218-919A-AC9805758584}">
      <text>
        <r>
          <rPr>
            <sz val="10"/>
            <rFont val="Arial"/>
            <family val="2"/>
          </rPr>
          <t>Campo total:
Fim do Prazo do Contrato</t>
        </r>
      </text>
    </comment>
    <comment ref="BQ2" authorId="0" shapeId="0" xr:uid="{FED4A201-BE6D-465E-867F-AA5493516CB1}">
      <text>
        <r>
          <rPr>
            <sz val="10"/>
            <rFont val="Arial"/>
            <family val="2"/>
          </rPr>
          <t>Campo total:
Número de Dependentes de IRRF</t>
        </r>
      </text>
    </comment>
    <comment ref="BR2" authorId="0" shapeId="0" xr:uid="{3FDBE0A8-EC72-4E68-A279-F83854A975C0}">
      <text>
        <r>
          <rPr>
            <sz val="10"/>
            <rFont val="Arial"/>
            <family val="2"/>
          </rPr>
          <t>Campo total:
Número de Dependentes de Salário Família</t>
        </r>
      </text>
    </comment>
    <comment ref="BU2" authorId="0" shapeId="0" xr:uid="{919A78D3-B97E-492A-8012-BC0B7806DF12}">
      <text>
        <r>
          <rPr>
            <sz val="10"/>
            <rFont val="Arial"/>
            <family val="2"/>
          </rPr>
          <t>Campo total:
Código do Sindicato
OBS.: Verificar se será necessário alterar os códigos de estrutura sindical. Na base da total, sindicato é armazenado em uma tabela diferente das demais estruturas (como seção). Os códigos para as estruturas da total, ao serem incluidos no sistema teknisa podem ser alterados</t>
        </r>
      </text>
    </comment>
    <comment ref="BY2" authorId="0" shapeId="0" xr:uid="{5890A660-4334-4768-BFF2-7C54FA41E304}">
      <text>
        <r>
          <rPr>
            <sz val="10"/>
            <rFont val="Arial"/>
            <family val="2"/>
          </rPr>
          <t>Campo total: Data do aviso previo</t>
        </r>
      </text>
    </comment>
    <comment ref="GJ6" authorId="0" shapeId="0" xr:uid="{AACC28E6-626C-41FF-8EC0-9FCA61AB630B}">
      <text>
        <r>
          <rPr>
            <sz val="11"/>
            <color rgb="FF000000"/>
            <rFont val="Calibri"/>
            <family val="2"/>
            <charset val="1"/>
          </rPr>
          <t>Cabeçalho do mnemônicos.
Primeira célula desse cabeçalho.</t>
        </r>
      </text>
    </comment>
    <comment ref="GJ7" authorId="0" shapeId="0" xr:uid="{FDD3D453-82CE-4F43-93A6-67F6615DFCCA}">
      <text>
        <r>
          <rPr>
            <sz val="11"/>
            <color rgb="FF000000"/>
            <rFont val="Calibri"/>
            <family val="2"/>
            <charset val="1"/>
          </rPr>
          <t>Cabeçalho do mnemônicos.
Primeira célula desse cabeçalho.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<sst xmlns="http://schemas.openxmlformats.org/spreadsheetml/2006/main" count="5011" uniqueCount="2586">
  <si>
    <t>→</t>
  </si>
  <si>
    <t>@CDMATRICULA@</t>
  </si>
  <si>
    <t>@NRSITUFUNCM@</t>
  </si>
  <si>
    <t>@NRESCALATRABM@</t>
  </si>
  <si>
    <t>@NOMEVINC@</t>
  </si>
  <si>
    <t>@CDESTACIVIL@</t>
  </si>
  <si>
    <t>@SERIECTPS@</t>
  </si>
  <si>
    <t>@UFCTPS@</t>
  </si>
  <si>
    <t>@PIS@</t>
  </si>
  <si>
    <t>@CDEXRG@</t>
  </si>
  <si>
    <t>@UFRG@</t>
  </si>
  <si>
    <t>@TITUELEI@</t>
  </si>
  <si>
    <t>@SECAOELEI@</t>
  </si>
  <si>
    <t>@ZONAELEI@</t>
  </si>
  <si>
    <t>@CNH@</t>
  </si>
  <si>
    <t>@CATCNH@</t>
  </si>
  <si>
    <t>@NRRACA@</t>
  </si>
  <si>
    <t>@CDPAIS@</t>
  </si>
  <si>
    <t>@SGESTADO@</t>
  </si>
  <si>
    <t>@IDSEXO@</t>
  </si>
  <si>
    <t>@IDREMUNERACAO@</t>
  </si>
  <si>
    <t>@NRTPCONTCORR@</t>
  </si>
  <si>
    <t>@IDTPPAGAMENTO@</t>
  </si>
  <si>
    <t>@ESTRUTLEGAL@</t>
  </si>
  <si>
    <t>@ESTRUTGEREN@</t>
  </si>
  <si>
    <t>@NRIMOVELENDERECO_END@</t>
  </si>
  <si>
    <t>@NRTIPOVINCULOM@</t>
  </si>
  <si>
    <t>@NRTPDEMISSAO@</t>
  </si>
  <si>
    <t>@IDMULTVINC@</t>
  </si>
  <si>
    <t>@CDCONTRIBINDIVIDUAL@</t>
  </si>
  <si>
    <t>@NRMOTIVORESC@</t>
  </si>
  <si>
    <t>@DSOBSRESCISAO@</t>
  </si>
  <si>
    <t>@NRVINCULOEMPREG@</t>
  </si>
  <si>
    <t>@NRTPADMISSAO@</t>
  </si>
  <si>
    <t>@NRDEPENDIR@</t>
  </si>
  <si>
    <t>@NRDEPENDSFAM@</t>
  </si>
  <si>
    <t>@NRTPMODALIDSAL@</t>
  </si>
  <si>
    <t>@NRGRAUINSTR@</t>
  </si>
  <si>
    <t>@ESTRUTSIND@</t>
  </si>
  <si>
    <t>@NRDIASCONTRATOEXP@</t>
  </si>
  <si>
    <t>@NRDIASCONTRATOEXPPRO@</t>
  </si>
  <si>
    <t>ORGANIZAÇÃO</t>
  </si>
  <si>
    <r>
      <t>@DTMESCOMPETENC</t>
    </r>
    <r>
      <rPr>
        <b/>
        <sz val="8"/>
        <color rgb="FFFF0000"/>
        <rFont val="Calibri"/>
        <family val="2"/>
        <scheme val="minor"/>
      </rPr>
      <t>2</t>
    </r>
    <r>
      <rPr>
        <b/>
        <sz val="8"/>
        <color rgb="FF158466"/>
        <rFont val="Calibri"/>
        <family val="2"/>
        <scheme val="minor"/>
      </rPr>
      <t>@</t>
    </r>
  </si>
  <si>
    <r>
      <t>@DTMESCOMPETENC</t>
    </r>
    <r>
      <rPr>
        <b/>
        <sz val="8"/>
        <color rgb="FFFF0000"/>
        <rFont val="Calibri"/>
        <family val="2"/>
        <scheme val="minor"/>
      </rPr>
      <t>3</t>
    </r>
    <r>
      <rPr>
        <b/>
        <sz val="8"/>
        <color rgb="FF158466"/>
        <rFont val="Calibri"/>
        <family val="2"/>
        <scheme val="minor"/>
      </rPr>
      <t>@</t>
    </r>
  </si>
  <si>
    <t>@NRPARCNEGOCIO@</t>
  </si>
  <si>
    <t>@NRPESSOA@</t>
  </si>
  <si>
    <t>@NRPESSOAH@</t>
  </si>
  <si>
    <t>@NRVINCULOM@</t>
  </si>
  <si>
    <t>@NRVINCULOH@</t>
  </si>
  <si>
    <r>
      <t>@NRVINCULOH</t>
    </r>
    <r>
      <rPr>
        <b/>
        <i/>
        <sz val="8"/>
        <color rgb="FFFF0000"/>
        <rFont val="Calibri"/>
        <family val="2"/>
        <scheme val="minor"/>
      </rPr>
      <t>2</t>
    </r>
    <r>
      <rPr>
        <b/>
        <i/>
        <sz val="8"/>
        <rFont val="Calibri"/>
        <family val="2"/>
        <scheme val="minor"/>
      </rPr>
      <t>@</t>
    </r>
  </si>
  <si>
    <r>
      <t>@NRVINCULOH</t>
    </r>
    <r>
      <rPr>
        <b/>
        <i/>
        <sz val="8"/>
        <color rgb="FFFF0000"/>
        <rFont val="Calibri"/>
        <family val="2"/>
        <scheme val="minor"/>
      </rPr>
      <t>3</t>
    </r>
    <r>
      <rPr>
        <b/>
        <i/>
        <sz val="8"/>
        <rFont val="Calibri"/>
        <family val="2"/>
        <scheme val="minor"/>
      </rPr>
      <t>@</t>
    </r>
  </si>
  <si>
    <t>@NRALTESITUFUNC@</t>
  </si>
  <si>
    <t>@NRCONTCORRPARC@</t>
  </si>
  <si>
    <t>@NRCOMUNICAPARC@</t>
  </si>
  <si>
    <t>@NRENDERECOPARC@</t>
  </si>
  <si>
    <r>
      <t>@NRMOVIMENTACAO_</t>
    </r>
    <r>
      <rPr>
        <b/>
        <sz val="8"/>
        <color rgb="FFFF0000"/>
        <rFont val="Calibri"/>
        <family val="2"/>
        <scheme val="minor"/>
      </rPr>
      <t>LEG</t>
    </r>
    <r>
      <rPr>
        <b/>
        <sz val="8"/>
        <rFont val="Calibri"/>
        <family val="2"/>
        <scheme val="minor"/>
      </rPr>
      <t>@</t>
    </r>
  </si>
  <si>
    <r>
      <t>@NRMOVIMENTACAO_</t>
    </r>
    <r>
      <rPr>
        <b/>
        <sz val="8"/>
        <color rgb="FFFF0000"/>
        <rFont val="Calibri"/>
        <family val="2"/>
        <scheme val="minor"/>
      </rPr>
      <t>GER</t>
    </r>
    <r>
      <rPr>
        <b/>
        <sz val="8"/>
        <rFont val="Calibri"/>
        <family val="2"/>
        <scheme val="minor"/>
      </rPr>
      <t>@</t>
    </r>
  </si>
  <si>
    <r>
      <t>@NRMOVIMENTACAO_</t>
    </r>
    <r>
      <rPr>
        <b/>
        <sz val="8"/>
        <color rgb="FFFF0000"/>
        <rFont val="Calibri"/>
        <family val="2"/>
        <scheme val="minor"/>
      </rPr>
      <t>SIN</t>
    </r>
    <r>
      <rPr>
        <b/>
        <sz val="8"/>
        <rFont val="Calibri"/>
        <family val="2"/>
        <scheme val="minor"/>
      </rPr>
      <t>@</t>
    </r>
  </si>
  <si>
    <t>@IDCONTRIBUISIND@</t>
  </si>
  <si>
    <t>@NMMUNICIPIO@</t>
  </si>
  <si>
    <t>@NRNACIONALID@</t>
  </si>
  <si>
    <t>@CDLOGRADOURO_END@</t>
  </si>
  <si>
    <t>@DSENDERECO_END@</t>
  </si>
  <si>
    <t>@NMBAIRROENDERECO_END@</t>
  </si>
  <si>
    <t>@DSCOMPLEENDERECO_END@</t>
  </si>
  <si>
    <t>@NRCEPENDERECO_END@</t>
  </si>
  <si>
    <t>@OCUPACAO@</t>
  </si>
  <si>
    <t>@NRCATMILITARPE@</t>
  </si>
  <si>
    <t>@NRRG@</t>
  </si>
  <si>
    <t>@CDBANCO@</t>
  </si>
  <si>
    <t>@CDAGENCIA@</t>
  </si>
  <si>
    <t>@CDCONTCORR@</t>
  </si>
  <si>
    <t>@CDPAIS_END@</t>
  </si>
  <si>
    <t>@NMMUNICIPIO_END@</t>
  </si>
  <si>
    <t>@CPF@</t>
  </si>
  <si>
    <t>@CTPS@</t>
  </si>
  <si>
    <t>@DTADMISSAO@</t>
  </si>
  <si>
    <t>@DTRESCISAO@</t>
  </si>
  <si>
    <t>@DTNASCI@</t>
  </si>
  <si>
    <t>@DTCTPS@</t>
  </si>
  <si>
    <t>@DTPIS@</t>
  </si>
  <si>
    <t>@DTVALCNH@</t>
  </si>
  <si>
    <t>@DTEXRG@</t>
  </si>
  <si>
    <t>@DTOPCAOFGTS@</t>
  </si>
  <si>
    <t>@DTAPOSENTAFGTS@</t>
  </si>
  <si>
    <t>@DTPRIMADMISSAO@</t>
  </si>
  <si>
    <t>@DTEXAMEMEDICO@</t>
  </si>
  <si>
    <t>@DTAVISOTRCT@</t>
  </si>
  <si>
    <t>@DTAVISOPREVIO@</t>
  </si>
  <si>
    <t>@DTBASEFERIAS@</t>
  </si>
  <si>
    <t>@DTINISITUFUNC@</t>
  </si>
  <si>
    <t>@DTFIMCONTRDETERMIN@</t>
  </si>
  <si>
    <t>@NRCERTRESE@</t>
  </si>
  <si>
    <t>Parceiro de negócio</t>
  </si>
  <si>
    <t>Pessoa M</t>
  </si>
  <si>
    <t>Pessoa H</t>
  </si>
  <si>
    <t>Vinculo M</t>
  </si>
  <si>
    <t>Vinculo H</t>
  </si>
  <si>
    <r>
      <t xml:space="preserve">Vinculo H </t>
    </r>
    <r>
      <rPr>
        <b/>
        <sz val="8"/>
        <color rgb="FFFF0000"/>
        <rFont val="Calibri"/>
        <family val="2"/>
        <scheme val="minor"/>
      </rPr>
      <t>2</t>
    </r>
  </si>
  <si>
    <r>
      <t xml:space="preserve">Vinculo H </t>
    </r>
    <r>
      <rPr>
        <b/>
        <sz val="8"/>
        <color rgb="FFFF0000"/>
        <rFont val="Calibri"/>
        <family val="2"/>
        <scheme val="minor"/>
      </rPr>
      <t>3</t>
    </r>
  </si>
  <si>
    <t>Alte Situ Func</t>
  </si>
  <si>
    <t>Conta Corr</t>
  </si>
  <si>
    <t>Endereço</t>
  </si>
  <si>
    <t>Mov Legal</t>
  </si>
  <si>
    <t>Mov Geren</t>
  </si>
  <si>
    <t>Mov Sind</t>
  </si>
  <si>
    <t>Verificação de PK</t>
  </si>
  <si>
    <t>Verificação de FK - Ocupação</t>
  </si>
  <si>
    <t>Verificação de FK - Escala de Trabalho</t>
  </si>
  <si>
    <t>Verificação de FK - Legal</t>
  </si>
  <si>
    <t>Verificação de FK - Gerencial</t>
  </si>
  <si>
    <t>Verificação de FK - Sindical</t>
  </si>
  <si>
    <t>--Busca de PK’s livres</t>
  </si>
  <si>
    <t>--Validações de PK</t>
  </si>
  <si>
    <t>--Atualiza ou cria o novo codigo</t>
  </si>
  <si>
    <t>Data Admissão</t>
  </si>
  <si>
    <t>Data Rescisão</t>
  </si>
  <si>
    <t>Nr. Vínculo</t>
  </si>
  <si>
    <t>Situ. Funcional</t>
  </si>
  <si>
    <t>Escala Trabalho</t>
  </si>
  <si>
    <t>Mês Competência</t>
  </si>
  <si>
    <t>Contribuiçao Sind.</t>
  </si>
  <si>
    <t>Nome</t>
  </si>
  <si>
    <t>Estado Civil</t>
  </si>
  <si>
    <t>CPF</t>
  </si>
  <si>
    <t>CTPS</t>
  </si>
  <si>
    <t>Série CTPS</t>
  </si>
  <si>
    <t>UF CTPS</t>
  </si>
  <si>
    <t>Emissao CTPS</t>
  </si>
  <si>
    <t>PIS PASEP</t>
  </si>
  <si>
    <t>Data de Cadastro do PIS</t>
  </si>
  <si>
    <t>carteira de identidade</t>
  </si>
  <si>
    <t>orgao emissor carteira de identidade</t>
  </si>
  <si>
    <t>uf carteira identidade</t>
  </si>
  <si>
    <t>Data de emissão carteira de identidade</t>
  </si>
  <si>
    <t>Título de eleitor</t>
  </si>
  <si>
    <t>Seção de Votacão</t>
  </si>
  <si>
    <t>Zona de votação</t>
  </si>
  <si>
    <t>CNH</t>
  </si>
  <si>
    <t>vencimento CNH</t>
  </si>
  <si>
    <t>Tipo CNH</t>
  </si>
  <si>
    <t>certificado reservista</t>
  </si>
  <si>
    <t>Categoria Militar</t>
  </si>
  <si>
    <t>RACA</t>
  </si>
  <si>
    <t>pais</t>
  </si>
  <si>
    <t>estado</t>
  </si>
  <si>
    <t>Naturalidade</t>
  </si>
  <si>
    <t>Data de Nascimento</t>
  </si>
  <si>
    <t>sexo</t>
  </si>
  <si>
    <t>Tipo Remuneração</t>
  </si>
  <si>
    <t>Banco</t>
  </si>
  <si>
    <t>Agência</t>
  </si>
  <si>
    <t>Conta Corrente</t>
  </si>
  <si>
    <t>Tp Conta Corrente</t>
  </si>
  <si>
    <t>nacionalidade</t>
  </si>
  <si>
    <t>Tp. Pagamento</t>
  </si>
  <si>
    <t>Estrutura Trabalho</t>
  </si>
  <si>
    <t>Estrutura Gerencial</t>
  </si>
  <si>
    <t>pais_end</t>
  </si>
  <si>
    <t>estado end</t>
  </si>
  <si>
    <t>municipio_end</t>
  </si>
  <si>
    <t>Logradouro</t>
  </si>
  <si>
    <t>numero</t>
  </si>
  <si>
    <t>bairro</t>
  </si>
  <si>
    <t>Complemento</t>
  </si>
  <si>
    <t>Cep</t>
  </si>
  <si>
    <t>Tipo Vínculo Mestre</t>
  </si>
  <si>
    <t>Tipo de Demissão</t>
  </si>
  <si>
    <t>Data FGTS</t>
  </si>
  <si>
    <t>Dt. Aposentadoria FGTS</t>
  </si>
  <si>
    <t>Data Primeira Admissão</t>
  </si>
  <si>
    <t>Ocupação</t>
  </si>
  <si>
    <t>Múltiplos Vínculos</t>
  </si>
  <si>
    <t>Nr. Contrib. Individual</t>
  </si>
  <si>
    <t>Motivo da Rescisão</t>
  </si>
  <si>
    <t>Observação Rescisão</t>
  </si>
  <si>
    <t>Data Aviso Prévio</t>
  </si>
  <si>
    <t>Tp. Mov. Transferência</t>
  </si>
  <si>
    <t>Fim contrato Determinado</t>
  </si>
  <si>
    <t>Vínculo Empregatício</t>
  </si>
  <si>
    <t>Tipo Admissão</t>
  </si>
  <si>
    <t>Dt. Base Férias</t>
  </si>
  <si>
    <t>Dependentes IR</t>
  </si>
  <si>
    <t>Dependentes Sal Fam</t>
  </si>
  <si>
    <t>Modalidade Salário</t>
  </si>
  <si>
    <t>Grau Instrucao</t>
  </si>
  <si>
    <t>Estrutura Sindical</t>
  </si>
  <si>
    <t>Dias Contrato Exp.</t>
  </si>
  <si>
    <t>Dias Contrato Exp. Prorr</t>
  </si>
  <si>
    <t>Dt. Exame Médico</t>
  </si>
  <si>
    <t>Dt. Aviso TRCT</t>
  </si>
  <si>
    <t>Tipo Sanguineo</t>
  </si>
  <si>
    <t>Fator RH</t>
  </si>
  <si>
    <t>Inscrição Conselho</t>
  </si>
  <si>
    <t>Condição Física</t>
  </si>
  <si>
    <t>Telefone Principal</t>
  </si>
  <si>
    <t>Nacionalidade</t>
  </si>
  <si>
    <t>Conta corrente</t>
  </si>
  <si>
    <t>Emissão CTPS</t>
  </si>
  <si>
    <t>Dt. Base Ferias</t>
  </si>
  <si>
    <t>INSERT INTO PARCNEGOCIO ( NRPARCNEGOCIO, NRORG, NMPRINCIPALPARC, NMSECUNDARIPARC, DTNASCIFUNDPARC, NRINSCRICAOPARC, IDATIVO, DTINCLUSAO, NRORGINCLUSAO, CDOPERINCLUSAO, CDTIPOPARCPRINCIPAL, CDTIPOINSCRICAO, IDPESSOAFISICA, IDINSTITUICAO, IDPARCFUNDIDO ) VALUES ( @NRPARCNEGOCIO@, @NRORG@, '@NOMEVINC@', '@NOMEVINC@', '@DTNASCI@', '@CPF@', 'S', SYSDATE, @NRORG@, '000000099991', 'PESSOA', 'CPF', 'S', 'N', 'N' );</t>
  </si>
  <si>
    <t>INSERT INTO GPE_PESSOA ( NRPESSOA, NRORG, NRPARCNEGOCIO, DTINCLUSAO, NRORGINCLUSAO, CDOPERINCLUSAO ) VALUES ( @NRPESSOA@, @NRORG@, @NRPARCNEGOCIO@, SYSDATE, @NRORG@, '000000099991' );</t>
  </si>
  <si>
    <t>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(@NRVINCULOM@, @NRPESSOA@, @NRORG@, '@CDMATRICULA@', '@DTADMISSAO@', '@DTRESCISAO@', SYSDATE, @NRORG@, '000000099991', '@NRTIPOVINCULOM@', '@NRVINCULOEMPREG@', '@NRTPADMISSAO@', '@NRTPDEMISSAO@', '@DTOPCAOFGTS@', '@DTAPOSENTAFGTS@', '@DTPRIMADMISSAO@', '@NOMEVINC@', '@NRMOTIVORESC@', '@DSOBSRESCISAO@', '@DTAVISOPREVIO@', '@NRDIASCONTRATOEXP@', '@NRDIASCONTRATOEXPPRO@', '@DTEXAMEMEDICO@', '@DTAVISOTRCT@');</t>
  </si>
  <si>
    <t>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@NRVINCULOH2@ NRVINCULOH, NRVINCULOM, NRSITUFUNCM, NRCARGO, NRFUNCAO, NRORG, '@DTMESCOMPETENC2@'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@NRORG@ AND NRVINCULOH = @NRVINCULOH@;</t>
  </si>
  <si>
    <t>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@NRVINCULOH3@ NRVINCULOH, NRVINCULOM, NRSITUFUNCM, NRCARGO, NRFUNCAO, NRORG, '@DTMESCOMPETENC3@'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@NRORG@ AND NRVINCULOH = @NRVINCULOH@;</t>
  </si>
  <si>
    <t>INSERT INTO CONTCORRPARC ( NRCONTCORRPARC, NRORG, NRPARCNEGOCIO, CDBANCO, CDAGENCIA, CDCONTCORR, NRTPCONTCORR, DTINCLUSAO, NRORGINCLUSAO, CDOPERINCLUSAO, IDATIVO ) VALUES ( @NRCONTCORRPARC@, @NRORG@, @NRPARCNEGOCIO@, '@CDBANCO@', '@CDAGENCIA@', '@CDCONTCORR@', '@NRTPCONTCORR@', SYSDATE, @NRORG@, '000000099991', 'S' );</t>
  </si>
  <si>
    <t>INSERT INTO GPE_MOVIMENTACAO ( NRMOVIMENTACAO, NRORG, NRVINCULOM, NRTIPOTRANSFER, NRTPMOVTRANSFM, NRESTRUTURAM, DTINIMOVIMENT, DSOBSERVACAO, DTINCLUSAO, NRORGINCLUSAO, CDOPERINCLUSAO, NRTIPOESTRUTURA ) VALUES ( @NRMOVIMENTACAO_LEG@, @NRORG@, @NRVINCULOM@, 1, 1, (SELECT MAX(NRESTRUTURAM) FROM ESTRUTURAM WHERE NRORG = @NRORG@ AND CDINTESTRUTURA = '@ESTRUTLEGAL@' AND NRTIPOESTRUTURA = (SELECT NRTPESTRUTLEGAL FROM GPE_PARAMORG WHERE NRORG = @NRORG@)), '@DTADMISSAO@', 'Movimentacao gerada via migracao ' || SYSDATE, SYSDATE, @NRORG@, '000000099991', ( SELECT NRTPESTRUTLEGAL FROM GPE_PARAMORG WHERE NRORG = @NRORG@ ) );</t>
  </si>
  <si>
    <t>INSERT INTO GPE_MOVIMENTACAO ( NRMOVIMENTACAO, NRORG, NRVINCULOM, NRTIPOTRANSFER, NRTPMOVTRANSFM, NRESTRUTURAM, DTINIMOVIMENT, DSOBSERVACAO, DTINCLUSAO, NRORGINCLUSAO, CDOPERINCLUSAO, NRTIPOESTRUTURA ) VALUES ( @NRMOVIMENTACAO_GER@, @NRORG@, @NRVINCULOM@, 2, 1, (SELECT MAX(NRESTRUTURAM) FROM ESTRUTURAM WHERE NRORG = @NRORG@ AND CDINTESTRUTURA = '@ESTRUTGEREN@' AND NRTIPOESTRUTURA = (SELECT NRTPESTRUTGEREN FROM GPE_PARAMORG WHERE NRORG = @NRORG@)), '@DTADMISSAO@', 'Movimentacao gerada via migracao ' || SYSDATE, SYSDATE, @NRORG@, '000000099991', ( SELECT NRTPESTRUTGEREN FROM GPE_PARAMORG WHERE NRORG = @NRORG@ ) );</t>
  </si>
  <si>
    <t>INSERT INTO GPE_MOVIMENTACAO ( NRMOVIMENTACAO, NRORG, NRVINCULOM, NRTIPOTRANSFER, NRTPMOVTRANSFM, NRESTRUTURAM, DTINIMOVIMENT, DSOBSERVACAO, DTINCLUSAO, NRORGINCLUSAO, CDOPERINCLUSAO, NRTIPOESTRUTURA ) VALUES ( @NRMOVIMENTACAO_SIN@, @NRORG@, @NRVINCULOM@, 1, 1, (SELECT MAX(NRESTRUTURAM) FROM ESTRUTURAM WHERE NRORG = @NRORG@ AND CDINTESTRUTURA = '@ESTRUTSIND@' AND NRTIPOESTRUTURA = 10), '@DTADMISSAO@', 'Movimentacao gerada via migracao ' || SYSDATE, SYSDATE, @NRORG@, '000000099991', 10 );</t>
  </si>
  <si>
    <t>COMMIT;</t>
  </si>
  <si>
    <t>Vinculo existente?</t>
  </si>
  <si>
    <t>Ocupação existe?</t>
  </si>
  <si>
    <t>Ocupações não encontradas no sistema / planilha 02_Ocupação:</t>
  </si>
  <si>
    <t>Vínculo afetado pela ausência de ocupação na planilha 02_Ocupação:</t>
  </si>
  <si>
    <t>Escala de trabalho existe?</t>
  </si>
  <si>
    <t>Estrutura Legal existe?</t>
  </si>
  <si>
    <t>Estrutura Gerencial existe?</t>
  </si>
  <si>
    <t>C</t>
  </si>
  <si>
    <t>F</t>
  </si>
  <si>
    <t>MENSAL</t>
  </si>
  <si>
    <t>Não excluir antes</t>
  </si>
  <si>
    <t>Este campo deve ser texto!</t>
  </si>
  <si>
    <t>Mnemônico</t>
  </si>
  <si>
    <t>@NRMOVIMENTACAO_LEG@</t>
  </si>
  <si>
    <t>S</t>
  </si>
  <si>
    <t>M</t>
  </si>
  <si>
    <t>da linha 10!</t>
  </si>
  <si>
    <t>Tabela</t>
  </si>
  <si>
    <t>PARCNEGOCIO</t>
  </si>
  <si>
    <t>GPE_PESSOA</t>
  </si>
  <si>
    <t>GPE_PESSOAH</t>
  </si>
  <si>
    <t>GPE_VINCULOM</t>
  </si>
  <si>
    <t>GPE_ALTESITUFUNC</t>
  </si>
  <si>
    <t>CONTCORRPARC</t>
  </si>
  <si>
    <t>COMUNICAPARC</t>
  </si>
  <si>
    <t>ENDERECOPARC</t>
  </si>
  <si>
    <t>GPE_VINCULOH</t>
  </si>
  <si>
    <t>GPE_MOVIMENTACAO</t>
  </si>
  <si>
    <t>Não excluir esta linha</t>
  </si>
  <si>
    <t>PK</t>
  </si>
  <si>
    <t>NRPARCNEGOCIO</t>
  </si>
  <si>
    <t>NRPESSOA</t>
  </si>
  <si>
    <t>NRPESSOAH</t>
  </si>
  <si>
    <t>NRVINCULOM</t>
  </si>
  <si>
    <t>NRALTESITUFUNC</t>
  </si>
  <si>
    <t>NRCONTCORRPARC</t>
  </si>
  <si>
    <t>NRCOMUNICAPARC</t>
  </si>
  <si>
    <t>NRENDERECOPARC</t>
  </si>
  <si>
    <t>NRVINCULOH</t>
  </si>
  <si>
    <t>NRMOVIMENTACAO</t>
  </si>
  <si>
    <t>Inicio PK</t>
  </si>
  <si>
    <t>Fim PK</t>
  </si>
  <si>
    <t>Quantidade</t>
  </si>
  <si>
    <t>Organização</t>
  </si>
  <si>
    <t>CDMATRICULA</t>
  </si>
  <si>
    <t>DTADMISSAOVINC</t>
  </si>
  <si>
    <t>DTRESCISAOVINC</t>
  </si>
  <si>
    <t>/*Dados vinculos*/
SELECT
  VM.CDMATRICULA,
  VM.NRVINCULOM,
  VM.DTADMISSAOVINC,
  VM.DTRESCISAOVINC
FROM GPE_VINCULOM VM
JOIN GPE_VINCULOH VH ON VH.NRORG          = VM.NRORG
                    AND VH.NRVINCULOM     = VM.NRVINCULOM
                    AND VH.DTMESCOMPETENC = ( SELECT MAX(DTMESCOMPETENC) FROM GPE_VINCULOH
                                               WHERE NRORG           = VH.NRORG
                                                 AND NRVINCULOM      = VH.NRVINCULOM
                                                 AND DTMESCOMPETENC &lt;= :P_DTMESCOMPETENC )
WHERE VM.NRORG = :P_NRORG
ORDER BY TO_NUMBER( VM.CDMATRICULA );</t>
  </si>
  <si>
    <t>NRESCALATRABM</t>
  </si>
  <si>
    <t>/*Dados escala*/
SELECT NRESCALATRABM
FROM GPE_ESCALATRABM
WHERE NRORG = :P_NRORG
  AND ( TRUNC( DTINCLUSAO, 'DD' ) &gt;= :P_DTMIGTESTE
        OR :P_DTMIGTESTE IS NULL )
ORDER BY NRESCALATRABM;</t>
  </si>
  <si>
    <t>CDINTEGRACAO</t>
  </si>
  <si>
    <t>NROCUPACAOM</t>
  </si>
  <si>
    <t>NRTIPOOCUPACAO</t>
  </si>
  <si>
    <t>NMOCUPACAOH</t>
  </si>
  <si>
    <t>/*Dados ocupacao*/
SELECT
  OH.CDINTEGRACAO,
  OM.NROCUPACAOM,
  OM.NRTIPOOCUPACAO,
  OH.NMOCUPACAOH
FROM GPE_OCUPACAOM OM
JOIN GPE_OCUPACAOH OH ON OH.NRORG          = OM.NRORG
                     AND OH.NROCUPACAOM    = OM.NROCUPACAOM
                     AND OH.DTMESCOMPETENC = ( SELECT MAX(DTMESCOMPETENC) FROM GPE_OCUPACAOH
                                               WHERE NRORG           = OH.NRORG
                                                 AND NROCUPACAOM     = OH.NROCUPACAOM
                                                 AND DTMESCOMPETENC &lt;= :P_DTMESCOMPETENC )
WHERE OM.NRORG = :P_NRORG
  AND ( TRUNC( OM.DTINCLUSAO, 'DD' ) &gt;= :P_DTMIGTESTE OR :P_DTMIGTESTE IS NULL )
ORDER BY TO_NUMBER( OH.CDINTEGRACAO );</t>
  </si>
  <si>
    <t>CDINTESTRUTURA_Tratado</t>
  </si>
  <si>
    <t>CDINTESTRUTURA</t>
  </si>
  <si>
    <t>NRESTRUTURAM</t>
  </si>
  <si>
    <t>NMESTRUTURAH</t>
  </si>
  <si>
    <t>/*Dados estrutura*/
SELECT
  EM.CDINTESTRUTURA,
  EM.NRESTRUTURAM,
  EH.NMESTRUTURAH
  --(SELECT NMTIPOESTRUTURA FROM TIPOESTRUTURA WHERE NRTIPOESTRUTURA = EM.NRTIPOESTRUTURA) NMTIPOESTRUTURA, EM.DTINIVIGENCIA, EM.DTFIMVIGENCIA
FROM ESTRUTURAM EM
JOIN ESTRUTURAH EH ON EH.NRORG        = EM.NRORG
                  AND EH.NRESTRUTURAM = EM.NRESTRUTURAM
                  AND EH.DTMESCOMPETENC = ( SELECT MAX(DTMESCOMPETENC) FROM ESTRUTURAH 
                                            WHERE NRORG           = EM.NRORG
                                              AND NRESTRUTURAM    = EM.NRESTRUTURAM
                                              AND DTMESCOMPETENC &lt;= :P_DTMESCOMPETENC )
WHERE EM.NRORG = :P_NRORG
  AND ( EM.DTFIMVIGENCIA &gt; :P_DTMESCOMPETENC OR EM.DTFIMVIGENCIA IS NULL )
  AND ( TRUNC( EM.DTINCLUSAO, 'DD' ) &gt;= :P_DTMIGTESTE OR :P_DTMIGTESTE IS NULL )
ORDER BY EM.CDINTESTRUTURA;</t>
  </si>
  <si>
    <t>1</t>
  </si>
  <si>
    <t>2</t>
  </si>
  <si>
    <t>3</t>
  </si>
  <si>
    <t>5</t>
  </si>
  <si>
    <t>Protótipo 3 - 10/12/2022</t>
  </si>
  <si>
    <t>texto</t>
  </si>
  <si>
    <t>Nome da função</t>
  </si>
  <si>
    <t>Fórmula lambda</t>
  </si>
  <si>
    <t>Versão</t>
  </si>
  <si>
    <t>Criada</t>
  </si>
  <si>
    <t>Modificada</t>
  </si>
  <si>
    <t>Descrição</t>
  </si>
  <si>
    <t>Planilhas:</t>
  </si>
  <si>
    <t>AUX_TROCAR</t>
  </si>
  <si>
    <t>Função auxiliar para trocar caracters especiais</t>
  </si>
  <si>
    <t>Dados</t>
  </si>
  <si>
    <t>MIG_REMOVE.ESPECIAL</t>
  </si>
  <si>
    <t>Remove caracteres especiais. Utiliza a função AUX.TROCAR</t>
  </si>
  <si>
    <t>Script</t>
  </si>
  <si>
    <t>MIG_GERA.SCRIPT</t>
  </si>
  <si>
    <t>Gera um script substituíndo um texto (script) com mnemônicos de um array por valores de outro array de valores.</t>
  </si>
  <si>
    <t>Base</t>
  </si>
  <si>
    <t>protótipo</t>
  </si>
  <si>
    <t>MIG_NORMA.DATA</t>
  </si>
  <si>
    <t>Normaliza um valor para data</t>
  </si>
  <si>
    <t>MIG_NORMA.TEXTO</t>
  </si>
  <si>
    <t>Normaliza um valor de texto. Remove espaçoes me branco, caracteres especiais e torna o texto maiúsculo.</t>
  </si>
  <si>
    <t>MIG_NORMA.DECIMAL</t>
  </si>
  <si>
    <t>Normaliza um número para ser inserido no banco de dados</t>
  </si>
  <si>
    <t>MIG_NORMA.NÚMERICO</t>
  </si>
  <si>
    <t>Retorna apenas os números de um texto. Retirei as apas simples que ela retornava.</t>
  </si>
  <si>
    <t>MIG_QRY.CHAVES</t>
  </si>
  <si>
    <t>@SGESTADO_END@</t>
  </si>
  <si>
    <t>SAL1</t>
  </si>
  <si>
    <t>UNICO</t>
  </si>
  <si>
    <t>11</t>
  </si>
  <si>
    <t>14</t>
  </si>
  <si>
    <t>01/01/2024</t>
  </si>
  <si>
    <t>@NRCONDFISPES@</t>
  </si>
  <si>
    <t>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@NRPESSOAH@, @NRPESSOA@, @NRORG@, '01/01/2000', '@NOMEVINC@', '@CDESTACIVIL@', '@CPF@', '@CTPS@', '@SERIECTPS@', '@UFCTPS@', '@DTCTPS@', '@PIS@', '@DTPIS@', '@TITUELEI@', '@SECAOELEI@', '@ZONAELEI@', '@CNH@', '@DTVALCNH@', '@CATCNH@', (SELECT NRCATMILITARPE FROM GPE_CATMILITARPE WHERE NRCATMILITARPE = '@NRCATMILITARPE@'), '@NRCERTRESE@', SYSDATE, @NRORG@, '000000099991', '@NRRACA@', '@CDPAIS@', '@SGESTADO@', (SELECT MAX(CDMUNICIPIO) FROM MUNICIPIO WHERE NMMUNICIPIO = '@NMMUNICIPIO@'), '@DTNASCI@', '@IDSEXO@', '@NRRG@', '@CDEXRG@', '@UFRG@', '@DTEXRG@', '@NRNACIONALID@', '@NRGRAUINSTR@' , '@NRCONDFISPES@');</t>
  </si>
  <si>
    <t>4</t>
  </si>
  <si>
    <t>6</t>
  </si>
  <si>
    <t>7</t>
  </si>
  <si>
    <t>8</t>
  </si>
  <si>
    <t>9</t>
  </si>
  <si>
    <t>10</t>
  </si>
  <si>
    <t>12</t>
  </si>
  <si>
    <t>13</t>
  </si>
  <si>
    <t>18</t>
  </si>
  <si>
    <t>41</t>
  </si>
  <si>
    <t>43</t>
  </si>
  <si>
    <t>44</t>
  </si>
  <si>
    <t>INSERT INTO ENDERECOPARC ( NRENDERECOPARC, NRPARCNEGOCIO, CDTIPOENDERECO, NRORG, IDATIVO, DTINCLUSAO, NRORGINCLUSAO, CDOPERINCLUSAO, CDPAIS, CDMUNICIPIO, CDLOGRADOURO, NMBAIRROENDERECO, DSCOMPLEENDERECO, NRCEPENDERECO, DSENDERECO, NRIMOVELENDERECO, SGESTADO ) VALUES ( @NRENDERECOPARC@, @NRPARCNEGOCIO@, 'PRINCIPAL', @NRORG@, 'S', SYSDATE, @NRORG@, '000000099991', '@CDPAIS_END@', ( SELECT MAX(CDMUNICIPIO) FROM MUNICIPIO WHERE NMMUNICIPIO = '@NMMUNICIPIO_END@' AND SGESTADO = '@SGESTADO_END@' ), '@CDLOGRADOURO_END@', '@NMBAIRROENDERECO_END@', '@DSCOMPLEENDERECO_END@', '@NRCEPENDERECO_END@', '@DSENDERECO_END@', '@NRIMOVELENDERECO_END@', '@SGESTADO_END@');</t>
  </si>
  <si>
    <t>NUNCA</t>
  </si>
  <si>
    <t>SSP</t>
  </si>
  <si>
    <t>15</t>
  </si>
  <si>
    <t>16</t>
  </si>
  <si>
    <t>17</t>
  </si>
  <si>
    <t>19</t>
  </si>
  <si>
    <t>20</t>
  </si>
  <si>
    <t>31</t>
  </si>
  <si>
    <t>32</t>
  </si>
  <si>
    <t>40</t>
  </si>
  <si>
    <t>42</t>
  </si>
  <si>
    <t>45</t>
  </si>
  <si>
    <t>50</t>
  </si>
  <si>
    <t>52</t>
  </si>
  <si>
    <t>53</t>
  </si>
  <si>
    <t>61</t>
  </si>
  <si>
    <t>70</t>
  </si>
  <si>
    <t>71</t>
  </si>
  <si>
    <t>72</t>
  </si>
  <si>
    <t>73</t>
  </si>
  <si>
    <t>194</t>
  </si>
  <si>
    <t>195</t>
  </si>
  <si>
    <t>196</t>
  </si>
  <si>
    <t>197</t>
  </si>
  <si>
    <t>198</t>
  </si>
  <si>
    <t>199</t>
  </si>
  <si>
    <t>200</t>
  </si>
  <si>
    <t>201</t>
  </si>
  <si>
    <t>202</t>
  </si>
  <si>
    <t>203</t>
  </si>
  <si>
    <t>204</t>
  </si>
  <si>
    <t>205</t>
  </si>
  <si>
    <t>206</t>
  </si>
  <si>
    <t>207</t>
  </si>
  <si>
    <t>208</t>
  </si>
  <si>
    <t>209</t>
  </si>
  <si>
    <t>210</t>
  </si>
  <si>
    <t>211</t>
  </si>
  <si>
    <t>212</t>
  </si>
  <si>
    <t>01/01/2025</t>
  </si>
  <si>
    <t>Email</t>
  </si>
  <si>
    <t>Salário</t>
  </si>
  <si>
    <t>Nome do Pai</t>
  </si>
  <si>
    <t>Nome da Mãe</t>
  </si>
  <si>
    <t>DDD Telefone Principal</t>
  </si>
  <si>
    <t>DDD Telefone Celular</t>
  </si>
  <si>
    <t>Telefone Celular</t>
  </si>
  <si>
    <t>@DDDTELPRI@</t>
  </si>
  <si>
    <t>@TELPRI@</t>
  </si>
  <si>
    <t>INSERT INTO COMUNICAPARC ( NRCOMUNICAPARC, NRPARCNEGOCIO, CDFORMACOMU, CDPREFIXCOMUPARC, CDCOMUNICAPARC, NRORG, IDATIVO, DTINCLUSAO, NRORGINCLUSAO, CDOPERINCLUSAO ) VALUES ( @NRCOMUNICAPARC@, @NRPARCNEGOCIO@, '01', '@DDDTELPRI@', '@TELPRI@', @NRORG@, 'S', SYSDATE, @NRORG@, '000000099991' );</t>
  </si>
  <si>
    <r>
      <t>@NRCOMUNICAPARC</t>
    </r>
    <r>
      <rPr>
        <b/>
        <sz val="8"/>
        <color rgb="FFFF0000"/>
        <rFont val="Calibri"/>
        <family val="2"/>
        <scheme val="minor"/>
      </rPr>
      <t>2</t>
    </r>
    <r>
      <rPr>
        <b/>
        <sz val="8"/>
        <rFont val="Calibri"/>
        <family val="2"/>
        <scheme val="minor"/>
      </rPr>
      <t>@</t>
    </r>
  </si>
  <si>
    <r>
      <t>@NRCOMUNICAPARC</t>
    </r>
    <r>
      <rPr>
        <b/>
        <sz val="8"/>
        <color rgb="FFFF0000"/>
        <rFont val="Calibri"/>
        <family val="2"/>
        <scheme val="minor"/>
      </rPr>
      <t>3</t>
    </r>
    <r>
      <rPr>
        <b/>
        <sz val="8"/>
        <rFont val="Calibri"/>
        <family val="2"/>
        <scheme val="minor"/>
      </rPr>
      <t>@</t>
    </r>
  </si>
  <si>
    <t>@DDDTELCEL@</t>
  </si>
  <si>
    <t>@TELCEL@</t>
  </si>
  <si>
    <t>INSERT INTO COMUNICAPARC ( NRCOMUNICAPARC, NRPARCNEGOCIO, CDFORMACOMU, CDPREFIXCOMUPARC, CDCOMUNICAPARC, NRORG, IDATIVO, DTINCLUSAO, NRORGINCLUSAO, CDOPERINCLUSAO ) VALUES ( @NRCOMUNICAPARC2@, @NRPARCNEGOCIO@, '02', '@DDDTELCEL@', '@TELCEL@', @NRORG@, 'S', SYSDATE, @NRORG@, '000000099991' );</t>
  </si>
  <si>
    <t>@EMAIL@</t>
  </si>
  <si>
    <t>Comunicação e-mail</t>
  </si>
  <si>
    <t>INSERT INTO COMUNICAPARC ( NRCOMUNICAPARC, NRPARCNEGOCIO, CDFORMACOMU, CDCOMUNICAPARC, NRORG, IDATIVO, DTINCLUSAO, NRORGINCLUSAO, CDOPERINCLUSAO ) VALUES ( @NRCOMUNICAPARC3@, @NRPARCNEGOCIO@, '05', '@EMAIL@', @NRORG@, 'S', SYSDATE, @NRORG@, '000000099991' );</t>
  </si>
  <si>
    <t>Estruturas coringa</t>
  </si>
  <si>
    <t>Legal</t>
  </si>
  <si>
    <t>Gerencial</t>
  </si>
  <si>
    <t>Sindical</t>
  </si>
  <si>
    <t>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(@NRVINCULOH@, @NRVINCULOM@, '@NRSITUFUNCM@', (SELECT MAX(NROCUPACAOM) FROM GPE_OCUPACAOH WHERE NRORG = @NRORG@ AND CDINTEGRACAO = '@OCUPACAO@'), (SELECT MAX(NROCUPACAOM) FROM GPE_OCUPACAOH WHERE NRORG = @NRORG@ AND CDINTEGRACAO = '@OCUPACAO@'), @NRORG@, '01/01/2000', '@IDCONTRIBUISIND@', SYSDATE, @NRORG@, '000000099991', '@NRDEPENDIR@', '@NRDEPENDSFAM@', '@DTBASEFERIAS@', '@IDREMUNERACAO@', '@IDTPPAGAMENTO@', (SELECT MAX(NRESTRUTURAM) FROM ESTRUTURAM WHERE NRORG = @NRORG@ AND CDINTESTRUTURA = '@ESTRUTLEGAL@'), NVL((SELECT MAX(NRESTRUTURAM) FROM ESTRUTURAM WHERE NRORG = @NRORG@ AND CDINTESTRUTURA = '@ESTRUTGEREN@'), @CORINGAGEREN@), NVL((SELECT MAX(NRESTRUTURAM) FROM ESTRUTURAM WHERE NRORG = @NRORG@ AND CDINTESTRUTURA = '@ESTRUTSIND@'), @CORINGASIND@), '@NRTPMODALIDSAL@', '@IDMULTVINC@', '@CDCONTRIBINDIVIDUAL@', 2, '@DTFIMCONTRDETERMIN@', 'N', (SELECT MAX(NRESCALATRABM) FROM GPE_ESCALATRABH WHERE NRORG = @NRORG@ AND NRESCALATRABM = '@NRESCALATRABM@') );</t>
  </si>
  <si>
    <t>Comunicação Telefone Celular</t>
  </si>
  <si>
    <t>Comunicação Telefone Principal</t>
  </si>
  <si>
    <t>23/02/2026</t>
  </si>
  <si>
    <t>290000-0-01643</t>
  </si>
  <si>
    <t>000001</t>
  </si>
  <si>
    <t>01/01/2000</t>
  </si>
  <si>
    <t>DENISE DA CUNHA NASCIMENTO</t>
  </si>
  <si>
    <t>93313764215</t>
  </si>
  <si>
    <t>1455296</t>
  </si>
  <si>
    <t>0030</t>
  </si>
  <si>
    <t>PA</t>
  </si>
  <si>
    <t>05/02/2009</t>
  </si>
  <si>
    <t>13666196429</t>
  </si>
  <si>
    <t>5378686</t>
  </si>
  <si>
    <t>13/07/2011</t>
  </si>
  <si>
    <t>052779011376</t>
  </si>
  <si>
    <t>28</t>
  </si>
  <si>
    <t>1058</t>
  </si>
  <si>
    <t>Belem</t>
  </si>
  <si>
    <t>18/11/1986</t>
  </si>
  <si>
    <t>237</t>
  </si>
  <si>
    <t>2156</t>
  </si>
  <si>
    <t>673315</t>
  </si>
  <si>
    <t>lot_0000002</t>
  </si>
  <si>
    <t>dep_290000</t>
  </si>
  <si>
    <t>R</t>
  </si>
  <si>
    <t>01 / CONJUNTO COAB GLEBA 01</t>
  </si>
  <si>
    <t>80</t>
  </si>
  <si>
    <t>MARAMBAIA</t>
  </si>
  <si>
    <t>66623250</t>
  </si>
  <si>
    <t>0048-2</t>
  </si>
  <si>
    <t>COREN-PA 362.838  - COREN-PA 035.838 ( ESPECIALISTA) POS Graduada  EM Enfermagem  Obstetrica e ginecologica- 2017INTEGRACAO - 12/02/14Adevertencia Verbal: Descumprimento as normas internas da enfermagem - 14/05/2014Certidao Negativa-2016</t>
  </si>
  <si>
    <t>08/04/2026</t>
  </si>
  <si>
    <t>0</t>
  </si>
  <si>
    <t>sin_02</t>
  </si>
  <si>
    <t>23/02/2027</t>
  </si>
  <si>
    <t>-1</t>
  </si>
  <si>
    <t>32437120</t>
  </si>
  <si>
    <t>nascimento.denisec@gmail.com</t>
  </si>
  <si>
    <t>2590.12</t>
  </si>
  <si>
    <t>ANTONIO WALTER LOPES NASCIMENTO</t>
  </si>
  <si>
    <t>IRAJARA DE FATIMA DA CUNHA NASCIMENTO</t>
  </si>
  <si>
    <t>91</t>
  </si>
  <si>
    <t>983215560</t>
  </si>
  <si>
    <t>31/12/2027</t>
  </si>
  <si>
    <t>370000-2-E1086</t>
  </si>
  <si>
    <t>000007</t>
  </si>
  <si>
    <t>MARIA ALTAMIRA DOS ANJOS RAMOS</t>
  </si>
  <si>
    <t>04271705241</t>
  </si>
  <si>
    <t>41378</t>
  </si>
  <si>
    <t>76</t>
  </si>
  <si>
    <t>24/03/2015</t>
  </si>
  <si>
    <t>7721258</t>
  </si>
  <si>
    <t>PC</t>
  </si>
  <si>
    <t>17/11/2024</t>
  </si>
  <si>
    <t>Ananindeua</t>
  </si>
  <si>
    <t>16/07/1999</t>
  </si>
  <si>
    <t>55870</t>
  </si>
  <si>
    <t>729779</t>
  </si>
  <si>
    <t>lot_0000001</t>
  </si>
  <si>
    <t>dep_370000</t>
  </si>
  <si>
    <t>MACEIO</t>
  </si>
  <si>
    <t>184</t>
  </si>
  <si>
    <t>AGUAS LINDAS</t>
  </si>
  <si>
    <t>66690750</t>
  </si>
  <si>
    <t>0089-1</t>
  </si>
  <si>
    <t>mariadosanjos581@gmail.com</t>
  </si>
  <si>
    <t>300</t>
  </si>
  <si>
    <t>NATALINO SAVELARINHO BORGES</t>
  </si>
  <si>
    <t>EDIANA DO SOCORRO BEZERRA DOS ANJOS</t>
  </si>
  <si>
    <t>983927859</t>
  </si>
  <si>
    <t>12/02/2026</t>
  </si>
  <si>
    <t>090000-2-E1085</t>
  </si>
  <si>
    <t>000009</t>
  </si>
  <si>
    <t>NATHALY SOARES DA SILVA</t>
  </si>
  <si>
    <t>02498902244</t>
  </si>
  <si>
    <t>9632134</t>
  </si>
  <si>
    <t>05/07/2021</t>
  </si>
  <si>
    <t>14/02/2006</t>
  </si>
  <si>
    <t>15481</t>
  </si>
  <si>
    <t>00969311</t>
  </si>
  <si>
    <t>dep_090000</t>
  </si>
  <si>
    <t>Barcarena</t>
  </si>
  <si>
    <t>TV</t>
  </si>
  <si>
    <t>ANTONIO JOSE</t>
  </si>
  <si>
    <t>621</t>
  </si>
  <si>
    <t>VILA DOS CABANOS</t>
  </si>
  <si>
    <t>QUADRA 340 LOTE 03</t>
  </si>
  <si>
    <t>00000000</t>
  </si>
  <si>
    <t>12/02/2027</t>
  </si>
  <si>
    <t>nathalysilva.nutri14@gmail.com</t>
  </si>
  <si>
    <t>ROGERIO PEREIRA DA SILVA</t>
  </si>
  <si>
    <t>EDILEUDE DE JESUS CORREA SOARES</t>
  </si>
  <si>
    <t>991667874</t>
  </si>
  <si>
    <t>790000-0-01641</t>
  </si>
  <si>
    <t>000008</t>
  </si>
  <si>
    <t>KALVIN KAUA GOMES SILVA</t>
  </si>
  <si>
    <t>05995953290</t>
  </si>
  <si>
    <t>059959</t>
  </si>
  <si>
    <t>53290</t>
  </si>
  <si>
    <t>28/06/2022</t>
  </si>
  <si>
    <t>26924322652</t>
  </si>
  <si>
    <t>7888666</t>
  </si>
  <si>
    <t>087001671350</t>
  </si>
  <si>
    <t>81</t>
  </si>
  <si>
    <t>95</t>
  </si>
  <si>
    <t>21/11/2008</t>
  </si>
  <si>
    <t>19399</t>
  </si>
  <si>
    <t>586161</t>
  </si>
  <si>
    <t>dep_790000</t>
  </si>
  <si>
    <t>JOSE MODESTO</t>
  </si>
  <si>
    <t>24</t>
  </si>
  <si>
    <t>SACRAMENTA</t>
  </si>
  <si>
    <t>PROX.AO COLEGIO ESTER BANDEIRA</t>
  </si>
  <si>
    <t>66123600</t>
  </si>
  <si>
    <t>0074-7</t>
  </si>
  <si>
    <t>19/01/2028</t>
  </si>
  <si>
    <t>06</t>
  </si>
  <si>
    <t>sin_07</t>
  </si>
  <si>
    <t>02/02/2027</t>
  </si>
  <si>
    <t>kalgms21@gmail.com</t>
  </si>
  <si>
    <t>761.34</t>
  </si>
  <si>
    <t>JOSE RIBAMAR MONTEIRO SILVA</t>
  </si>
  <si>
    <t>ELIZANGELA DA SILVA GOMES</t>
  </si>
  <si>
    <t>980835929</t>
  </si>
  <si>
    <t>790000-0-01642</t>
  </si>
  <si>
    <t>000012</t>
  </si>
  <si>
    <t>SABRINA PANTOJA ESTUMANO</t>
  </si>
  <si>
    <t>06359714299</t>
  </si>
  <si>
    <t>063597</t>
  </si>
  <si>
    <t>14299</t>
  </si>
  <si>
    <t>18/09/2025</t>
  </si>
  <si>
    <t>16682656263</t>
  </si>
  <si>
    <t>8752750</t>
  </si>
  <si>
    <t>088286931325</t>
  </si>
  <si>
    <t>304</t>
  </si>
  <si>
    <t>107</t>
  </si>
  <si>
    <t>Mocajuba</t>
  </si>
  <si>
    <t>12/03/2008</t>
  </si>
  <si>
    <t>57371</t>
  </si>
  <si>
    <t>227390</t>
  </si>
  <si>
    <t>DR. OSVALDO CRUZ</t>
  </si>
  <si>
    <t>02</t>
  </si>
  <si>
    <t>ICUI GUAJARA</t>
  </si>
  <si>
    <t>PX. PSS PRINCESA DIANA 02</t>
  </si>
  <si>
    <t>67125780</t>
  </si>
  <si>
    <t>sin_01</t>
  </si>
  <si>
    <t>sabrinaestumano738@gmail.com</t>
  </si>
  <si>
    <t>SIVALDO TRINDADE ESTUMANO</t>
  </si>
  <si>
    <t>SILVANE VALENTE PANTOJA</t>
  </si>
  <si>
    <t>981418317</t>
  </si>
  <si>
    <t>09/02/2026</t>
  </si>
  <si>
    <t>520000-0-01640</t>
  </si>
  <si>
    <t>000003</t>
  </si>
  <si>
    <t>RENAN RIBEIRO FERRO</t>
  </si>
  <si>
    <t>02019052210</t>
  </si>
  <si>
    <t>0201905</t>
  </si>
  <si>
    <t>2210</t>
  </si>
  <si>
    <t>27/12/2024</t>
  </si>
  <si>
    <t>26999637081</t>
  </si>
  <si>
    <t>6946092</t>
  </si>
  <si>
    <t>26/06/2020</t>
  </si>
  <si>
    <t>085272081368</t>
  </si>
  <si>
    <t>387</t>
  </si>
  <si>
    <t>12/04/2006</t>
  </si>
  <si>
    <t>04871</t>
  </si>
  <si>
    <t>346543</t>
  </si>
  <si>
    <t>dep_520000</t>
  </si>
  <si>
    <t>AL</t>
  </si>
  <si>
    <t>APOLINARIO MOREIRA</t>
  </si>
  <si>
    <t>MARCO</t>
  </si>
  <si>
    <t>66093620</t>
  </si>
  <si>
    <t>0120-1</t>
  </si>
  <si>
    <t>25/03/2026</t>
  </si>
  <si>
    <t>26/01/2027</t>
  </si>
  <si>
    <t>rickferro505@gmail.com</t>
  </si>
  <si>
    <t>1621</t>
  </si>
  <si>
    <t>RICARDO SIQUEIRA FERRO</t>
  </si>
  <si>
    <t>HELLEN DO SOCORRO DE SOUSA RIBEIRO</t>
  </si>
  <si>
    <t>983739937</t>
  </si>
  <si>
    <t>02/02/2026</t>
  </si>
  <si>
    <t>02/06/2026</t>
  </si>
  <si>
    <t>100000-2-E1079</t>
  </si>
  <si>
    <t>LUZIETY DOS SANTOS CORREA</t>
  </si>
  <si>
    <t>63563795371</t>
  </si>
  <si>
    <t>11014270</t>
  </si>
  <si>
    <t>15/09/2025</t>
  </si>
  <si>
    <t>26/05/2003</t>
  </si>
  <si>
    <t>dep_100000</t>
  </si>
  <si>
    <t>K2</t>
  </si>
  <si>
    <t>CURIO UTINGA</t>
  </si>
  <si>
    <t>FINAL DA RUA</t>
  </si>
  <si>
    <t>66610325</t>
  </si>
  <si>
    <t>0089-7</t>
  </si>
  <si>
    <t>luziethsanttos123@gmail.com</t>
  </si>
  <si>
    <t>JOILENE DOS SANTOS</t>
  </si>
  <si>
    <t>LUZIEL CORREA</t>
  </si>
  <si>
    <t>984345293</t>
  </si>
  <si>
    <t>270000-2-E1082</t>
  </si>
  <si>
    <t>ANA KAROLINE LIMA DOS SANTOS</t>
  </si>
  <si>
    <t>09326164292</t>
  </si>
  <si>
    <t>9477706</t>
  </si>
  <si>
    <t>29/09/2020</t>
  </si>
  <si>
    <t>23/08/2002</t>
  </si>
  <si>
    <t>dep_270000</t>
  </si>
  <si>
    <t>VIDA NOVA</t>
  </si>
  <si>
    <t>COQUEIRO</t>
  </si>
  <si>
    <t>NOVA REPUBLICA</t>
  </si>
  <si>
    <t>67000001</t>
  </si>
  <si>
    <t>anakarolinee335@gmail.acom</t>
  </si>
  <si>
    <t>LUCILENE LIMA DOS SANTOS</t>
  </si>
  <si>
    <t>991011529</t>
  </si>
  <si>
    <t>270000-2-E1083</t>
  </si>
  <si>
    <t>ARIELLY DA SILVA CASTRO</t>
  </si>
  <si>
    <t>03859026208</t>
  </si>
  <si>
    <t>7675403</t>
  </si>
  <si>
    <t>25/02/2021</t>
  </si>
  <si>
    <t>13/05/2001</t>
  </si>
  <si>
    <t>PSG</t>
  </si>
  <si>
    <t>SANTA CLARA</t>
  </si>
  <si>
    <t>85</t>
  </si>
  <si>
    <t>GUAMA</t>
  </si>
  <si>
    <t>FUNDOS CASA 03 ALTOS</t>
  </si>
  <si>
    <t>66075590</t>
  </si>
  <si>
    <t>castroarielly5@gamil.com</t>
  </si>
  <si>
    <t>MANOEL MARIA GOMES CASTRO</t>
  </si>
  <si>
    <t>ADRIANA DA SILVA CORREA</t>
  </si>
  <si>
    <t>991698003</t>
  </si>
  <si>
    <t>20/02/2026</t>
  </si>
  <si>
    <t>270000-2-E1084</t>
  </si>
  <si>
    <t>MICHELE DA COSTA DIAS</t>
  </si>
  <si>
    <t>79708870234</t>
  </si>
  <si>
    <t>6657871</t>
  </si>
  <si>
    <t>08/07/2022</t>
  </si>
  <si>
    <t>20/01/1983</t>
  </si>
  <si>
    <t>UNIAO</t>
  </si>
  <si>
    <t>49</t>
  </si>
  <si>
    <t>TAPANA</t>
  </si>
  <si>
    <t>66830040</t>
  </si>
  <si>
    <t>michellydias0921@gmail.com</t>
  </si>
  <si>
    <t>BIANOR BATISTA DIAS</t>
  </si>
  <si>
    <t>MARIA DA CONCEICAO DA COSTA</t>
  </si>
  <si>
    <t>998192535</t>
  </si>
  <si>
    <t>280000-2-E1078</t>
  </si>
  <si>
    <t>000011</t>
  </si>
  <si>
    <t>JORDANNA ROCHA DOS SANTOS</t>
  </si>
  <si>
    <t>01983623237</t>
  </si>
  <si>
    <t>7295589</t>
  </si>
  <si>
    <t>21/06/2021</t>
  </si>
  <si>
    <t>24/06/2004</t>
  </si>
  <si>
    <t>584398</t>
  </si>
  <si>
    <t>dep_280000</t>
  </si>
  <si>
    <t>MATILDE</t>
  </si>
  <si>
    <t>96</t>
  </si>
  <si>
    <t>CASA C</t>
  </si>
  <si>
    <t>66610230</t>
  </si>
  <si>
    <t>jordanna.rocha60@gmail.com</t>
  </si>
  <si>
    <t>JORGE RUI PINHEIRO DOS SANTOS</t>
  </si>
  <si>
    <t>ODILUCY BARBOSA DA ROCHA</t>
  </si>
  <si>
    <t>986067996</t>
  </si>
  <si>
    <t>400000-2-E1081</t>
  </si>
  <si>
    <t>WALERIA KELLY DE SOUSA SILVA</t>
  </si>
  <si>
    <t>00820530220</t>
  </si>
  <si>
    <t>6465873</t>
  </si>
  <si>
    <t>20/01/2022</t>
  </si>
  <si>
    <t>05/10/1991</t>
  </si>
  <si>
    <t>dep_400000</t>
  </si>
  <si>
    <t>OTILIA</t>
  </si>
  <si>
    <t>47</t>
  </si>
  <si>
    <t>PEDREIRA</t>
  </si>
  <si>
    <t>66085652</t>
  </si>
  <si>
    <t>waleriakelly4@gmail.com</t>
  </si>
  <si>
    <t>VALDEMIR FERNANDES DA SILVA</t>
  </si>
  <si>
    <t>RAIMUNDA ZULEIDE DE SOUSA SILVA</t>
  </si>
  <si>
    <t>987040344</t>
  </si>
  <si>
    <t>03/03/2026</t>
  </si>
  <si>
    <t>440000-0-01639</t>
  </si>
  <si>
    <t>RAFAEL BASTOS ABREU</t>
  </si>
  <si>
    <t>04063847209</t>
  </si>
  <si>
    <t>40638</t>
  </si>
  <si>
    <t>47209</t>
  </si>
  <si>
    <t>27/05/2021</t>
  </si>
  <si>
    <t>19058505270</t>
  </si>
  <si>
    <t>6942826</t>
  </si>
  <si>
    <t>05/01/2017</t>
  </si>
  <si>
    <t>066616851392</t>
  </si>
  <si>
    <t>733</t>
  </si>
  <si>
    <t>Bujaru</t>
  </si>
  <si>
    <t>09/01/1995</t>
  </si>
  <si>
    <t>31097</t>
  </si>
  <si>
    <t>1213202</t>
  </si>
  <si>
    <t>dep_440000</t>
  </si>
  <si>
    <t>CARLOS GOMES RESCORDOLINA FONTELES</t>
  </si>
  <si>
    <t>22</t>
  </si>
  <si>
    <t>TENONE</t>
  </si>
  <si>
    <t>CMB 226 FUNDOS D QD 14</t>
  </si>
  <si>
    <t>66820666</t>
  </si>
  <si>
    <t>04</t>
  </si>
  <si>
    <t>0140-01</t>
  </si>
  <si>
    <t>18/03/2026</t>
  </si>
  <si>
    <t>30</t>
  </si>
  <si>
    <t>rafael.bastos.abreu12345@gmail.com</t>
  </si>
  <si>
    <t>1678.32</t>
  </si>
  <si>
    <t>MANOEL SEVERINO DOS SANTOS ABREU</t>
  </si>
  <si>
    <t>RUTHILENE DIAS BASTOS</t>
  </si>
  <si>
    <t>999890334</t>
  </si>
  <si>
    <t>650000-2-E1080</t>
  </si>
  <si>
    <t>SILVANA BARROS GONCALVES</t>
  </si>
  <si>
    <t>01736083295</t>
  </si>
  <si>
    <t>6177580</t>
  </si>
  <si>
    <t>28/04/2022</t>
  </si>
  <si>
    <t>Maracana</t>
  </si>
  <si>
    <t>05/02/1991</t>
  </si>
  <si>
    <t>dep_650000</t>
  </si>
  <si>
    <t>SAO JOSE DE RIBAMAR</t>
  </si>
  <si>
    <t>319</t>
  </si>
  <si>
    <t>RUA DA PROVIDENCIA</t>
  </si>
  <si>
    <t>67118002</t>
  </si>
  <si>
    <t>silvanagoncalves11470@gmail.com</t>
  </si>
  <si>
    <t>MANOEL DOS REUS NASCIMENTO BARROS</t>
  </si>
  <si>
    <t>IRENE CRUZ BARROS</t>
  </si>
  <si>
    <t>984167164</t>
  </si>
  <si>
    <t>26/01/2026</t>
  </si>
  <si>
    <t>440000-0-01638</t>
  </si>
  <si>
    <t>TALISON LUIZ SABOIA PEREIRA</t>
  </si>
  <si>
    <t>02602222240</t>
  </si>
  <si>
    <t>0260222</t>
  </si>
  <si>
    <t>2240</t>
  </si>
  <si>
    <t>15/01/2025</t>
  </si>
  <si>
    <t>20201771998</t>
  </si>
  <si>
    <t>8534699</t>
  </si>
  <si>
    <t>PC/PA</t>
  </si>
  <si>
    <t>14/03/2023</t>
  </si>
  <si>
    <t>078407151309</t>
  </si>
  <si>
    <t>655</t>
  </si>
  <si>
    <t>320002913227</t>
  </si>
  <si>
    <t>08/05/2001</t>
  </si>
  <si>
    <t>403563</t>
  </si>
  <si>
    <t>SEIS, CJ PROVIDENCIA</t>
  </si>
  <si>
    <t>221</t>
  </si>
  <si>
    <t>VAL DE CAES</t>
  </si>
  <si>
    <t>66110060</t>
  </si>
  <si>
    <t>0030-1</t>
  </si>
  <si>
    <t>11/03/2026</t>
  </si>
  <si>
    <t>13/01/2027</t>
  </si>
  <si>
    <t>talisonluiz682@gmail.com</t>
  </si>
  <si>
    <t>2000</t>
  </si>
  <si>
    <t>EZEQUIEL LUIZ BARBOSA PEREIRA</t>
  </si>
  <si>
    <t>KELCILENE OLIVEIRA SABOIA</t>
  </si>
  <si>
    <t>981128376</t>
  </si>
  <si>
    <t>12/01/2026</t>
  </si>
  <si>
    <t>650000-0-01637</t>
  </si>
  <si>
    <t>TALITA LIMA FERNANDES</t>
  </si>
  <si>
    <t>85564753291</t>
  </si>
  <si>
    <t>26133</t>
  </si>
  <si>
    <t>00048</t>
  </si>
  <si>
    <t>13683910428</t>
  </si>
  <si>
    <t>4672409</t>
  </si>
  <si>
    <t>SEGUP</t>
  </si>
  <si>
    <t>28/02/2012</t>
  </si>
  <si>
    <t>050117861368</t>
  </si>
  <si>
    <t>115</t>
  </si>
  <si>
    <t>2541588336</t>
  </si>
  <si>
    <t>24/01/2033</t>
  </si>
  <si>
    <t>18/06/1984</t>
  </si>
  <si>
    <t>402710</t>
  </si>
  <si>
    <t>TIMBO</t>
  </si>
  <si>
    <t>599</t>
  </si>
  <si>
    <t>66083047</t>
  </si>
  <si>
    <t>0144-1</t>
  </si>
  <si>
    <t>25/02/2026</t>
  </si>
  <si>
    <t>08/01/2027</t>
  </si>
  <si>
    <t>987457006</t>
  </si>
  <si>
    <t>talitalm93@gmail.com</t>
  </si>
  <si>
    <t>2245.36</t>
  </si>
  <si>
    <t>GERENCIO RAIMUNDAO FERNANDES</t>
  </si>
  <si>
    <t>MARIA IVANILDA LIMA FERNANDES</t>
  </si>
  <si>
    <t>15/12/2025</t>
  </si>
  <si>
    <t>15/04/2026</t>
  </si>
  <si>
    <t>100000-2-E1074</t>
  </si>
  <si>
    <t>ANA BEATRIZ TEIXEIRA DE VASCONCELOS</t>
  </si>
  <si>
    <t>07502128298</t>
  </si>
  <si>
    <t>8918228</t>
  </si>
  <si>
    <t>28/07/2022</t>
  </si>
  <si>
    <t>02/05/2005</t>
  </si>
  <si>
    <t>SAO JORGE</t>
  </si>
  <si>
    <t>MONTESE</t>
  </si>
  <si>
    <t>66070060</t>
  </si>
  <si>
    <t>15/12/2026</t>
  </si>
  <si>
    <t>vasconcelosbeatriz23@gmail.com</t>
  </si>
  <si>
    <t>SAVIO SEBASTIAO DE VASCONCELOS</t>
  </si>
  <si>
    <t>MARIA DE NAZARE TEIXEIRA LEANDRO</t>
  </si>
  <si>
    <t>985722554</t>
  </si>
  <si>
    <t>19/01/2026</t>
  </si>
  <si>
    <t>270000-2-E1075</t>
  </si>
  <si>
    <t>HANNA CARDOSO LOBO</t>
  </si>
  <si>
    <t>02929941251</t>
  </si>
  <si>
    <t>66134444</t>
  </si>
  <si>
    <t>30/05/2023</t>
  </si>
  <si>
    <t>29/05/1998</t>
  </si>
  <si>
    <t>27 DE DEZEMBRO</t>
  </si>
  <si>
    <t>491</t>
  </si>
  <si>
    <t>ENTRE JABUTITEUA E ROSA MARIA</t>
  </si>
  <si>
    <t>66070262</t>
  </si>
  <si>
    <t>hannacardoso61346@gmail.com</t>
  </si>
  <si>
    <t>NOVALDO CARNEIRO LOBO</t>
  </si>
  <si>
    <t>MARIA DO CARMO MACHADO CARDOSO</t>
  </si>
  <si>
    <t>982832045</t>
  </si>
  <si>
    <t>270000-2-E1077</t>
  </si>
  <si>
    <t>THAYSA DE CASSIA VILHENA LOPES</t>
  </si>
  <si>
    <t>70035719273</t>
  </si>
  <si>
    <t>7653934</t>
  </si>
  <si>
    <t>26/04/2024</t>
  </si>
  <si>
    <t>Tucurui</t>
  </si>
  <si>
    <t>13/08/1998</t>
  </si>
  <si>
    <t>EPITACIO PESSOA</t>
  </si>
  <si>
    <t>254</t>
  </si>
  <si>
    <t>CASA 04 FUNDOS</t>
  </si>
  <si>
    <t>66075210</t>
  </si>
  <si>
    <t>vthaysa59@gmail.com</t>
  </si>
  <si>
    <t>ALVARO MARIA FARIAS LOPES</t>
  </si>
  <si>
    <t>ROSILEIDE BENDELAQUE VILHENA</t>
  </si>
  <si>
    <t>981737563</t>
  </si>
  <si>
    <t>31/01/2026</t>
  </si>
  <si>
    <t>280000-2-E1076</t>
  </si>
  <si>
    <t>JOSIELZA DOS SANTOS CARVALHO</t>
  </si>
  <si>
    <t>01141381257</t>
  </si>
  <si>
    <t>6383872</t>
  </si>
  <si>
    <t>01/07/2019</t>
  </si>
  <si>
    <t>Santo Antonio do Taua</t>
  </si>
  <si>
    <t>30/04/1991</t>
  </si>
  <si>
    <t>NOVO CONTINENTE I</t>
  </si>
  <si>
    <t>25</t>
  </si>
  <si>
    <t>PRATINHA</t>
  </si>
  <si>
    <t>CASA B FUNDOS</t>
  </si>
  <si>
    <t>66816670</t>
  </si>
  <si>
    <t>josyc1296@gmail.com</t>
  </si>
  <si>
    <t>JECE FURTADO DE CARVALHO</t>
  </si>
  <si>
    <t>ODETE LIMA DOS SANTOS</t>
  </si>
  <si>
    <t>992720195</t>
  </si>
  <si>
    <t>10/12/2025</t>
  </si>
  <si>
    <t>24/01/2026</t>
  </si>
  <si>
    <t>440000-0-01636</t>
  </si>
  <si>
    <t>WEMERSON DAVID SODRE</t>
  </si>
  <si>
    <t>77610504220</t>
  </si>
  <si>
    <t>0006803</t>
  </si>
  <si>
    <t>00045</t>
  </si>
  <si>
    <t>AC</t>
  </si>
  <si>
    <t>17/07/2012</t>
  </si>
  <si>
    <t>13853138429</t>
  </si>
  <si>
    <t>4102302</t>
  </si>
  <si>
    <t>23/08/2019</t>
  </si>
  <si>
    <t>045195731309</t>
  </si>
  <si>
    <t>558</t>
  </si>
  <si>
    <t>11/06/1985</t>
  </si>
  <si>
    <t>580872</t>
  </si>
  <si>
    <t>CUIA PRETA</t>
  </si>
  <si>
    <t>66085100</t>
  </si>
  <si>
    <t>10/12/2026</t>
  </si>
  <si>
    <t>wemersonpako12@yahoo.com.br</t>
  </si>
  <si>
    <t>CANDIDO RIBEIRO SODRE</t>
  </si>
  <si>
    <t>JOANINHA DAVID GATINHO</t>
  </si>
  <si>
    <t>982163248</t>
  </si>
  <si>
    <t>01/12/2025</t>
  </si>
  <si>
    <t>01/04/2026</t>
  </si>
  <si>
    <t>100000-2-E1070</t>
  </si>
  <si>
    <t>GABRIEL OLIVEIRA GIMARAES</t>
  </si>
  <si>
    <t>04899436246</t>
  </si>
  <si>
    <t>8129170</t>
  </si>
  <si>
    <t>27/01/2023</t>
  </si>
  <si>
    <t>26/12/2003</t>
  </si>
  <si>
    <t>NAPOLEAO LAUREANO</t>
  </si>
  <si>
    <t>106</t>
  </si>
  <si>
    <t>66073640</t>
  </si>
  <si>
    <t>01/12/2026</t>
  </si>
  <si>
    <t>oliveiragabriel2616@gmail.com</t>
  </si>
  <si>
    <t>DEODILIO SILVA GUIMARAES</t>
  </si>
  <si>
    <t>MARIA EUNICE DOS SANTOS OLIVEIRA</t>
  </si>
  <si>
    <t>981050249</t>
  </si>
  <si>
    <t>270000-2-E1071</t>
  </si>
  <si>
    <t>CAROLINE LIMA RODRIGUES</t>
  </si>
  <si>
    <t>96864516253</t>
  </si>
  <si>
    <t>5308870</t>
  </si>
  <si>
    <t>07/07/2020</t>
  </si>
  <si>
    <t>28/01/1991</t>
  </si>
  <si>
    <t>PASSAGEM SOL</t>
  </si>
  <si>
    <t>65</t>
  </si>
  <si>
    <t>CREMACAO</t>
  </si>
  <si>
    <t>ENTRE AV CONSELHEIRO E 14 DE MARCO</t>
  </si>
  <si>
    <t>66040440</t>
  </si>
  <si>
    <t>caraolt.amor@hotmail.com</t>
  </si>
  <si>
    <t>SERGIO GUILHERME RUSSO RODRIGUES</t>
  </si>
  <si>
    <t>DELMIRA SOUZA LIMA RODRIGUES</t>
  </si>
  <si>
    <t>984468020</t>
  </si>
  <si>
    <t>30/11/2027</t>
  </si>
  <si>
    <t>290000-2-E1073</t>
  </si>
  <si>
    <t>LUDMYLLA SAMYA MACIEL VEIGA</t>
  </si>
  <si>
    <t>01815942266</t>
  </si>
  <si>
    <t>9350823</t>
  </si>
  <si>
    <t>18/07/2023</t>
  </si>
  <si>
    <t>28/11/2004</t>
  </si>
  <si>
    <t>63473</t>
  </si>
  <si>
    <t>6734987</t>
  </si>
  <si>
    <t>TRES DE MAIO</t>
  </si>
  <si>
    <t>259</t>
  </si>
  <si>
    <t>SAO BRAS</t>
  </si>
  <si>
    <t>FUNDOS</t>
  </si>
  <si>
    <t>66063383</t>
  </si>
  <si>
    <t>01815942266@finama.edu.br</t>
  </si>
  <si>
    <t>MAURO ALEXANDRE FRANCO VEIGA</t>
  </si>
  <si>
    <t>IZETE PINTO MACIEL</t>
  </si>
  <si>
    <t>981147417</t>
  </si>
  <si>
    <t>410000-0-01635</t>
  </si>
  <si>
    <t>TELMA LUCIA RIBEIRO DA FONSECA</t>
  </si>
  <si>
    <t>37918818253</t>
  </si>
  <si>
    <t>13285</t>
  </si>
  <si>
    <t>00018</t>
  </si>
  <si>
    <t>19/04/2012</t>
  </si>
  <si>
    <t>13052329420</t>
  </si>
  <si>
    <t>2314199</t>
  </si>
  <si>
    <t>16/10/2020</t>
  </si>
  <si>
    <t>020144651325</t>
  </si>
  <si>
    <t>97</t>
  </si>
  <si>
    <t>Braganca</t>
  </si>
  <si>
    <t>24/03/1971</t>
  </si>
  <si>
    <t>397482</t>
  </si>
  <si>
    <t>dep_410000</t>
  </si>
  <si>
    <t>CJ</t>
  </si>
  <si>
    <t>CDP - WE QUADRA 30</t>
  </si>
  <si>
    <t>26</t>
  </si>
  <si>
    <t>CDP</t>
  </si>
  <si>
    <t>PROXIMO AO POSTO DE SAUDE</t>
  </si>
  <si>
    <t>66110010</t>
  </si>
  <si>
    <t>0150-00000001</t>
  </si>
  <si>
    <t>14/01/2026</t>
  </si>
  <si>
    <t>ribeiroteelma@hotmail.com</t>
  </si>
  <si>
    <t>3500</t>
  </si>
  <si>
    <t>ALBINO MAXIMO RIBEIRO</t>
  </si>
  <si>
    <t>MARIA MAXIMIANA DA ROSA</t>
  </si>
  <si>
    <t>981454170</t>
  </si>
  <si>
    <t>650000-2-E1072</t>
  </si>
  <si>
    <t>ARIELY DE ALMEIDA</t>
  </si>
  <si>
    <t>02717017224</t>
  </si>
  <si>
    <t>7969794</t>
  </si>
  <si>
    <t>15/12/2019</t>
  </si>
  <si>
    <t>Chaves</t>
  </si>
  <si>
    <t>02/12/1994</t>
  </si>
  <si>
    <t>VL</t>
  </si>
  <si>
    <t>JARDIM</t>
  </si>
  <si>
    <t>60</t>
  </si>
  <si>
    <t>JURUNAS</t>
  </si>
  <si>
    <t>FUNDOS / PRINCIPAL MUNDURUCUS No 47</t>
  </si>
  <si>
    <t>66025320</t>
  </si>
  <si>
    <t>arielydealmeida58@gmail.com</t>
  </si>
  <si>
    <t>ANTONIO DA SILVA RAMOS</t>
  </si>
  <si>
    <t>RAIMUNDA DO SOCORRO SENA DA SILVA</t>
  </si>
  <si>
    <t>989115285</t>
  </si>
  <si>
    <t>17/11/2025</t>
  </si>
  <si>
    <t>03/12/2025</t>
  </si>
  <si>
    <t>290000-2-E1067</t>
  </si>
  <si>
    <t>CARLA LUCIENE RODRIGUES DA COSTA</t>
  </si>
  <si>
    <t>89469909291</t>
  </si>
  <si>
    <t>72591</t>
  </si>
  <si>
    <t>00058</t>
  </si>
  <si>
    <t>18/09/2008</t>
  </si>
  <si>
    <t>5184850</t>
  </si>
  <si>
    <t>25/08/2021</t>
  </si>
  <si>
    <t>16/11/1985</t>
  </si>
  <si>
    <t>VINTE E OITO</t>
  </si>
  <si>
    <t>CJ JD MAGUARI/ROD AUGUSTO MONTENEGRO</t>
  </si>
  <si>
    <t>66823096</t>
  </si>
  <si>
    <t>17/11/2026</t>
  </si>
  <si>
    <t>carlaluciene25@gmail.com</t>
  </si>
  <si>
    <t>RAIMUNDO PEREIRA DA COSTA</t>
  </si>
  <si>
    <t>SANDRA SUELY RODRIGUES DA COSTA</t>
  </si>
  <si>
    <t>980422435</t>
  </si>
  <si>
    <t>dep_390000</t>
  </si>
  <si>
    <t>dep_630000</t>
  </si>
  <si>
    <t>290</t>
  </si>
  <si>
    <t>158</t>
  </si>
  <si>
    <t>103</t>
  </si>
  <si>
    <t>0177-1</t>
  </si>
  <si>
    <t>270</t>
  </si>
  <si>
    <t>98</t>
  </si>
  <si>
    <t>37</t>
  </si>
  <si>
    <t>0056-10</t>
  </si>
  <si>
    <t>135</t>
  </si>
  <si>
    <t>102</t>
  </si>
  <si>
    <t>38</t>
  </si>
  <si>
    <t>23</t>
  </si>
  <si>
    <t>283</t>
  </si>
  <si>
    <t>101</t>
  </si>
  <si>
    <t>458</t>
  </si>
  <si>
    <t>0014-1</t>
  </si>
  <si>
    <t>223</t>
  </si>
  <si>
    <t>0005-1</t>
  </si>
  <si>
    <t>225</t>
  </si>
  <si>
    <t>305</t>
  </si>
  <si>
    <t>78</t>
  </si>
  <si>
    <t>dep_640000</t>
  </si>
  <si>
    <t>249</t>
  </si>
  <si>
    <t>399</t>
  </si>
  <si>
    <t>559</t>
  </si>
  <si>
    <t>0134-1</t>
  </si>
  <si>
    <t>87</t>
  </si>
  <si>
    <t>dep_250000</t>
  </si>
  <si>
    <t>422</t>
  </si>
  <si>
    <t>557</t>
  </si>
  <si>
    <t>dep_010000</t>
  </si>
  <si>
    <t>94</t>
  </si>
  <si>
    <t>500</t>
  </si>
  <si>
    <t>174</t>
  </si>
  <si>
    <t>55</t>
  </si>
  <si>
    <t>dep_40000</t>
  </si>
  <si>
    <t>79</t>
  </si>
  <si>
    <t>350</t>
  </si>
  <si>
    <t>dep_260000</t>
  </si>
  <si>
    <t>369</t>
  </si>
  <si>
    <t>63</t>
  </si>
  <si>
    <t>151</t>
  </si>
  <si>
    <t>dep_730000</t>
  </si>
  <si>
    <t>90</t>
  </si>
  <si>
    <t>48</t>
  </si>
  <si>
    <t>116</t>
  </si>
  <si>
    <t>92</t>
  </si>
  <si>
    <t>607</t>
  </si>
  <si>
    <t>dep_350000</t>
  </si>
  <si>
    <t>165-1</t>
  </si>
  <si>
    <t>628</t>
  </si>
  <si>
    <t>397</t>
  </si>
  <si>
    <t>400</t>
  </si>
  <si>
    <t>dep_470000</t>
  </si>
  <si>
    <t>dep_310000</t>
  </si>
  <si>
    <t>152</t>
  </si>
  <si>
    <t>321</t>
  </si>
  <si>
    <t>57</t>
  </si>
  <si>
    <t>356</t>
  </si>
  <si>
    <t>162</t>
  </si>
  <si>
    <t>104</t>
  </si>
  <si>
    <t>160</t>
  </si>
  <si>
    <t>218</t>
  </si>
  <si>
    <t>35</t>
  </si>
  <si>
    <t>110</t>
  </si>
  <si>
    <t>581</t>
  </si>
  <si>
    <t>dep_590000</t>
  </si>
  <si>
    <t>27</t>
  </si>
  <si>
    <t>156</t>
  </si>
  <si>
    <t>146</t>
  </si>
  <si>
    <t>279</t>
  </si>
  <si>
    <t>155</t>
  </si>
  <si>
    <t>82</t>
  </si>
  <si>
    <t>258</t>
  </si>
  <si>
    <t>395</t>
  </si>
  <si>
    <t>444</t>
  </si>
  <si>
    <t>99</t>
  </si>
  <si>
    <t>51</t>
  </si>
  <si>
    <t>265</t>
  </si>
  <si>
    <t>603</t>
  </si>
  <si>
    <t>dep_320000</t>
  </si>
  <si>
    <t>0170-00001</t>
  </si>
  <si>
    <t>190</t>
  </si>
  <si>
    <t>189</t>
  </si>
  <si>
    <t>58</t>
  </si>
  <si>
    <t>450</t>
  </si>
  <si>
    <t>56</t>
  </si>
  <si>
    <t>dep_030000</t>
  </si>
  <si>
    <t>362</t>
  </si>
  <si>
    <t>168</t>
  </si>
  <si>
    <t>346</t>
  </si>
  <si>
    <t>435</t>
  </si>
  <si>
    <t>34</t>
  </si>
  <si>
    <t>125</t>
  </si>
  <si>
    <t>66</t>
  </si>
  <si>
    <t>375</t>
  </si>
  <si>
    <t>88</t>
  </si>
  <si>
    <t>309</t>
  </si>
  <si>
    <t>360</t>
  </si>
  <si>
    <t>553</t>
  </si>
  <si>
    <t>74</t>
  </si>
  <si>
    <t>36</t>
  </si>
  <si>
    <t>0129-2</t>
  </si>
  <si>
    <t>505</t>
  </si>
  <si>
    <t>462</t>
  </si>
  <si>
    <t>317</t>
  </si>
  <si>
    <t>29</t>
  </si>
  <si>
    <t>dep_300000</t>
  </si>
  <si>
    <t>245</t>
  </si>
  <si>
    <t>dep_380000</t>
  </si>
  <si>
    <t>439</t>
  </si>
  <si>
    <t>0161-01</t>
  </si>
  <si>
    <t>0036-7</t>
  </si>
  <si>
    <t>372</t>
  </si>
  <si>
    <t>dep_040000</t>
  </si>
  <si>
    <t>180</t>
  </si>
  <si>
    <t>0039-6</t>
  </si>
  <si>
    <t>269</t>
  </si>
  <si>
    <t>331</t>
  </si>
  <si>
    <t>406</t>
  </si>
  <si>
    <t>518</t>
  </si>
  <si>
    <t>77</t>
  </si>
  <si>
    <t>656</t>
  </si>
  <si>
    <t>475</t>
  </si>
  <si>
    <t>620</t>
  </si>
  <si>
    <t>46</t>
  </si>
  <si>
    <t>0156-01</t>
  </si>
  <si>
    <t>318</t>
  </si>
  <si>
    <t>83</t>
  </si>
  <si>
    <t>287</t>
  </si>
  <si>
    <t>277</t>
  </si>
  <si>
    <t>407</t>
  </si>
  <si>
    <t>75</t>
  </si>
  <si>
    <t>129</t>
  </si>
  <si>
    <t>119</t>
  </si>
  <si>
    <t>68</t>
  </si>
  <si>
    <t>dep_780000</t>
  </si>
  <si>
    <t>657</t>
  </si>
  <si>
    <t>0169-000001</t>
  </si>
  <si>
    <t>59</t>
  </si>
  <si>
    <t>222</t>
  </si>
  <si>
    <t>62</t>
  </si>
  <si>
    <t>33</t>
  </si>
  <si>
    <t>540</t>
  </si>
  <si>
    <t>437</t>
  </si>
  <si>
    <t>dep_140000</t>
  </si>
  <si>
    <t>0045-9</t>
  </si>
  <si>
    <t>dep_560000</t>
  </si>
  <si>
    <t>0094-7</t>
  </si>
  <si>
    <t>149</t>
  </si>
  <si>
    <t>0088-8</t>
  </si>
  <si>
    <t>253</t>
  </si>
  <si>
    <t>554</t>
  </si>
  <si>
    <t>64</t>
  </si>
  <si>
    <t>108</t>
  </si>
  <si>
    <t>0058-8</t>
  </si>
  <si>
    <t>547</t>
  </si>
  <si>
    <t>dep_810000</t>
  </si>
  <si>
    <t>0120-3</t>
  </si>
  <si>
    <t>0158-1</t>
  </si>
  <si>
    <t>165</t>
  </si>
  <si>
    <t>0099-8</t>
  </si>
  <si>
    <t>278</t>
  </si>
  <si>
    <t>sin_08</t>
  </si>
  <si>
    <t>382</t>
  </si>
  <si>
    <t>114</t>
  </si>
  <si>
    <t>169</t>
  </si>
  <si>
    <t>120</t>
  </si>
  <si>
    <t>130</t>
  </si>
  <si>
    <t>dep_070000</t>
  </si>
  <si>
    <t>0034-7</t>
  </si>
  <si>
    <t>638</t>
  </si>
  <si>
    <t>0031-8</t>
  </si>
  <si>
    <t>551</t>
  </si>
  <si>
    <t>0046-8</t>
  </si>
  <si>
    <t>243</t>
  </si>
  <si>
    <t>dep_500000</t>
  </si>
  <si>
    <t>275</t>
  </si>
  <si>
    <t>469</t>
  </si>
  <si>
    <t>150</t>
  </si>
  <si>
    <t>441</t>
  </si>
  <si>
    <t>293</t>
  </si>
  <si>
    <t>69</t>
  </si>
  <si>
    <t>142</t>
  </si>
  <si>
    <t>224</t>
  </si>
  <si>
    <t>0039-9</t>
  </si>
  <si>
    <t>392</t>
  </si>
  <si>
    <t>132</t>
  </si>
  <si>
    <t>0153-1</t>
  </si>
  <si>
    <t>167</t>
  </si>
  <si>
    <t>0055-8</t>
  </si>
  <si>
    <t>308</t>
  </si>
  <si>
    <t>260</t>
  </si>
  <si>
    <t>261</t>
  </si>
  <si>
    <t>164</t>
  </si>
  <si>
    <t>445</t>
  </si>
  <si>
    <t>595</t>
  </si>
  <si>
    <t>0034-8</t>
  </si>
  <si>
    <t>587</t>
  </si>
  <si>
    <t>341</t>
  </si>
  <si>
    <t>471</t>
  </si>
  <si>
    <t>227</t>
  </si>
  <si>
    <t>521</t>
  </si>
  <si>
    <t>93</t>
  </si>
  <si>
    <t>113</t>
  </si>
  <si>
    <t>590</t>
  </si>
  <si>
    <t>230</t>
  </si>
  <si>
    <t>276</t>
  </si>
  <si>
    <t>256</t>
  </si>
  <si>
    <t>175</t>
  </si>
  <si>
    <t>0022-6</t>
  </si>
  <si>
    <t>555</t>
  </si>
  <si>
    <t>504</t>
  </si>
  <si>
    <t>216</t>
  </si>
  <si>
    <t>415</t>
  </si>
  <si>
    <t>54</t>
  </si>
  <si>
    <t>154</t>
  </si>
  <si>
    <t>86</t>
  </si>
  <si>
    <t>21</t>
  </si>
  <si>
    <t>486</t>
  </si>
  <si>
    <t>336</t>
  </si>
  <si>
    <t>569</t>
  </si>
  <si>
    <t>313</t>
  </si>
  <si>
    <t>414</t>
  </si>
  <si>
    <t>338</t>
  </si>
  <si>
    <t>dep_150000</t>
  </si>
  <si>
    <t>0038-13</t>
  </si>
  <si>
    <t>264</t>
  </si>
  <si>
    <t>0040-11</t>
  </si>
  <si>
    <t>388</t>
  </si>
  <si>
    <t>0031-7</t>
  </si>
  <si>
    <t>604</t>
  </si>
  <si>
    <t>0034-1</t>
  </si>
  <si>
    <t>578</t>
  </si>
  <si>
    <t>214</t>
  </si>
  <si>
    <t>615</t>
  </si>
  <si>
    <t>0155-01</t>
  </si>
  <si>
    <t>89</t>
  </si>
  <si>
    <t>524</t>
  </si>
  <si>
    <t>292</t>
  </si>
  <si>
    <t>105</t>
  </si>
  <si>
    <t>170</t>
  </si>
  <si>
    <t>177</t>
  </si>
  <si>
    <t>512</t>
  </si>
  <si>
    <t>509</t>
  </si>
  <si>
    <t>0154-01</t>
  </si>
  <si>
    <t>126</t>
  </si>
  <si>
    <t>0023-5</t>
  </si>
  <si>
    <t>316</t>
  </si>
  <si>
    <t>404</t>
  </si>
  <si>
    <t>39</t>
  </si>
  <si>
    <t>442</t>
  </si>
  <si>
    <t>636</t>
  </si>
  <si>
    <t>157</t>
  </si>
  <si>
    <t>0025-3</t>
  </si>
  <si>
    <t>241</t>
  </si>
  <si>
    <t>dep_770000</t>
  </si>
  <si>
    <t>0085-6</t>
  </si>
  <si>
    <t>461</t>
  </si>
  <si>
    <t>163</t>
  </si>
  <si>
    <t>183</t>
  </si>
  <si>
    <t>668</t>
  </si>
  <si>
    <t>236</t>
  </si>
  <si>
    <t>136</t>
  </si>
  <si>
    <t>0004-7</t>
  </si>
  <si>
    <t>240</t>
  </si>
  <si>
    <t>0072-6</t>
  </si>
  <si>
    <t>498</t>
  </si>
  <si>
    <t>122</t>
  </si>
  <si>
    <t>299</t>
  </si>
  <si>
    <t>582</t>
  </si>
  <si>
    <t>140</t>
  </si>
  <si>
    <t>0020-1</t>
  </si>
  <si>
    <t>602</t>
  </si>
  <si>
    <t>0059-6</t>
  </si>
  <si>
    <t>588</t>
  </si>
  <si>
    <t>550</t>
  </si>
  <si>
    <t>166</t>
  </si>
  <si>
    <t>dep_800000</t>
  </si>
  <si>
    <t>417</t>
  </si>
  <si>
    <t>402</t>
  </si>
  <si>
    <t>312</t>
  </si>
  <si>
    <t>dep_720000</t>
  </si>
  <si>
    <t>0045-1</t>
  </si>
  <si>
    <t>361</t>
  </si>
  <si>
    <t>0032-1</t>
  </si>
  <si>
    <t>420</t>
  </si>
  <si>
    <t>252</t>
  </si>
  <si>
    <t>dep_740000</t>
  </si>
  <si>
    <t>100</t>
  </si>
  <si>
    <t>0032-7</t>
  </si>
  <si>
    <t>250</t>
  </si>
  <si>
    <t>0023-3</t>
  </si>
  <si>
    <t>213</t>
  </si>
  <si>
    <t>342</t>
  </si>
  <si>
    <t>0111-5</t>
  </si>
  <si>
    <t>0025-22</t>
  </si>
  <si>
    <t>326</t>
  </si>
  <si>
    <t>0146-00001</t>
  </si>
  <si>
    <t>466</t>
  </si>
  <si>
    <t>128</t>
  </si>
  <si>
    <t>0004-1</t>
  </si>
  <si>
    <t>111</t>
  </si>
  <si>
    <t>0159-01</t>
  </si>
  <si>
    <t>233</t>
  </si>
  <si>
    <t>226</t>
  </si>
  <si>
    <t>247</t>
  </si>
  <si>
    <t>133</t>
  </si>
  <si>
    <t>535</t>
  </si>
  <si>
    <t>598</t>
  </si>
  <si>
    <t>0020-5</t>
  </si>
  <si>
    <t>dep_510000</t>
  </si>
  <si>
    <t>234</t>
  </si>
  <si>
    <t>495</t>
  </si>
  <si>
    <t>0074-6</t>
  </si>
  <si>
    <t>255</t>
  </si>
  <si>
    <t>0057-7</t>
  </si>
  <si>
    <t>229</t>
  </si>
  <si>
    <t>393</t>
  </si>
  <si>
    <t>302</t>
  </si>
  <si>
    <t>139</t>
  </si>
  <si>
    <t>231</t>
  </si>
  <si>
    <t>172</t>
  </si>
  <si>
    <t>0040-10</t>
  </si>
  <si>
    <t>671</t>
  </si>
  <si>
    <t>272</t>
  </si>
  <si>
    <t>303</t>
  </si>
  <si>
    <t>487</t>
  </si>
  <si>
    <t>0132-1</t>
  </si>
  <si>
    <t>0040-4</t>
  </si>
  <si>
    <t>191</t>
  </si>
  <si>
    <t>401</t>
  </si>
  <si>
    <t>0029-6</t>
  </si>
  <si>
    <t>511</t>
  </si>
  <si>
    <t>315</t>
  </si>
  <si>
    <t>376</t>
  </si>
  <si>
    <t>651</t>
  </si>
  <si>
    <t>294</t>
  </si>
  <si>
    <t>405</t>
  </si>
  <si>
    <t>663</t>
  </si>
  <si>
    <t>669</t>
  </si>
  <si>
    <t>560</t>
  </si>
  <si>
    <t>323</t>
  </si>
  <si>
    <t>354</t>
  </si>
  <si>
    <t>0141-01</t>
  </si>
  <si>
    <t>0094-8</t>
  </si>
  <si>
    <t>508</t>
  </si>
  <si>
    <t>0046-9</t>
  </si>
  <si>
    <t>383</t>
  </si>
  <si>
    <t>484</t>
  </si>
  <si>
    <t>345</t>
  </si>
  <si>
    <t>248</t>
  </si>
  <si>
    <t>273</t>
  </si>
  <si>
    <t>281</t>
  </si>
  <si>
    <t>171</t>
  </si>
  <si>
    <t>479</t>
  </si>
  <si>
    <t>127</t>
  </si>
  <si>
    <t>454</t>
  </si>
  <si>
    <t>288</t>
  </si>
  <si>
    <t>0091-7</t>
  </si>
  <si>
    <t>579</t>
  </si>
  <si>
    <t>dep_660000</t>
  </si>
  <si>
    <t>232</t>
  </si>
  <si>
    <t>532</t>
  </si>
  <si>
    <t>0129-1</t>
  </si>
  <si>
    <t>67</t>
  </si>
  <si>
    <t>411</t>
  </si>
  <si>
    <t>459</t>
  </si>
  <si>
    <t>492</t>
  </si>
  <si>
    <t>193</t>
  </si>
  <si>
    <t>451</t>
  </si>
  <si>
    <t>173</t>
  </si>
  <si>
    <t>159</t>
  </si>
  <si>
    <t>0025-7</t>
  </si>
  <si>
    <t>605</t>
  </si>
  <si>
    <t>667</t>
  </si>
  <si>
    <t>390</t>
  </si>
  <si>
    <t>271</t>
  </si>
  <si>
    <t>301</t>
  </si>
  <si>
    <t>385</t>
  </si>
  <si>
    <t>427</t>
  </si>
  <si>
    <t>520</t>
  </si>
  <si>
    <t>452</t>
  </si>
  <si>
    <t>565</t>
  </si>
  <si>
    <t>dep_760000</t>
  </si>
  <si>
    <t>428</t>
  </si>
  <si>
    <t>147</t>
  </si>
  <si>
    <t>340</t>
  </si>
  <si>
    <t>137</t>
  </si>
  <si>
    <t>357</t>
  </si>
  <si>
    <t>339</t>
  </si>
  <si>
    <t>344</t>
  </si>
  <si>
    <t>0175-00001</t>
  </si>
  <si>
    <t>647</t>
  </si>
  <si>
    <t>571</t>
  </si>
  <si>
    <t>467</t>
  </si>
  <si>
    <t>384</t>
  </si>
  <si>
    <t>112</t>
  </si>
  <si>
    <t>408</t>
  </si>
  <si>
    <t>448</t>
  </si>
  <si>
    <t>332</t>
  </si>
  <si>
    <t>84</t>
  </si>
  <si>
    <t>dep_430000</t>
  </si>
  <si>
    <t>352</t>
  </si>
  <si>
    <t>0050-7</t>
  </si>
  <si>
    <t>186</t>
  </si>
  <si>
    <t>266</t>
  </si>
  <si>
    <t>0143-1</t>
  </si>
  <si>
    <t>580</t>
  </si>
  <si>
    <t>351</t>
  </si>
  <si>
    <t>394</t>
  </si>
  <si>
    <t>235</t>
  </si>
  <si>
    <t>0026-7</t>
  </si>
  <si>
    <t>365</t>
  </si>
  <si>
    <t>606</t>
  </si>
  <si>
    <t>548</t>
  </si>
  <si>
    <t>333</t>
  </si>
  <si>
    <t>503</t>
  </si>
  <si>
    <t>0131-3</t>
  </si>
  <si>
    <t>179</t>
  </si>
  <si>
    <t>0003-5</t>
  </si>
  <si>
    <t>666</t>
  </si>
  <si>
    <t>dep_600000</t>
  </si>
  <si>
    <t>494</t>
  </si>
  <si>
    <t>533</t>
  </si>
  <si>
    <t>561</t>
  </si>
  <si>
    <t>262</t>
  </si>
  <si>
    <t>219</t>
  </si>
  <si>
    <t>0025-23</t>
  </si>
  <si>
    <t>311</t>
  </si>
  <si>
    <t>609</t>
  </si>
  <si>
    <t>246</t>
  </si>
  <si>
    <t>456</t>
  </si>
  <si>
    <t>613</t>
  </si>
  <si>
    <t>371</t>
  </si>
  <si>
    <t>dep_710000</t>
  </si>
  <si>
    <t>374</t>
  </si>
  <si>
    <t>0025-21</t>
  </si>
  <si>
    <t>238</t>
  </si>
  <si>
    <t>464</t>
  </si>
  <si>
    <t>0080-6</t>
  </si>
  <si>
    <t>646</t>
  </si>
  <si>
    <t>474</t>
  </si>
  <si>
    <t>660</t>
  </si>
  <si>
    <t>438</t>
  </si>
  <si>
    <t>0093-7</t>
  </si>
  <si>
    <t>440</t>
  </si>
  <si>
    <t>161</t>
  </si>
  <si>
    <t>455</t>
  </si>
  <si>
    <t>0040-1</t>
  </si>
  <si>
    <t>310</t>
  </si>
  <si>
    <t>0136-01</t>
  </si>
  <si>
    <t>370</t>
  </si>
  <si>
    <t>0025-20</t>
  </si>
  <si>
    <t>355</t>
  </si>
  <si>
    <t>643</t>
  </si>
  <si>
    <t>0089-2</t>
  </si>
  <si>
    <t>501</t>
  </si>
  <si>
    <t>187</t>
  </si>
  <si>
    <t>0133-1</t>
  </si>
  <si>
    <t>619</t>
  </si>
  <si>
    <t>378</t>
  </si>
  <si>
    <t>335</t>
  </si>
  <si>
    <t>0115-5</t>
  </si>
  <si>
    <t>181</t>
  </si>
  <si>
    <t>522</t>
  </si>
  <si>
    <t>sin_06</t>
  </si>
  <si>
    <t>0083-6</t>
  </si>
  <si>
    <t>298</t>
  </si>
  <si>
    <t>629</t>
  </si>
  <si>
    <t>0089-5</t>
  </si>
  <si>
    <t>257</t>
  </si>
  <si>
    <t>0089-3</t>
  </si>
  <si>
    <t>145</t>
  </si>
  <si>
    <t>dep_700000</t>
  </si>
  <si>
    <t>dep_020000</t>
  </si>
  <si>
    <t>291</t>
  </si>
  <si>
    <t>182</t>
  </si>
  <si>
    <t>645</t>
  </si>
  <si>
    <t>0058-7</t>
  </si>
  <si>
    <t>0071-8</t>
  </si>
  <si>
    <t>0003-4</t>
  </si>
  <si>
    <t>0039-7</t>
  </si>
  <si>
    <t>124</t>
  </si>
  <si>
    <t>0029-4</t>
  </si>
  <si>
    <t>0020-4</t>
  </si>
  <si>
    <t>426</t>
  </si>
  <si>
    <t>0003-3</t>
  </si>
  <si>
    <t>268</t>
  </si>
  <si>
    <t>0089-4</t>
  </si>
  <si>
    <t>0055-6</t>
  </si>
  <si>
    <t>624</t>
  </si>
  <si>
    <t>0071-7</t>
  </si>
  <si>
    <t>600</t>
  </si>
  <si>
    <t>0025-17</t>
  </si>
  <si>
    <t>0174-00001</t>
  </si>
  <si>
    <t>dep_690000</t>
  </si>
  <si>
    <t>413</t>
  </si>
  <si>
    <t>0074-5</t>
  </si>
  <si>
    <t>379</t>
  </si>
  <si>
    <t>562</t>
  </si>
  <si>
    <t>322</t>
  </si>
  <si>
    <t>490</t>
  </si>
  <si>
    <t>0055-5</t>
  </si>
  <si>
    <t>0065-9</t>
  </si>
  <si>
    <t>239</t>
  </si>
  <si>
    <t>dep_680000</t>
  </si>
  <si>
    <t>0036-4</t>
  </si>
  <si>
    <t>477</t>
  </si>
  <si>
    <t>0115-2</t>
  </si>
  <si>
    <t>0115-3</t>
  </si>
  <si>
    <t>481</t>
  </si>
  <si>
    <t>0114-1</t>
  </si>
  <si>
    <t>0112-3</t>
  </si>
  <si>
    <t>0083-3</t>
  </si>
  <si>
    <t>148</t>
  </si>
  <si>
    <t>dep_080000</t>
  </si>
  <si>
    <t>0089-6</t>
  </si>
  <si>
    <t>493</t>
  </si>
  <si>
    <t>478</t>
  </si>
  <si>
    <t>0025-9</t>
  </si>
  <si>
    <t>403</t>
  </si>
  <si>
    <t>0045-3</t>
  </si>
  <si>
    <t>141</t>
  </si>
  <si>
    <t>0112-1</t>
  </si>
  <si>
    <t>650</t>
  </si>
  <si>
    <t>0093-4</t>
  </si>
  <si>
    <t>0074-4</t>
  </si>
  <si>
    <t>0040-8</t>
  </si>
  <si>
    <t>0029-3</t>
  </si>
  <si>
    <t>618</t>
  </si>
  <si>
    <t>324</t>
  </si>
  <si>
    <t>dep_610000</t>
  </si>
  <si>
    <t>0065-6</t>
  </si>
  <si>
    <t>367</t>
  </si>
  <si>
    <t>0025-11</t>
  </si>
  <si>
    <t>409</t>
  </si>
  <si>
    <t>0093-5</t>
  </si>
  <si>
    <t>0116-5</t>
  </si>
  <si>
    <t>430</t>
  </si>
  <si>
    <t>0040-9</t>
  </si>
  <si>
    <t>121</t>
  </si>
  <si>
    <t>0091-4</t>
  </si>
  <si>
    <t>398</t>
  </si>
  <si>
    <t>0094-4</t>
  </si>
  <si>
    <t>330</t>
  </si>
  <si>
    <t>0022-5</t>
  </si>
  <si>
    <t>0023-1</t>
  </si>
  <si>
    <t>0020-3</t>
  </si>
  <si>
    <t>358</t>
  </si>
  <si>
    <t>0020-2</t>
  </si>
  <si>
    <t>359</t>
  </si>
  <si>
    <t>381</t>
  </si>
  <si>
    <t>0088-4</t>
  </si>
  <si>
    <t>314</t>
  </si>
  <si>
    <t>423</t>
  </si>
  <si>
    <t>549</t>
  </si>
  <si>
    <t>0025-14</t>
  </si>
  <si>
    <t>0135-1</t>
  </si>
  <si>
    <t>329</t>
  </si>
  <si>
    <t>429</t>
  </si>
  <si>
    <t>0040-7</t>
  </si>
  <si>
    <t>0025-4</t>
  </si>
  <si>
    <t>0058-3</t>
  </si>
  <si>
    <t>118</t>
  </si>
  <si>
    <t>307</t>
  </si>
  <si>
    <t>0056-4</t>
  </si>
  <si>
    <t>482</t>
  </si>
  <si>
    <t>0093-2</t>
  </si>
  <si>
    <t>0088-3</t>
  </si>
  <si>
    <t>109</t>
  </si>
  <si>
    <t>0102-4</t>
  </si>
  <si>
    <t>217</t>
  </si>
  <si>
    <t>dep_670000</t>
  </si>
  <si>
    <t>0055-3</t>
  </si>
  <si>
    <t>0074-2</t>
  </si>
  <si>
    <t>425</t>
  </si>
  <si>
    <t>0107-2</t>
  </si>
  <si>
    <t>573</t>
  </si>
  <si>
    <t>0107-1</t>
  </si>
  <si>
    <t>0041-12</t>
  </si>
  <si>
    <t>517</t>
  </si>
  <si>
    <t>0025-5</t>
  </si>
  <si>
    <t>0104-2</t>
  </si>
  <si>
    <t>639</t>
  </si>
  <si>
    <t>391</t>
  </si>
  <si>
    <t>434</t>
  </si>
  <si>
    <t>0102-1</t>
  </si>
  <si>
    <t>0093-1</t>
  </si>
  <si>
    <t>0039-2</t>
  </si>
  <si>
    <t>228</t>
  </si>
  <si>
    <t>0036-1</t>
  </si>
  <si>
    <t>0036-6</t>
  </si>
  <si>
    <t>dep_580000</t>
  </si>
  <si>
    <t>0106-2</t>
  </si>
  <si>
    <t>584</t>
  </si>
  <si>
    <t>131</t>
  </si>
  <si>
    <t>0050-4</t>
  </si>
  <si>
    <t>192</t>
  </si>
  <si>
    <t>0025-1</t>
  </si>
  <si>
    <t>143</t>
  </si>
  <si>
    <t>306</t>
  </si>
  <si>
    <t>188</t>
  </si>
  <si>
    <t>0098-7</t>
  </si>
  <si>
    <t>0099-5</t>
  </si>
  <si>
    <t>123</t>
  </si>
  <si>
    <t>0072-2</t>
  </si>
  <si>
    <t>589</t>
  </si>
  <si>
    <t>0036-3</t>
  </si>
  <si>
    <t>0096-6</t>
  </si>
  <si>
    <t>0094-2</t>
  </si>
  <si>
    <t>286</t>
  </si>
  <si>
    <t>dep_820000</t>
  </si>
  <si>
    <t>0123-3</t>
  </si>
  <si>
    <t>0032-2</t>
  </si>
  <si>
    <t>0051-7</t>
  </si>
  <si>
    <t>353</t>
  </si>
  <si>
    <t>568</t>
  </si>
  <si>
    <t>285</t>
  </si>
  <si>
    <t>0074-3</t>
  </si>
  <si>
    <t>328</t>
  </si>
  <si>
    <t>0031-2</t>
  </si>
  <si>
    <t>0038-8</t>
  </si>
  <si>
    <t>138</t>
  </si>
  <si>
    <t>297</t>
  </si>
  <si>
    <t>389</t>
  </si>
  <si>
    <t>0041-1</t>
  </si>
  <si>
    <t>347</t>
  </si>
  <si>
    <t>dep_530000</t>
  </si>
  <si>
    <t>0041-10</t>
  </si>
  <si>
    <t>592</t>
  </si>
  <si>
    <t>0041-8</t>
  </si>
  <si>
    <t>0034-2</t>
  </si>
  <si>
    <t>0055-1</t>
  </si>
  <si>
    <t>488</t>
  </si>
  <si>
    <t>443</t>
  </si>
  <si>
    <t>585</t>
  </si>
  <si>
    <t>134</t>
  </si>
  <si>
    <t>343</t>
  </si>
  <si>
    <t>0149-00000000</t>
  </si>
  <si>
    <t>0011-2</t>
  </si>
  <si>
    <t>0082-4</t>
  </si>
  <si>
    <t>0039-1</t>
  </si>
  <si>
    <t>0041-5</t>
  </si>
  <si>
    <t>0110-9</t>
  </si>
  <si>
    <t>483</t>
  </si>
  <si>
    <t>0034-3</t>
  </si>
  <si>
    <t>0124-2</t>
  </si>
  <si>
    <t>476</t>
  </si>
  <si>
    <t>0102-5</t>
  </si>
  <si>
    <t>0075-1</t>
  </si>
  <si>
    <t>0038-5</t>
  </si>
  <si>
    <t>0038-1</t>
  </si>
  <si>
    <t>267</t>
  </si>
  <si>
    <t>263</t>
  </si>
  <si>
    <t>0109-3</t>
  </si>
  <si>
    <t>368</t>
  </si>
  <si>
    <t>541</t>
  </si>
  <si>
    <t>dep_750000</t>
  </si>
  <si>
    <t>0078-5</t>
  </si>
  <si>
    <t>sin_03</t>
  </si>
  <si>
    <t>510</t>
  </si>
  <si>
    <t>0022-3</t>
  </si>
  <si>
    <t>0024-1</t>
  </si>
  <si>
    <t>457</t>
  </si>
  <si>
    <t>0079-1</t>
  </si>
  <si>
    <t>0095-5</t>
  </si>
  <si>
    <t>0074-1</t>
  </si>
  <si>
    <t>0026-1</t>
  </si>
  <si>
    <t>527</t>
  </si>
  <si>
    <t>0062-5</t>
  </si>
  <si>
    <t>dep_620000</t>
  </si>
  <si>
    <t>dep_830000</t>
  </si>
  <si>
    <t>0119-3</t>
  </si>
  <si>
    <t>583</t>
  </si>
  <si>
    <t>349</t>
  </si>
  <si>
    <t>0029-1</t>
  </si>
  <si>
    <t>363</t>
  </si>
  <si>
    <t>0078-1</t>
  </si>
  <si>
    <t>282</t>
  </si>
  <si>
    <t>0055-7</t>
  </si>
  <si>
    <t>0077-4</t>
  </si>
  <si>
    <t>446</t>
  </si>
  <si>
    <t>0037-3</t>
  </si>
  <si>
    <t>0076-2</t>
  </si>
  <si>
    <t>546</t>
  </si>
  <si>
    <t>0058-2</t>
  </si>
  <si>
    <t>0039-3</t>
  </si>
  <si>
    <t>0056-5</t>
  </si>
  <si>
    <t>0041-6</t>
  </si>
  <si>
    <t>544</t>
  </si>
  <si>
    <t>0176-00001</t>
  </si>
  <si>
    <t>0025-13</t>
  </si>
  <si>
    <t>622</t>
  </si>
  <si>
    <t>0151-01</t>
  </si>
  <si>
    <t>0093-3</t>
  </si>
  <si>
    <t>577</t>
  </si>
  <si>
    <t>586</t>
  </si>
  <si>
    <t>0072-5</t>
  </si>
  <si>
    <t>0088-1</t>
  </si>
  <si>
    <t>0111-2</t>
  </si>
  <si>
    <t>0145-01</t>
  </si>
  <si>
    <t>0072-1</t>
  </si>
  <si>
    <t>0114-2</t>
  </si>
  <si>
    <t>0098-3</t>
  </si>
  <si>
    <t>0130-2</t>
  </si>
  <si>
    <t>563</t>
  </si>
  <si>
    <t>0171-00001</t>
  </si>
  <si>
    <t>0125-3</t>
  </si>
  <si>
    <t>0050-6</t>
  </si>
  <si>
    <t>325</t>
  </si>
  <si>
    <t>0068-1</t>
  </si>
  <si>
    <t>0088-6</t>
  </si>
  <si>
    <t>449</t>
  </si>
  <si>
    <t>0037-1</t>
  </si>
  <si>
    <t>185</t>
  </si>
  <si>
    <t>296</t>
  </si>
  <si>
    <t>0085-4</t>
  </si>
  <si>
    <t>0069-1</t>
  </si>
  <si>
    <t>327</t>
  </si>
  <si>
    <t>635</t>
  </si>
  <si>
    <t>0168-1</t>
  </si>
  <si>
    <t>0035-5</t>
  </si>
  <si>
    <t>489</t>
  </si>
  <si>
    <t>539</t>
  </si>
  <si>
    <t>661</t>
  </si>
  <si>
    <t>0029-2</t>
  </si>
  <si>
    <t>610</t>
  </si>
  <si>
    <t>284</t>
  </si>
  <si>
    <t>631</t>
  </si>
  <si>
    <t>0092-1</t>
  </si>
  <si>
    <t>0167-1</t>
  </si>
  <si>
    <t>0042-8</t>
  </si>
  <si>
    <t>0172-00001</t>
  </si>
  <si>
    <t>626</t>
  </si>
  <si>
    <t>366</t>
  </si>
  <si>
    <t>421</t>
  </si>
  <si>
    <t>0068-8</t>
  </si>
  <si>
    <t>596</t>
  </si>
  <si>
    <t>617</t>
  </si>
  <si>
    <t>538</t>
  </si>
  <si>
    <t>447</t>
  </si>
  <si>
    <t>670</t>
  </si>
  <si>
    <t>0108-7</t>
  </si>
  <si>
    <t>0011-5</t>
  </si>
  <si>
    <t>0030-9</t>
  </si>
  <si>
    <t>654</t>
  </si>
  <si>
    <t>0057-2</t>
  </si>
  <si>
    <t>377</t>
  </si>
  <si>
    <t>515</t>
  </si>
  <si>
    <t>242</t>
  </si>
  <si>
    <t>0043-6</t>
  </si>
  <si>
    <t>0056-3</t>
  </si>
  <si>
    <t>431</t>
  </si>
  <si>
    <t>386</t>
  </si>
  <si>
    <t>416</t>
  </si>
  <si>
    <t>0039-10</t>
  </si>
  <si>
    <t>0044-3</t>
  </si>
  <si>
    <t>0081-7</t>
  </si>
  <si>
    <t>0027-13</t>
  </si>
  <si>
    <t>0040-6</t>
  </si>
  <si>
    <t>567</t>
  </si>
  <si>
    <t>380</t>
  </si>
  <si>
    <t>0046-4</t>
  </si>
  <si>
    <t>117</t>
  </si>
  <si>
    <t>396</t>
  </si>
  <si>
    <t>373</t>
  </si>
  <si>
    <t>630</t>
  </si>
  <si>
    <t>0027-14</t>
  </si>
  <si>
    <t>215</t>
  </si>
  <si>
    <t>594</t>
  </si>
  <si>
    <t>0110-10</t>
  </si>
  <si>
    <t>153</t>
  </si>
  <si>
    <t>0173-00001</t>
  </si>
  <si>
    <t>0103-7</t>
  </si>
  <si>
    <t>251</t>
  </si>
  <si>
    <t>dep_050010</t>
  </si>
  <si>
    <t>432</t>
  </si>
  <si>
    <t>0165-1</t>
  </si>
  <si>
    <t>0065-10</t>
  </si>
  <si>
    <t>0078-6</t>
  </si>
  <si>
    <t>0029-5</t>
  </si>
  <si>
    <t/>
  </si>
  <si>
    <t>0055</t>
  </si>
  <si>
    <t>Aut1-000000</t>
  </si>
  <si>
    <t>679</t>
  </si>
  <si>
    <t>Autonomos</t>
  </si>
  <si>
    <t>0001-1</t>
  </si>
  <si>
    <t>PORTEIRO (0010)</t>
  </si>
  <si>
    <t>0001-2</t>
  </si>
  <si>
    <t>0002-1</t>
  </si>
  <si>
    <t>FATURISTA (0011)</t>
  </si>
  <si>
    <t>0003-1</t>
  </si>
  <si>
    <t>TECNICO DE ENFERMAGEM - LACTARIO (0045)</t>
  </si>
  <si>
    <t>0003-2</t>
  </si>
  <si>
    <t>ENFERMEIRA(O) BLOCO (0047)</t>
  </si>
  <si>
    <t>0004-2</t>
  </si>
  <si>
    <t>0004-3</t>
  </si>
  <si>
    <t>0004-4</t>
  </si>
  <si>
    <t>0004-5</t>
  </si>
  <si>
    <t>0004-6</t>
  </si>
  <si>
    <t>COZINHEIRA (O) (0048)</t>
  </si>
  <si>
    <t>0006-1</t>
  </si>
  <si>
    <t>SECRETÃRIA(O)</t>
  </si>
  <si>
    <t>0007-1</t>
  </si>
  <si>
    <t>ARRUMADEIRA (0051)</t>
  </si>
  <si>
    <t>0007-2</t>
  </si>
  <si>
    <t>0008-1</t>
  </si>
  <si>
    <t>SECRETÃRIO (0052)</t>
  </si>
  <si>
    <t>0009-1</t>
  </si>
  <si>
    <t>AUX DE LAVANDERIA (0054)</t>
  </si>
  <si>
    <t>0010-1</t>
  </si>
  <si>
    <t>AUXILIAR DE SERV. GERAIS (0055)</t>
  </si>
  <si>
    <t>0011-1</t>
  </si>
  <si>
    <t>SECRETARIA - PRE INTERNACAO (0063)</t>
  </si>
  <si>
    <t>0011-3</t>
  </si>
  <si>
    <t>0011-4</t>
  </si>
  <si>
    <t>0012-1</t>
  </si>
  <si>
    <t>PORTEIRO (0066)</t>
  </si>
  <si>
    <t>0013-1</t>
  </si>
  <si>
    <t>AUX. DE FARMÃCIA II (0067)</t>
  </si>
  <si>
    <t>RECEPCIONISTA (0068)</t>
  </si>
  <si>
    <t>0015-1</t>
  </si>
  <si>
    <t>NUTRICIONISTA LACTARIO (0069)</t>
  </si>
  <si>
    <t>0015-2</t>
  </si>
  <si>
    <t>0016-1</t>
  </si>
  <si>
    <t>COPEIRA DE HOSPITAL (0071)</t>
  </si>
  <si>
    <t>0017-1</t>
  </si>
  <si>
    <t>MAQUEIRO (0077)</t>
  </si>
  <si>
    <t>0018-1</t>
  </si>
  <si>
    <t>FARMACEUTICA(O) (0083)</t>
  </si>
  <si>
    <t>0018-2</t>
  </si>
  <si>
    <t>0019-1</t>
  </si>
  <si>
    <t>ASSISTENTE ADMINISTRATIVO (0098)</t>
  </si>
  <si>
    <t>TÃ¿C. DE ENFERMAGEM UTI NEO (0100)</t>
  </si>
  <si>
    <t>0021-1</t>
  </si>
  <si>
    <t>AUX DE NUTRICAO (0104)</t>
  </si>
  <si>
    <t>0022-1</t>
  </si>
  <si>
    <t>ENFERMEIRA(O)- UTI (0110)</t>
  </si>
  <si>
    <t>0022-2</t>
  </si>
  <si>
    <t>0022-4</t>
  </si>
  <si>
    <t>TECNICO DE ENFERMAGEM CENTRO CIRÃ¿RGICO(0114)</t>
  </si>
  <si>
    <t>0023-2</t>
  </si>
  <si>
    <t>0023-4</t>
  </si>
  <si>
    <t>SECRETARIA EXECUTIVA (0118)</t>
  </si>
  <si>
    <t>ENFERMEIRA(O) ANDAR (0173)</t>
  </si>
  <si>
    <t>0025-10</t>
  </si>
  <si>
    <t>0025-12</t>
  </si>
  <si>
    <t>0025-15</t>
  </si>
  <si>
    <t>0025-16</t>
  </si>
  <si>
    <t>0025-18</t>
  </si>
  <si>
    <t>0025-19</t>
  </si>
  <si>
    <t>0025-2</t>
  </si>
  <si>
    <t>0025-6</t>
  </si>
  <si>
    <t>0025-8</t>
  </si>
  <si>
    <t>ASSIST ADMINISTRATIVO III (0174)</t>
  </si>
  <si>
    <t>0026-2</t>
  </si>
  <si>
    <t>0026-3</t>
  </si>
  <si>
    <t>0026-4</t>
  </si>
  <si>
    <t>0026-5</t>
  </si>
  <si>
    <t>0026-6</t>
  </si>
  <si>
    <t>0027-1</t>
  </si>
  <si>
    <t>AUXILIAR DE FARMACIA I (0175)</t>
  </si>
  <si>
    <t>0027-10</t>
  </si>
  <si>
    <t>0027-11</t>
  </si>
  <si>
    <t>0027-12</t>
  </si>
  <si>
    <t>0027-2</t>
  </si>
  <si>
    <t>0027-3</t>
  </si>
  <si>
    <t>0027-4</t>
  </si>
  <si>
    <t>0027-5</t>
  </si>
  <si>
    <t>0027-6</t>
  </si>
  <si>
    <t>0027-7</t>
  </si>
  <si>
    <t>0027-8</t>
  </si>
  <si>
    <t>0027-9</t>
  </si>
  <si>
    <t>0028-1</t>
  </si>
  <si>
    <t>MEDICA (0176)</t>
  </si>
  <si>
    <t>TECNICO DE ENFERMAGEM DO CME (0177)</t>
  </si>
  <si>
    <t>ENCARREGADO ALMOXARIFADO (0178)</t>
  </si>
  <si>
    <t>0030-2</t>
  </si>
  <si>
    <t>0030-4</t>
  </si>
  <si>
    <t>0030-5</t>
  </si>
  <si>
    <t>0030-6</t>
  </si>
  <si>
    <t>0030-7</t>
  </si>
  <si>
    <t>0030-8</t>
  </si>
  <si>
    <t>0031-1</t>
  </si>
  <si>
    <t>ASSIST. DE CONTAS MÃ¿DICAS (0180)</t>
  </si>
  <si>
    <t>0031-3</t>
  </si>
  <si>
    <t>0031-4</t>
  </si>
  <si>
    <t>0031-5</t>
  </si>
  <si>
    <t>0031-6</t>
  </si>
  <si>
    <t>SECRETARIA(O) (0181)</t>
  </si>
  <si>
    <t>0032-3</t>
  </si>
  <si>
    <t>0032-4</t>
  </si>
  <si>
    <t>0032-5</t>
  </si>
  <si>
    <t>0032-6</t>
  </si>
  <si>
    <t>0033-1</t>
  </si>
  <si>
    <t>ENFERMEIRA (0182)</t>
  </si>
  <si>
    <t>PORTEIRO (0183)</t>
  </si>
  <si>
    <t>0034-4</t>
  </si>
  <si>
    <t>0034-5</t>
  </si>
  <si>
    <t>0034-6</t>
  </si>
  <si>
    <t>0035-1</t>
  </si>
  <si>
    <t>GESTORA HOSPITALAR (0184)</t>
  </si>
  <si>
    <t>0035-2</t>
  </si>
  <si>
    <t>0035-3</t>
  </si>
  <si>
    <t>0035-4</t>
  </si>
  <si>
    <t>144</t>
  </si>
  <si>
    <t>RECEPCIONISTA (0185)</t>
  </si>
  <si>
    <t>0036-2</t>
  </si>
  <si>
    <t>0036-5</t>
  </si>
  <si>
    <t>ATEND DE TELEMARKETING (0186)</t>
  </si>
  <si>
    <t>0037-2</t>
  </si>
  <si>
    <t>AUX DE LAVANDERIA (0187)</t>
  </si>
  <si>
    <t>0038-10</t>
  </si>
  <si>
    <t>0038-11</t>
  </si>
  <si>
    <t>0038-12</t>
  </si>
  <si>
    <t>0038-2</t>
  </si>
  <si>
    <t>0038-3</t>
  </si>
  <si>
    <t>0038-4</t>
  </si>
  <si>
    <t>0038-6</t>
  </si>
  <si>
    <t>0038-7</t>
  </si>
  <si>
    <t>0038-9</t>
  </si>
  <si>
    <t>AUXILIAR DE SERV. GERAIS (0188)</t>
  </si>
  <si>
    <t>0039-4</t>
  </si>
  <si>
    <t>0039-5</t>
  </si>
  <si>
    <t>0039-8</t>
  </si>
  <si>
    <t>176</t>
  </si>
  <si>
    <t>TÃ¿CNICO DE ENFERMAGEM ANDAR (0190)</t>
  </si>
  <si>
    <t>178</t>
  </si>
  <si>
    <t>0040-2</t>
  </si>
  <si>
    <t>0040-3</t>
  </si>
  <si>
    <t>0040-5</t>
  </si>
  <si>
    <t>AUXILIAR DE FARMÃCIA II (0191)</t>
  </si>
  <si>
    <t>0041-11</t>
  </si>
  <si>
    <t>0041-2</t>
  </si>
  <si>
    <t>0041-3</t>
  </si>
  <si>
    <t>0041-4</t>
  </si>
  <si>
    <t>0041-7</t>
  </si>
  <si>
    <t>0041-9</t>
  </si>
  <si>
    <t>0042-1</t>
  </si>
  <si>
    <t>ARRUMADEIRA (0193)</t>
  </si>
  <si>
    <t>0042-2</t>
  </si>
  <si>
    <t>0042-3</t>
  </si>
  <si>
    <t>0042-4</t>
  </si>
  <si>
    <t>0042-5</t>
  </si>
  <si>
    <t>0042-6</t>
  </si>
  <si>
    <t>0042-7</t>
  </si>
  <si>
    <t>0043-1</t>
  </si>
  <si>
    <t>ENCARREGADO DE MANUTENÃ¿Ã¿O (0194)</t>
  </si>
  <si>
    <t>0043-2</t>
  </si>
  <si>
    <t>0043-3</t>
  </si>
  <si>
    <t>0043-4</t>
  </si>
  <si>
    <t>0043-5</t>
  </si>
  <si>
    <t>0044-1</t>
  </si>
  <si>
    <t>SECRETÃRIO (0195)</t>
  </si>
  <si>
    <t>0044-2</t>
  </si>
  <si>
    <t>ARTIFICE DE MANUTENCAO (0196)</t>
  </si>
  <si>
    <t>0045-2</t>
  </si>
  <si>
    <t>0045-4</t>
  </si>
  <si>
    <t>220</t>
  </si>
  <si>
    <t>0045-5</t>
  </si>
  <si>
    <t>0045-6</t>
  </si>
  <si>
    <t>0045-7</t>
  </si>
  <si>
    <t>0045-8</t>
  </si>
  <si>
    <t>0046-1</t>
  </si>
  <si>
    <t>MAQUEIRO (0197)</t>
  </si>
  <si>
    <t>0046-2</t>
  </si>
  <si>
    <t>0046-3</t>
  </si>
  <si>
    <t>0046-5</t>
  </si>
  <si>
    <t>0046-6</t>
  </si>
  <si>
    <t>0046-7</t>
  </si>
  <si>
    <t>0047-1</t>
  </si>
  <si>
    <t>ENCAR SERVICOS GERAIS (0198)</t>
  </si>
  <si>
    <t>0048-1</t>
  </si>
  <si>
    <t>COORD BLOCO CIRÃ¿RGICO (0199)</t>
  </si>
  <si>
    <t>0049-1</t>
  </si>
  <si>
    <t>COORDENADORA DE RH (0200)</t>
  </si>
  <si>
    <t>0049-2</t>
  </si>
  <si>
    <t>0049-3</t>
  </si>
  <si>
    <t>0049-4</t>
  </si>
  <si>
    <t>0049-5</t>
  </si>
  <si>
    <t>0049-6</t>
  </si>
  <si>
    <t>0050-1</t>
  </si>
  <si>
    <t>244</t>
  </si>
  <si>
    <t>TECNICO DE INFORMÃTICA (0201)</t>
  </si>
  <si>
    <t>0050-2</t>
  </si>
  <si>
    <t>0050-3</t>
  </si>
  <si>
    <t>0050-5</t>
  </si>
  <si>
    <t>0051-1</t>
  </si>
  <si>
    <t>ASSISTENTE ADM FINANCEIRO (0202)</t>
  </si>
  <si>
    <t>0051-2</t>
  </si>
  <si>
    <t>0051-3</t>
  </si>
  <si>
    <t>0051-4</t>
  </si>
  <si>
    <t>0051-5</t>
  </si>
  <si>
    <t>0051-6</t>
  </si>
  <si>
    <t>0052-1</t>
  </si>
  <si>
    <t>AUXILIAR DE ENFERMAGEM (0203)</t>
  </si>
  <si>
    <t>0053-1</t>
  </si>
  <si>
    <t>GERENTE ADMINSTRATIVO (0204)</t>
  </si>
  <si>
    <t>0053-2</t>
  </si>
  <si>
    <t>0053-3</t>
  </si>
  <si>
    <t>0053-4</t>
  </si>
  <si>
    <t>0053-5</t>
  </si>
  <si>
    <t>0053-6</t>
  </si>
  <si>
    <t>0053-7</t>
  </si>
  <si>
    <t>0054-1</t>
  </si>
  <si>
    <t>ATENDENTE DE CALL CENTER (0205)</t>
  </si>
  <si>
    <t>0054-2</t>
  </si>
  <si>
    <t>COZINHEIRA (O) (0206)</t>
  </si>
  <si>
    <t>0055-2</t>
  </si>
  <si>
    <t>0055-4</t>
  </si>
  <si>
    <t>274</t>
  </si>
  <si>
    <t>0056-1</t>
  </si>
  <si>
    <t>NUTRICIONISTA (0207)</t>
  </si>
  <si>
    <t>0056-2</t>
  </si>
  <si>
    <t>280</t>
  </si>
  <si>
    <t>0056-6</t>
  </si>
  <si>
    <t>0056-7</t>
  </si>
  <si>
    <t>0056-8</t>
  </si>
  <si>
    <t>0056-9</t>
  </si>
  <si>
    <t>0057-1</t>
  </si>
  <si>
    <t>GERENTE CLINICA (0208)</t>
  </si>
  <si>
    <t>0057-3</t>
  </si>
  <si>
    <t>0057-4</t>
  </si>
  <si>
    <t>289</t>
  </si>
  <si>
    <t>0057-5</t>
  </si>
  <si>
    <t>0057-6</t>
  </si>
  <si>
    <t>0058-1</t>
  </si>
  <si>
    <t>COPEIRA DE HOSPITAL (0209)</t>
  </si>
  <si>
    <t>295</t>
  </si>
  <si>
    <t>0058-4</t>
  </si>
  <si>
    <t>0058-5</t>
  </si>
  <si>
    <t>0058-6</t>
  </si>
  <si>
    <t>0059-1</t>
  </si>
  <si>
    <t>DIRETOR (0210)</t>
  </si>
  <si>
    <t>0059-2</t>
  </si>
  <si>
    <t>0059-3</t>
  </si>
  <si>
    <t>0059-4</t>
  </si>
  <si>
    <t>0059-5</t>
  </si>
  <si>
    <t>0060-1</t>
  </si>
  <si>
    <t>OFFICE BOY (0211)</t>
  </si>
  <si>
    <t>0060-2</t>
  </si>
  <si>
    <t>0060-3</t>
  </si>
  <si>
    <t>0060-4</t>
  </si>
  <si>
    <t>0060-5</t>
  </si>
  <si>
    <t>0060-6</t>
  </si>
  <si>
    <t>0061-1</t>
  </si>
  <si>
    <t>ASSIST DE CONTABILIDADE (0212)</t>
  </si>
  <si>
    <t>0061-2</t>
  </si>
  <si>
    <t>0061-3</t>
  </si>
  <si>
    <t>0061-4</t>
  </si>
  <si>
    <t>0062-1</t>
  </si>
  <si>
    <t>GERENTE FINANCEIRO (0213)</t>
  </si>
  <si>
    <t>0062-2</t>
  </si>
  <si>
    <t>0062-3</t>
  </si>
  <si>
    <t>0062-4</t>
  </si>
  <si>
    <t>320</t>
  </si>
  <si>
    <t>0063-1</t>
  </si>
  <si>
    <t>ENCAR DE ARQUIVO TECNICO (0214)</t>
  </si>
  <si>
    <t>0063-2</t>
  </si>
  <si>
    <t>0063-3</t>
  </si>
  <si>
    <t>0063-4</t>
  </si>
  <si>
    <t>0063-5</t>
  </si>
  <si>
    <t>0063-6</t>
  </si>
  <si>
    <t>0064-1</t>
  </si>
  <si>
    <t>ASSIST. CONTROLE DE GLOSA (0216)</t>
  </si>
  <si>
    <t>0064-2</t>
  </si>
  <si>
    <t>0064-3</t>
  </si>
  <si>
    <t>0064-4</t>
  </si>
  <si>
    <t>0065-1</t>
  </si>
  <si>
    <t>FARMACEUTICA(O) (0217)</t>
  </si>
  <si>
    <t>0065-11</t>
  </si>
  <si>
    <t>334</t>
  </si>
  <si>
    <t>0065-12</t>
  </si>
  <si>
    <t>0065-13</t>
  </si>
  <si>
    <t>0065-2</t>
  </si>
  <si>
    <t>337</t>
  </si>
  <si>
    <t>0065-3</t>
  </si>
  <si>
    <t>0065-4</t>
  </si>
  <si>
    <t>0065-5</t>
  </si>
  <si>
    <t>0065-7</t>
  </si>
  <si>
    <t>0065-8</t>
  </si>
  <si>
    <t>0066-1</t>
  </si>
  <si>
    <t>TESOUREIRA (0218)</t>
  </si>
  <si>
    <t>0066-2</t>
  </si>
  <si>
    <t>0067-1</t>
  </si>
  <si>
    <t>COORD. CONTAS MÃ¿DICAS (0219)</t>
  </si>
  <si>
    <t>0067-2</t>
  </si>
  <si>
    <t>348</t>
  </si>
  <si>
    <t>0067-3</t>
  </si>
  <si>
    <t>0067-4</t>
  </si>
  <si>
    <t>0067-5</t>
  </si>
  <si>
    <t>0067-6</t>
  </si>
  <si>
    <t>0067-7</t>
  </si>
  <si>
    <t>ASSISTENTE DE RH (0220)</t>
  </si>
  <si>
    <t>0068-2</t>
  </si>
  <si>
    <t>0068-3</t>
  </si>
  <si>
    <t>0068-4</t>
  </si>
  <si>
    <t>0068-5</t>
  </si>
  <si>
    <t>0068-6</t>
  </si>
  <si>
    <t>0068-7</t>
  </si>
  <si>
    <t>CUIDADORA DE ADULTO (0222)</t>
  </si>
  <si>
    <t>0070-1</t>
  </si>
  <si>
    <t>ASSISTENTE ADMINISTRATIVO - ARQUIVO(0223)</t>
  </si>
  <si>
    <t>0070-2</t>
  </si>
  <si>
    <t>364</t>
  </si>
  <si>
    <t>0070-3</t>
  </si>
  <si>
    <t>0070-4</t>
  </si>
  <si>
    <t>0070-5</t>
  </si>
  <si>
    <t>0070-6</t>
  </si>
  <si>
    <t>0070-7</t>
  </si>
  <si>
    <t>0071-1</t>
  </si>
  <si>
    <t>AUXILIAR DE ALMOXARIFADO (0224)</t>
  </si>
  <si>
    <t>0071-2</t>
  </si>
  <si>
    <t>0071-3</t>
  </si>
  <si>
    <t>0071-4</t>
  </si>
  <si>
    <t>0071-5</t>
  </si>
  <si>
    <t>0071-6</t>
  </si>
  <si>
    <t>AUX DE MANUTENÃ¿Ã¿O PREDIAL (0225)</t>
  </si>
  <si>
    <t>0072-3</t>
  </si>
  <si>
    <t>0072-4</t>
  </si>
  <si>
    <t>0073-1</t>
  </si>
  <si>
    <t>COORD.DE ATENDIMENTO (0226)</t>
  </si>
  <si>
    <t>APRENDIZ</t>
  </si>
  <si>
    <t>AUX DE NUTRICAO (0229)</t>
  </si>
  <si>
    <t>0076-1</t>
  </si>
  <si>
    <t>ASSISTENTE DE PUBLICIDADE (0231)</t>
  </si>
  <si>
    <t>0077-1</t>
  </si>
  <si>
    <t>GERENTE TÃ¿CNICO (0233)</t>
  </si>
  <si>
    <t>0077-2</t>
  </si>
  <si>
    <t>0077-3</t>
  </si>
  <si>
    <t>MEDICO (0234)</t>
  </si>
  <si>
    <t>0078-2</t>
  </si>
  <si>
    <t>0078-3</t>
  </si>
  <si>
    <t>0078-4</t>
  </si>
  <si>
    <t>TEC MAN E REPA EQUIP MED (0235)</t>
  </si>
  <si>
    <t>0080-1</t>
  </si>
  <si>
    <t>PSICOLOGA (0236)</t>
  </si>
  <si>
    <t>0080-2</t>
  </si>
  <si>
    <t>0080-3</t>
  </si>
  <si>
    <t>0080-4</t>
  </si>
  <si>
    <t>0080-5</t>
  </si>
  <si>
    <t>410</t>
  </si>
  <si>
    <t>0081-1</t>
  </si>
  <si>
    <t>412</t>
  </si>
  <si>
    <t>ENCARREGADO DE PORTARIA (0237)</t>
  </si>
  <si>
    <t>0081-2</t>
  </si>
  <si>
    <t>0081-3</t>
  </si>
  <si>
    <t>0081-4</t>
  </si>
  <si>
    <t>0081-5</t>
  </si>
  <si>
    <t>0081-6</t>
  </si>
  <si>
    <t>418</t>
  </si>
  <si>
    <t>0082-1</t>
  </si>
  <si>
    <t>419</t>
  </si>
  <si>
    <t>ENCARREGADA DE GOVERNANÃ¿A (0238)</t>
  </si>
  <si>
    <t>0082-2</t>
  </si>
  <si>
    <t>0082-3</t>
  </si>
  <si>
    <t>0083-1</t>
  </si>
  <si>
    <t>COORDENADOR DE RECEPCAO (0239)</t>
  </si>
  <si>
    <t>0083-2</t>
  </si>
  <si>
    <t>424</t>
  </si>
  <si>
    <t>0083-4</t>
  </si>
  <si>
    <t>0083-5</t>
  </si>
  <si>
    <t>0084-1</t>
  </si>
  <si>
    <t>COORDENADOR DE PRE-INTERNACAO (0240)</t>
  </si>
  <si>
    <t>0084-2</t>
  </si>
  <si>
    <t>0084-3</t>
  </si>
  <si>
    <t>0084-4</t>
  </si>
  <si>
    <t>0084-5</t>
  </si>
  <si>
    <t>433</t>
  </si>
  <si>
    <t>0084-6</t>
  </si>
  <si>
    <t>0085-1</t>
  </si>
  <si>
    <t>RECEPCIONISTA II (0241)</t>
  </si>
  <si>
    <t>0085-2</t>
  </si>
  <si>
    <t>436</t>
  </si>
  <si>
    <t>0085-3</t>
  </si>
  <si>
    <t>0085-5</t>
  </si>
  <si>
    <t>0086-1</t>
  </si>
  <si>
    <t>COORDENADORA DE LEITOS (0242)</t>
  </si>
  <si>
    <t>0086-2</t>
  </si>
  <si>
    <t>0086-3</t>
  </si>
  <si>
    <t>0086-4</t>
  </si>
  <si>
    <t>0086-5</t>
  </si>
  <si>
    <t>0086-6</t>
  </si>
  <si>
    <t>0086-7</t>
  </si>
  <si>
    <t>0086-8</t>
  </si>
  <si>
    <t>0087-1</t>
  </si>
  <si>
    <t>COORDENADORA DE ENFERMAGEM GERAL (0243)</t>
  </si>
  <si>
    <t>CAMAREIRA (0244)</t>
  </si>
  <si>
    <t>0088-2</t>
  </si>
  <si>
    <t>453</t>
  </si>
  <si>
    <t>0088-5</t>
  </si>
  <si>
    <t>0088-7</t>
  </si>
  <si>
    <t>ESTAGIARIO(A) (0245)</t>
  </si>
  <si>
    <t>460</t>
  </si>
  <si>
    <t>463</t>
  </si>
  <si>
    <t>0090-1</t>
  </si>
  <si>
    <t>465</t>
  </si>
  <si>
    <t>COORDENADORA DE UTI (0246)</t>
  </si>
  <si>
    <t>0091-1</t>
  </si>
  <si>
    <t>TECNICO DE SEG DO TRAB (0247)</t>
  </si>
  <si>
    <t>0091-2</t>
  </si>
  <si>
    <t>0091-3</t>
  </si>
  <si>
    <t>468</t>
  </si>
  <si>
    <t>0091-5</t>
  </si>
  <si>
    <t>470</t>
  </si>
  <si>
    <t>0091-6</t>
  </si>
  <si>
    <t>472</t>
  </si>
  <si>
    <t>473</t>
  </si>
  <si>
    <t>COORDENADORA DE QUALIDADE (0248)</t>
  </si>
  <si>
    <t>0092-2</t>
  </si>
  <si>
    <t>0092-3</t>
  </si>
  <si>
    <t>0092-4</t>
  </si>
  <si>
    <t>0092-5</t>
  </si>
  <si>
    <t>MENSAGEIRO (0249)</t>
  </si>
  <si>
    <t>480</t>
  </si>
  <si>
    <t>0093-6</t>
  </si>
  <si>
    <t>0094-1</t>
  </si>
  <si>
    <t>485</t>
  </si>
  <si>
    <t>ASSIST. ADMINISTRATIVO II (0250) - CONTAS MEDICAS</t>
  </si>
  <si>
    <t>0094-3</t>
  </si>
  <si>
    <t>0094-5</t>
  </si>
  <si>
    <t>0094-6</t>
  </si>
  <si>
    <t>0095-01</t>
  </si>
  <si>
    <t>ASSISTENTE DE CONTAS MEDICAS II (0251)</t>
  </si>
  <si>
    <t>0095-02</t>
  </si>
  <si>
    <t>0095-03</t>
  </si>
  <si>
    <t>0095-4</t>
  </si>
  <si>
    <t>496</t>
  </si>
  <si>
    <t>497</t>
  </si>
  <si>
    <t>0095-6</t>
  </si>
  <si>
    <t>0096-1</t>
  </si>
  <si>
    <t>499</t>
  </si>
  <si>
    <t>GERENTE DE T.I. (0252)</t>
  </si>
  <si>
    <t>0096-2</t>
  </si>
  <si>
    <t>0096-3</t>
  </si>
  <si>
    <t>0096-4</t>
  </si>
  <si>
    <t>502</t>
  </si>
  <si>
    <t>0096-5</t>
  </si>
  <si>
    <t>0097-1</t>
  </si>
  <si>
    <t>COORDENADOR DE UTI (0253)</t>
  </si>
  <si>
    <t>0098-1</t>
  </si>
  <si>
    <t>506</t>
  </si>
  <si>
    <t>TECNICA LACTARISTA (0254)</t>
  </si>
  <si>
    <t>0098-2</t>
  </si>
  <si>
    <t>507</t>
  </si>
  <si>
    <t>0098-4</t>
  </si>
  <si>
    <t>0098-5</t>
  </si>
  <si>
    <t>0098-6</t>
  </si>
  <si>
    <t>0099-1</t>
  </si>
  <si>
    <t>513</t>
  </si>
  <si>
    <t>AUXILIAR DE RH (0255)</t>
  </si>
  <si>
    <t>0099-2</t>
  </si>
  <si>
    <t>514</t>
  </si>
  <si>
    <t>0099-3</t>
  </si>
  <si>
    <t>0099-4</t>
  </si>
  <si>
    <t>516</t>
  </si>
  <si>
    <t>0099-6</t>
  </si>
  <si>
    <t>0099-7</t>
  </si>
  <si>
    <t>519</t>
  </si>
  <si>
    <t>0100-1</t>
  </si>
  <si>
    <t>AUX MANUTENÃ¿Ã¿O PREDIAL I (0256)</t>
  </si>
  <si>
    <t>0101-1</t>
  </si>
  <si>
    <t>AUX MANUTENÃ¿Ã¿O PREDIAS II (0257)</t>
  </si>
  <si>
    <t>0101-2</t>
  </si>
  <si>
    <t>523</t>
  </si>
  <si>
    <t>TEC. DE NUTRIÃ¿Ã¿O (0258)</t>
  </si>
  <si>
    <t>0102-2</t>
  </si>
  <si>
    <t>525</t>
  </si>
  <si>
    <t>0102-3</t>
  </si>
  <si>
    <t>526</t>
  </si>
  <si>
    <t>528</t>
  </si>
  <si>
    <t>0103-1</t>
  </si>
  <si>
    <t>529</t>
  </si>
  <si>
    <t>TEC.DE ENFERMAGEM AUDITORIA E TUTORIA (0259)</t>
  </si>
  <si>
    <t>0103-2</t>
  </si>
  <si>
    <t>530</t>
  </si>
  <si>
    <t>0103-3</t>
  </si>
  <si>
    <t>531</t>
  </si>
  <si>
    <t>0103-4</t>
  </si>
  <si>
    <t>0103-5</t>
  </si>
  <si>
    <t>0103-6</t>
  </si>
  <si>
    <t>534</t>
  </si>
  <si>
    <t>0104-1</t>
  </si>
  <si>
    <t>536</t>
  </si>
  <si>
    <t>ASSISTENTE DE CONTROLADORIA (0260)</t>
  </si>
  <si>
    <t>537</t>
  </si>
  <si>
    <t>0105-1</t>
  </si>
  <si>
    <t>ASSISTENTE ADMINISTRATIVO III - ADMINISTRAÃ¿Ã¿O (026</t>
  </si>
  <si>
    <t>0105-2</t>
  </si>
  <si>
    <t>0105-3</t>
  </si>
  <si>
    <t>0105-4</t>
  </si>
  <si>
    <t>0106-1</t>
  </si>
  <si>
    <t>542</t>
  </si>
  <si>
    <t>SECRETARIO - CONTAS MEDICAS (0262)</t>
  </si>
  <si>
    <t>543</t>
  </si>
  <si>
    <t>0106-3</t>
  </si>
  <si>
    <t>545</t>
  </si>
  <si>
    <t>ATENDENTE DE FARMACIA (0263)</t>
  </si>
  <si>
    <t>0107-3</t>
  </si>
  <si>
    <t>0107-4</t>
  </si>
  <si>
    <t>0107-5</t>
  </si>
  <si>
    <t>0107-6</t>
  </si>
  <si>
    <t>0108-1</t>
  </si>
  <si>
    <t>COORDENADORA DE FINANCEIRO (0264)</t>
  </si>
  <si>
    <t>0108-2</t>
  </si>
  <si>
    <t>552</t>
  </si>
  <si>
    <t>0108-3</t>
  </si>
  <si>
    <t>0108-4</t>
  </si>
  <si>
    <t>0108-5</t>
  </si>
  <si>
    <t>0108-6</t>
  </si>
  <si>
    <t>556</t>
  </si>
  <si>
    <t>0109-1</t>
  </si>
  <si>
    <t>COORDENADORA NUTRIÃ¿Ã¿O (0265)</t>
  </si>
  <si>
    <t>0109-2</t>
  </si>
  <si>
    <t>0110-01</t>
  </si>
  <si>
    <t>TECNICA DE ENFERMAGEM - VACINA (0266)</t>
  </si>
  <si>
    <t>0110-02</t>
  </si>
  <si>
    <t>0110-03</t>
  </si>
  <si>
    <t>564</t>
  </si>
  <si>
    <t>0110-4</t>
  </si>
  <si>
    <t>0110-5</t>
  </si>
  <si>
    <t>566</t>
  </si>
  <si>
    <t>0110-6</t>
  </si>
  <si>
    <t>0110-7</t>
  </si>
  <si>
    <t>0110-8</t>
  </si>
  <si>
    <t>570</t>
  </si>
  <si>
    <t>0111-1</t>
  </si>
  <si>
    <t>RECEPCIONISTA - CENTRO CIRURGICO (0267)</t>
  </si>
  <si>
    <t>572</t>
  </si>
  <si>
    <t>0111-3</t>
  </si>
  <si>
    <t>0111-4</t>
  </si>
  <si>
    <t>574</t>
  </si>
  <si>
    <t>575</t>
  </si>
  <si>
    <t>576</t>
  </si>
  <si>
    <t>COORD DE MANUTENÃ¿Ã¿O (0268)</t>
  </si>
  <si>
    <t>0112-2</t>
  </si>
  <si>
    <t>0113-1</t>
  </si>
  <si>
    <t>COORDENADORA DE RECEPÃ¿Ã¿O (0269)</t>
  </si>
  <si>
    <t>COORD. DE GOVERNANCA (0270)</t>
  </si>
  <si>
    <t>0115-1</t>
  </si>
  <si>
    <t>ASSIST. DE GOVERNANCA (0271)</t>
  </si>
  <si>
    <t>0115-4</t>
  </si>
  <si>
    <t>0116-1</t>
  </si>
  <si>
    <t>TECNICA DE ENFERMAGEM UCI FOTOTERAPIA (0272)</t>
  </si>
  <si>
    <t>0116-2</t>
  </si>
  <si>
    <t>0116-3</t>
  </si>
  <si>
    <t>0116-4</t>
  </si>
  <si>
    <t>591</t>
  </si>
  <si>
    <t>0117-1</t>
  </si>
  <si>
    <t>ENCARREGADO DE LAVANDERIA (0273)</t>
  </si>
  <si>
    <t>0117-2</t>
  </si>
  <si>
    <t>593</t>
  </si>
  <si>
    <t>0117-3</t>
  </si>
  <si>
    <t>0117-4</t>
  </si>
  <si>
    <t>0117-5</t>
  </si>
  <si>
    <t>0118-1</t>
  </si>
  <si>
    <t>597</t>
  </si>
  <si>
    <t>ASSISTENTE ADMINISTRATIVO III - MANUTENÃ¿Ã¿O (0274)</t>
  </si>
  <si>
    <t>0119-1</t>
  </si>
  <si>
    <t>ENCARREGADO DE COMPRAS (0275)</t>
  </si>
  <si>
    <t>0119-2</t>
  </si>
  <si>
    <t>601</t>
  </si>
  <si>
    <t>AUXILIAR ADMINISTRATIVO (0276)</t>
  </si>
  <si>
    <t>0120-2</t>
  </si>
  <si>
    <t>0121-1</t>
  </si>
  <si>
    <t>NUTRICIONISTA- LACTARIO (0277)</t>
  </si>
  <si>
    <t>0121-2</t>
  </si>
  <si>
    <t>0121-3</t>
  </si>
  <si>
    <t>0121-4</t>
  </si>
  <si>
    <t>0121-5</t>
  </si>
  <si>
    <t>608</t>
  </si>
  <si>
    <t>0122-1</t>
  </si>
  <si>
    <t>AUXILIAR DE COMPRAS (0278)</t>
  </si>
  <si>
    <t>0123-1</t>
  </si>
  <si>
    <t>TECNICA DE ENFERMAGEM - ENG.CLINICA (0279)</t>
  </si>
  <si>
    <t>0123-2</t>
  </si>
  <si>
    <t>611</t>
  </si>
  <si>
    <t>612</t>
  </si>
  <si>
    <t>0124-1</t>
  </si>
  <si>
    <t>ASSESSORIA NASCER (0280)</t>
  </si>
  <si>
    <t>614</t>
  </si>
  <si>
    <t>0125-1</t>
  </si>
  <si>
    <t>ASSESSORIA RH (0281)</t>
  </si>
  <si>
    <t>0125-2</t>
  </si>
  <si>
    <t>616</t>
  </si>
  <si>
    <t>0126-1</t>
  </si>
  <si>
    <t>ASSESSORIA FINANCEIRO (0282)</t>
  </si>
  <si>
    <t>0126-2</t>
  </si>
  <si>
    <t>0126-3</t>
  </si>
  <si>
    <t>0127-1</t>
  </si>
  <si>
    <t>ASSESSORIA QUALIDADE (0283)</t>
  </si>
  <si>
    <t>0127-2</t>
  </si>
  <si>
    <t>0127-3</t>
  </si>
  <si>
    <t>623</t>
  </si>
  <si>
    <t>0127-4</t>
  </si>
  <si>
    <t>0128-01</t>
  </si>
  <si>
    <t>625</t>
  </si>
  <si>
    <t>TECNICA DE ENFERMAGEM (0284)</t>
  </si>
  <si>
    <t>AUXILIAR DE FARMACIA III (0285)</t>
  </si>
  <si>
    <t>627</t>
  </si>
  <si>
    <t>0130-1</t>
  </si>
  <si>
    <t>COORDENADOR DE LOGISTICA (0286)</t>
  </si>
  <si>
    <t>0131-1</t>
  </si>
  <si>
    <t>ENFERMEIRO-SCIH (0287)</t>
  </si>
  <si>
    <t>0131-2</t>
  </si>
  <si>
    <t>632</t>
  </si>
  <si>
    <t>633</t>
  </si>
  <si>
    <t>TEC. ENFERMAGEM UTI ADULTO(0288)</t>
  </si>
  <si>
    <t>634</t>
  </si>
  <si>
    <t>FISIOTERAPEUTA - UTI (0289)</t>
  </si>
  <si>
    <t>FARMACEUTICO ( A) 2 (0290)</t>
  </si>
  <si>
    <t>ENFERMEIRA UTI ADULTO (0291)</t>
  </si>
  <si>
    <t>637</t>
  </si>
  <si>
    <t>TERAPEUTA OCUPACIONAL</t>
  </si>
  <si>
    <t>0137-01</t>
  </si>
  <si>
    <t>ENFERMEIRA NASCER(0293)</t>
  </si>
  <si>
    <t>0138-01</t>
  </si>
  <si>
    <t>TECNICA DE ENFERMAGEM UCI NEO PEDIATRIA</t>
  </si>
  <si>
    <t>0139-01</t>
  </si>
  <si>
    <t>640</t>
  </si>
  <si>
    <t>AUXILIAR DE ALMOXARIFADO I</t>
  </si>
  <si>
    <t>641</t>
  </si>
  <si>
    <t>AUXILIAR DE ALMOXARIFADO II</t>
  </si>
  <si>
    <t>642</t>
  </si>
  <si>
    <t>ENFERMEIRA - CME</t>
  </si>
  <si>
    <t>0142-1</t>
  </si>
  <si>
    <t>TECNICA DE ENFERMAGEM - CONTAS MEDICAS</t>
  </si>
  <si>
    <t>644</t>
  </si>
  <si>
    <t>ELETROTECNICO</t>
  </si>
  <si>
    <t>ASSISTENTE SOCIAL</t>
  </si>
  <si>
    <t>COORDENADORA DA HOSPITALIDADE</t>
  </si>
  <si>
    <t>PSICOLOGA ORGANIZACIONAL</t>
  </si>
  <si>
    <t>0147-00000001</t>
  </si>
  <si>
    <t>648</t>
  </si>
  <si>
    <t>GESTOR DE ALAS</t>
  </si>
  <si>
    <t>0148-00000001</t>
  </si>
  <si>
    <t>649</t>
  </si>
  <si>
    <t>GESTOR DE UTIÂ´S</t>
  </si>
  <si>
    <t>GESTOR DE BLOCO /CME</t>
  </si>
  <si>
    <t>ENCARREGADA (O) DE RECEPÃ¿Ã¿O</t>
  </si>
  <si>
    <t>652</t>
  </si>
  <si>
    <t>ANALISTA DE INFORMATICA</t>
  </si>
  <si>
    <t>0152-1</t>
  </si>
  <si>
    <t>653</t>
  </si>
  <si>
    <t>LACTARISTA</t>
  </si>
  <si>
    <t>ASSISTENTE ADMINISTRATIVO II - FINANCEIRO</t>
  </si>
  <si>
    <t>ASSISTENTE ADMINISTRATIVO II - FARMACIA</t>
  </si>
  <si>
    <t>ASSISTENTE DE COMPRAS</t>
  </si>
  <si>
    <t>0157-1</t>
  </si>
  <si>
    <t>658</t>
  </si>
  <si>
    <t>COORDENADOR DE ATENDIMENTO AO CLIENTE</t>
  </si>
  <si>
    <t>659</t>
  </si>
  <si>
    <t>GERENTE DE RH</t>
  </si>
  <si>
    <t>GERENTE ASSISTENCIAL</t>
  </si>
  <si>
    <t>0160-1</t>
  </si>
  <si>
    <t>ENCARREGADA DE GESTÃ¿O DE LEITOS</t>
  </si>
  <si>
    <t>662</t>
  </si>
  <si>
    <t>ASSISTENTE ADMINISTRATIVO II - LOGISTICA</t>
  </si>
  <si>
    <t>0162-01</t>
  </si>
  <si>
    <t>ANALISTA CONTABIL E FISCAL</t>
  </si>
  <si>
    <t>0164-01</t>
  </si>
  <si>
    <t>664</t>
  </si>
  <si>
    <t>CONTADOR</t>
  </si>
  <si>
    <t>665</t>
  </si>
  <si>
    <t>GERENTE OPERACIONAL</t>
  </si>
  <si>
    <t>0166-1</t>
  </si>
  <si>
    <t>ENFERMEIRA - GOVERNANÃ¿A</t>
  </si>
  <si>
    <t>ASSISTENTE DE DEPARTAMENTO PESSOAL</t>
  </si>
  <si>
    <t>ASSISTENTE ADMINISTRATIVO - REPASSE MÃ¿DICO</t>
  </si>
  <si>
    <t>GERENTE DE GESTÃ¿O DE PESSOAS</t>
  </si>
  <si>
    <t>COORDENADOR CONTÃBIL</t>
  </si>
  <si>
    <t>ENCARREGADA DE COBRANÃ¿A</t>
  </si>
  <si>
    <t>672</t>
  </si>
  <si>
    <t>COORDENADORA DE PRODUÃ¿Ã¿O</t>
  </si>
  <si>
    <t>673</t>
  </si>
  <si>
    <t>GERENTE DE RELACIONAMENTO COM O CLIENTE</t>
  </si>
  <si>
    <t>674</t>
  </si>
  <si>
    <t>COORDENADORA DE UTIÂ´S</t>
  </si>
  <si>
    <t>675</t>
  </si>
  <si>
    <t>COORDENADORA DE ALAS</t>
  </si>
  <si>
    <t>676</t>
  </si>
  <si>
    <t>COORDENADORA CONTRATO ASSISTENCIAL</t>
  </si>
  <si>
    <t>677</t>
  </si>
  <si>
    <t>ENCARREGADA DE PRODUÃ¿Ã¿O</t>
  </si>
  <si>
    <t>678</t>
  </si>
  <si>
    <t>AUXILIAR CONTABIL</t>
  </si>
  <si>
    <t>dep_001</t>
  </si>
  <si>
    <t>IMPORTACAO RAIS</t>
  </si>
  <si>
    <t>ADMINISTRACAO</t>
  </si>
  <si>
    <t>SESMT</t>
  </si>
  <si>
    <t>CONTAS MEDICAS</t>
  </si>
  <si>
    <t>SERVICOS GERAIS</t>
  </si>
  <si>
    <t>dep_050000</t>
  </si>
  <si>
    <t>ENFERMAGEM</t>
  </si>
  <si>
    <t>SALA DE VACINA</t>
  </si>
  <si>
    <t>dep_050020</t>
  </si>
  <si>
    <t>POSTO DE ENF.URGENCIA</t>
  </si>
  <si>
    <t>dep_050030</t>
  </si>
  <si>
    <t>POSTO DE ENF. INTERNACAO</t>
  </si>
  <si>
    <t>dep_060000</t>
  </si>
  <si>
    <t>PORTARIA</t>
  </si>
  <si>
    <t>RECEPCAO</t>
  </si>
  <si>
    <t>NUTRICAO</t>
  </si>
  <si>
    <t>FARMACIA</t>
  </si>
  <si>
    <t>dep_110000</t>
  </si>
  <si>
    <t>MEDICOS</t>
  </si>
  <si>
    <t>dep_120000</t>
  </si>
  <si>
    <t>AUX DE FATURISTA</t>
  </si>
  <si>
    <t>dep_130000</t>
  </si>
  <si>
    <t>PREST DE SERVICOS</t>
  </si>
  <si>
    <t>MANUTENCAO</t>
  </si>
  <si>
    <t>LAVANDERIA</t>
  </si>
  <si>
    <t>dep_160000</t>
  </si>
  <si>
    <t>RECREACAO</t>
  </si>
  <si>
    <t>dep_170000</t>
  </si>
  <si>
    <t>ROUPARIA</t>
  </si>
  <si>
    <t>dep_180000</t>
  </si>
  <si>
    <t>SAME</t>
  </si>
  <si>
    <t>dep_190000</t>
  </si>
  <si>
    <t>MENOR APRENDIZ</t>
  </si>
  <si>
    <t>dep_200000</t>
  </si>
  <si>
    <t>AUX ADMINISTRATIVO</t>
  </si>
  <si>
    <t>dep_210000</t>
  </si>
  <si>
    <t>COORD ENFERM</t>
  </si>
  <si>
    <t>dep_220000</t>
  </si>
  <si>
    <t>RECEPCIONISTA URGENCIA</t>
  </si>
  <si>
    <t>dep_230000</t>
  </si>
  <si>
    <t>RECEPCAO UTI</t>
  </si>
  <si>
    <t>dep_240000</t>
  </si>
  <si>
    <t>DIRETORIA</t>
  </si>
  <si>
    <t>UTI NEO</t>
  </si>
  <si>
    <t>UTI PED</t>
  </si>
  <si>
    <t>1Âº ANDAR</t>
  </si>
  <si>
    <t>2Âº ANDAR</t>
  </si>
  <si>
    <t>CENTRO CIRURGICO</t>
  </si>
  <si>
    <t>RECURSOS HUMANOS</t>
  </si>
  <si>
    <t>RECEPCAO DO CENTRO CIRURGICO</t>
  </si>
  <si>
    <t>CONTABILIDADE</t>
  </si>
  <si>
    <t>dep_330000</t>
  </si>
  <si>
    <t>RECEPCAO DA PEDIATRIA</t>
  </si>
  <si>
    <t>dep_340000</t>
  </si>
  <si>
    <t>TESOURARIA</t>
  </si>
  <si>
    <t>FINANCEIRO</t>
  </si>
  <si>
    <t>dep_360000</t>
  </si>
  <si>
    <t>GERENCIA FINANCEIRA</t>
  </si>
  <si>
    <t>SCIH</t>
  </si>
  <si>
    <t>LOGISTICA</t>
  </si>
  <si>
    <t>UTI ADULTO</t>
  </si>
  <si>
    <t>CEN DE M/ESTERELIZADO</t>
  </si>
  <si>
    <t>RECEPCAO INTERNACAO</t>
  </si>
  <si>
    <t>dep_420000</t>
  </si>
  <si>
    <t>INFORMATICA</t>
  </si>
  <si>
    <t>ALMOXARIFADO</t>
  </si>
  <si>
    <t>dep_450000</t>
  </si>
  <si>
    <t>RPA</t>
  </si>
  <si>
    <t>dep_460000</t>
  </si>
  <si>
    <t>DAY CLINIC</t>
  </si>
  <si>
    <t>LACTARIO</t>
  </si>
  <si>
    <t>dep_480000</t>
  </si>
  <si>
    <t>PAIOL</t>
  </si>
  <si>
    <t>dep_490000</t>
  </si>
  <si>
    <t>CONTAS MEDICAS - UTI</t>
  </si>
  <si>
    <t>ALA TOP</t>
  </si>
  <si>
    <t>CONSULTORIOS</t>
  </si>
  <si>
    <t>COMERCIAL</t>
  </si>
  <si>
    <t>FARMACIA BLOCO</t>
  </si>
  <si>
    <t>dep_540000</t>
  </si>
  <si>
    <t>ESTACIONAMENTO</t>
  </si>
  <si>
    <t>dep_550000</t>
  </si>
  <si>
    <t>FARMACIA UTI</t>
  </si>
  <si>
    <t>GESTAO</t>
  </si>
  <si>
    <t>dep_570000</t>
  </si>
  <si>
    <t>LABORATORIO</t>
  </si>
  <si>
    <t>MARKETING</t>
  </si>
  <si>
    <t>NUTRICAO CLINICA</t>
  </si>
  <si>
    <t>SAC</t>
  </si>
  <si>
    <t>UCI FOTOTERAPIA</t>
  </si>
  <si>
    <t>UTI ISOLAMENTO</t>
  </si>
  <si>
    <t>UTI NEO 1</t>
  </si>
  <si>
    <t>UTI NEO 2</t>
  </si>
  <si>
    <t>UTI NEO 3</t>
  </si>
  <si>
    <t>RECEPCAO PRE-INTERNACAO</t>
  </si>
  <si>
    <t>UCI NEO PED</t>
  </si>
  <si>
    <t>NUCLEO DE SEGURANCA DO PACIENTE - BLOCO</t>
  </si>
  <si>
    <t>NUCLEO DE SEGURANCA DO PACIENTE - UTI</t>
  </si>
  <si>
    <t>NUCLEO DE SEGURANCA DO PACIENTE - ANDAR</t>
  </si>
  <si>
    <t>SALA RN - BLOCO</t>
  </si>
  <si>
    <t>ACOLHIMENTO</t>
  </si>
  <si>
    <t>QUALIDADE</t>
  </si>
  <si>
    <t>NASCER</t>
  </si>
  <si>
    <t>UTI NEO 4</t>
  </si>
  <si>
    <t>ATENDIMENTO AO CLIENTE</t>
  </si>
  <si>
    <t>GESTAO DE PESSOAS</t>
  </si>
  <si>
    <t>PRODUCAO</t>
  </si>
  <si>
    <t>RELACIONAMENTO COM CLIENTE</t>
  </si>
  <si>
    <t>HIGIENIZACAO</t>
  </si>
  <si>
    <t>ENGENHARIA CLINICA</t>
  </si>
  <si>
    <t>SUPRIMENTOS</t>
  </si>
  <si>
    <t>emp_MATSAUDE</t>
  </si>
  <si>
    <t>HOSPITAL E MATERNIDADE SAUDE DA CRIANCA</t>
  </si>
  <si>
    <t>est_MATFILIAL</t>
  </si>
  <si>
    <t>INSTITUTO SAUDA DA CRIANCA</t>
  </si>
  <si>
    <t>est_MATSAUDE</t>
  </si>
  <si>
    <t>HOSPITAL E MATERNIDADE SAUDE DA CRIANCA- sem agentes nocivos</t>
  </si>
  <si>
    <t>HOSPITAL E MATERNIDADE SAUDE DA CRIANCA - agentes nocivos</t>
  </si>
  <si>
    <t>lot_0000023</t>
  </si>
  <si>
    <t>RECEPCAO DO BLOCO</t>
  </si>
  <si>
    <t>sin_001</t>
  </si>
  <si>
    <t>Sind dos Trab nas Ind Metal Mec e de Mat El Est Pa SIMETAL</t>
  </si>
  <si>
    <t>SIND DOS PROF DE ENF TEC DUC MASS E EMP EM HOSP E SAUDE - 1</t>
  </si>
  <si>
    <t>SIND DOS ENFERMEIROS DO ESTADO DO PARA</t>
  </si>
  <si>
    <t>SIND DOS MEDICOS DO ESTADO DO PARA</t>
  </si>
  <si>
    <t>sin_04</t>
  </si>
  <si>
    <t>SINDICATO DOS FARMACEUTICOS</t>
  </si>
  <si>
    <t>sin_05</t>
  </si>
  <si>
    <t>CIEE</t>
  </si>
  <si>
    <t>SIND. TECNICOS DE SEGURANCA DO TRABALHO - SINTESPA</t>
  </si>
  <si>
    <t>SIND DOS PROF DE ENF TEC DUC MASS E EMP EM HOSP E SAUDE - 2</t>
  </si>
  <si>
    <t>SIND DOS PROF DE ENF TEC DUC MASS E EMP EM HOSP E SAUDE - 3</t>
  </si>
  <si>
    <t>INSERT INTO GPE_ALTESITUFUNC ( NRALTESITUFUNC, NRORG, NRSITUFUNCM, NRVINCULOM, DTINISITUFUNC, DTINCLUSAO, NRORGINCLUSAO, CDOPERINCLUSAO ) VALUES ( @NRALTESITUFUNC@, @NRORG@, (CASE WHEN '@NRSITUFUNCM@' IS NOT NULL THEN '@NRSITUFUNCM@' WHEN '@DTRESCISAO@' IS NULL THEN '1' ELSE '13' END), @NRVINCULOM@, '@DTINISITUFUNC@', SYSDATE, @NRORG@, '000000099991' );</t>
  </si>
  <si>
    <t>Precisa criar parceiro de negócio!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</si>
</sst>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000000000"/>
    <numFmt numFmtId="166" formatCode="mmmm&quot;, &quot;yyyy;@"/>
    <numFmt numFmtId="167" formatCode="d/m/yyyy"/>
    <numFmt numFmtId="168" formatCode="00000"/>
  </numFmts>
  <fonts count="37"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indexed="8"/>
      <name val="Calibri"/>
      <family val="2"/>
      <scheme val="minor"/>
    </font>
    <font>
      <sz val="10"/>
      <name val="Arial"/>
      <family val="2"/>
    </font>
    <font>
      <b/>
      <sz val="9"/>
      <color indexed="81"/>
      <name val="Segoe UI"/>
      <family val="2"/>
    </font>
    <font>
      <sz val="9"/>
      <color indexed="81"/>
      <name val="Segoe UI"/>
      <family val="2"/>
    </font>
    <font>
      <sz val="10"/>
      <color indexed="8"/>
      <name val="Arial"/>
      <family val="2"/>
    </font>
    <font>
      <sz val="11"/>
      <name val="Calibri"/>
      <family val="2"/>
      <scheme val="minor"/>
    </font>
    <font>
      <b/>
      <sz val="8"/>
      <name val="Calibri"/>
      <family val="2"/>
      <scheme val="minor"/>
    </font>
    <font>
      <sz val="8"/>
      <name val="Calibri"/>
      <family val="2"/>
      <scheme val="minor"/>
    </font>
    <font>
      <b/>
      <sz val="8"/>
      <color rgb="FF000000"/>
      <name val="Calibri"/>
      <family val="2"/>
      <scheme val="minor"/>
    </font>
    <font>
      <b/>
      <sz val="8"/>
      <color rgb="FFFF0000"/>
      <name val="Calibri"/>
      <family val="2"/>
      <scheme val="minor"/>
    </font>
    <font>
      <b/>
      <sz val="8"/>
      <color rgb="FF158466"/>
      <name val="Calibri"/>
      <family val="2"/>
      <scheme val="minor"/>
    </font>
    <font>
      <b/>
      <i/>
      <sz val="8"/>
      <name val="Calibri"/>
      <family val="2"/>
      <scheme val="minor"/>
    </font>
    <font>
      <b/>
      <i/>
      <sz val="8"/>
      <color rgb="FFFF0000"/>
      <name val="Calibri"/>
      <family val="2"/>
      <scheme val="minor"/>
    </font>
    <font>
      <b/>
      <sz val="8"/>
      <color rgb="FF2A6099"/>
      <name val="Calibri"/>
      <family val="2"/>
      <scheme val="minor"/>
    </font>
    <font>
      <sz val="8"/>
      <color rgb="FFFF0000"/>
      <name val="Calibri"/>
      <family val="2"/>
      <scheme val="minor"/>
    </font>
    <font>
      <sz val="8"/>
      <color rgb="FF158466"/>
      <name val="Calibri"/>
      <family val="2"/>
      <scheme val="minor"/>
    </font>
    <font>
      <sz val="11"/>
      <color rgb="FF000000"/>
      <name val="Calibri"/>
      <family val="2"/>
      <charset val="1"/>
    </font>
    <font>
      <sz val="8"/>
      <color theme="1"/>
      <name val="Calibri"/>
      <family val="2"/>
      <scheme val="minor"/>
    </font>
    <font>
      <b/>
      <i/>
      <sz val="8"/>
      <color rgb="FF7030A0"/>
      <name val="Calibri"/>
      <family val="2"/>
      <scheme val="minor"/>
    </font>
    <font>
      <i/>
      <sz val="8"/>
      <color rgb="FF7030A0"/>
      <name val="Calibri"/>
      <family val="2"/>
      <scheme val="minor"/>
    </font>
    <font>
      <b/>
      <sz val="8"/>
      <color rgb="FF7030A0"/>
      <name val="Calibri"/>
      <family val="2"/>
      <scheme val="minor"/>
    </font>
    <font>
      <sz val="8"/>
      <color rgb="FF7030A0"/>
      <name val="Calibri"/>
      <family val="2"/>
      <scheme val="minor"/>
    </font>
    <font>
      <i/>
      <sz val="8"/>
      <name val="Calibri"/>
      <family val="2"/>
      <scheme val="minor"/>
    </font>
    <font>
      <sz val="8"/>
      <color rgb="FF0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sz val="11"/>
      <color rgb="FF9C5700"/>
      <name val="Calibri"/>
      <family val="2"/>
      <scheme val="minor"/>
    </font>
    <font>
      <sz val="11"/>
      <color indexed="8"/>
      <name val="Calibri"/>
      <family val="2"/>
      <scheme val="minor"/>
    </font>
    <font>
      <i/>
      <sz val="8"/>
      <color rgb="FFFF0000"/>
      <name val="Calibri"/>
      <family val="2"/>
      <scheme val="minor"/>
    </font>
    <font>
      <b/>
      <sz val="11"/>
      <color rgb="FFFF0000"/>
      <name val="Calibri"/>
      <family val="2"/>
      <scheme val="minor"/>
    </font>
    <font>
      <sz val="10"/>
      <name val="Arial"/>
      <family val="2"/>
      <charset val="1"/>
    </font>
    <font>
      <b/>
      <sz val="16"/>
      <name val="Calibri"/>
      <family val="2"/>
      <scheme val="minor"/>
    </font>
  </fonts>
  <fills count="16">
    <fill>
      <patternFill patternType="none"/>
    </fill>
    <fill>
      <patternFill patternType="gray125"/>
    </fill>
    <fill>
      <patternFill patternType="solid">
        <fgColor rgb="FFFFEB9C"/>
      </patternFill>
    </fill>
    <fill>
      <patternFill patternType="solid">
        <fgColor theme="0" tint="-4.9989318521683403E-2"/>
        <bgColor rgb="FFFFFFCC"/>
      </patternFill>
    </fill>
    <fill>
      <patternFill patternType="solid">
        <fgColor theme="0" tint="-4.9989318521683403E-2"/>
        <bgColor indexed="64"/>
      </patternFill>
    </fill>
    <fill>
      <patternFill patternType="solid">
        <fgColor theme="0" tint="-4.9989318521683403E-2"/>
        <bgColor rgb="FFFFFFD7"/>
      </patternFill>
    </fill>
    <fill>
      <patternFill patternType="solid">
        <fgColor theme="0" tint="-4.9989318521683403E-2"/>
        <bgColor rgb="FFFFFFFF"/>
      </patternFill>
    </fill>
    <fill>
      <patternFill patternType="solid">
        <fgColor theme="0" tint="-4.9989318521683403E-2"/>
        <bgColor rgb="FFEEEEEE"/>
      </patternFill>
    </fill>
    <fill>
      <patternFill patternType="solid">
        <fgColor theme="9" tint="0.59999389629810485"/>
        <bgColor indexed="64"/>
      </patternFill>
    </fill>
    <fill>
      <patternFill patternType="solid">
        <fgColor rgb="FFFFC8C8"/>
        <bgColor indexed="64"/>
      </patternFill>
    </fill>
    <fill>
      <patternFill patternType="solid">
        <fgColor theme="9" tint="0.59999389629810485"/>
        <bgColor rgb="FFFFFFCC"/>
      </patternFill>
    </fill>
    <fill>
      <patternFill patternType="solid">
        <fgColor rgb="FFFFC8C8"/>
        <bgColor rgb="FFFFFFFF"/>
      </patternFill>
    </fill>
    <fill>
      <patternFill patternType="solid">
        <fgColor theme="0" tint="-0.14999847407452621"/>
        <bgColor indexed="64"/>
      </patternFill>
    </fill>
    <fill>
      <patternFill patternType="solid">
        <fgColor rgb="FFF2F2F2"/>
        <bgColor rgb="FF000000"/>
      </patternFill>
    </fill>
    <fill>
      <patternFill patternType="solid">
        <fgColor theme="0" tint="-0.34998626667073579"/>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s>
  <cellStyleXfs count="9">
    <xf numFmtId="0" fontId="0" fillId="0" borderId="0"/>
    <xf numFmtId="43" fontId="1" fillId="0" borderId="0" applyFont="0" applyFill="0" applyBorder="0" applyAlignment="0" applyProtection="0"/>
    <xf numFmtId="43" fontId="1" fillId="0" borderId="0" applyFont="0" applyFill="0" applyBorder="0" applyAlignment="0" applyProtection="0"/>
    <xf numFmtId="0" fontId="28" fillId="0" borderId="0" applyNumberFormat="0" applyFill="0" applyBorder="0" applyAlignment="0" applyProtection="0"/>
    <xf numFmtId="0" fontId="29" fillId="0" borderId="2" applyNumberFormat="0" applyFill="0" applyAlignment="0" applyProtection="0"/>
    <xf numFmtId="0" fontId="30" fillId="0" borderId="3" applyNumberFormat="0" applyFill="0" applyAlignment="0" applyProtection="0"/>
    <xf numFmtId="0" fontId="31" fillId="2" borderId="0" applyNumberFormat="0" applyBorder="0" applyAlignment="0" applyProtection="0"/>
    <xf numFmtId="0" fontId="32" fillId="0" borderId="0"/>
    <xf numFmtId="0" fontId="35" fillId="0" borderId="0"/>
  </cellStyleXfs>
  <cellXfs count="101">
    <xf numFmtId="0" fontId="0" fillId="0" borderId="0" xfId="0"/>
    <xf numFmtId="164" fontId="3" fillId="0" borderId="1" xfId="1" applyNumberFormat="1" applyFont="1" applyFill="1" applyBorder="1" applyAlignment="1">
      <alignment horizontal="center" vertical="center"/>
    </xf>
    <xf numFmtId="0" fontId="0" fillId="0" borderId="0" xfId="0" applyAlignment="1">
      <alignment horizontal="center" vertical="center"/>
    </xf>
    <xf numFmtId="0" fontId="21" fillId="0" borderId="0" xfId="0" applyFont="1" applyAlignment="1">
      <alignment wrapText="1"/>
    </xf>
    <xf numFmtId="14"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2"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49" fontId="4" fillId="0" borderId="1" xfId="0" quotePrefix="1" applyNumberFormat="1" applyFont="1" applyBorder="1" applyAlignment="1">
      <alignment horizontal="center" vertical="center"/>
    </xf>
    <xf numFmtId="1" fontId="3" fillId="0" borderId="1" xfId="0" applyNumberFormat="1" applyFont="1" applyBorder="1" applyAlignment="1">
      <alignment horizontal="center" vertical="center"/>
    </xf>
    <xf numFmtId="0" fontId="4" fillId="0" borderId="1" xfId="0" applyFont="1" applyBorder="1" applyAlignment="1">
      <alignment horizontal="center" vertical="center"/>
    </xf>
    <xf numFmtId="49" fontId="3" fillId="0" borderId="1" xfId="0" quotePrefix="1" applyNumberFormat="1" applyFont="1" applyBorder="1" applyAlignment="1">
      <alignment horizontal="center" vertical="center"/>
    </xf>
    <xf numFmtId="49" fontId="0" fillId="0" borderId="0" xfId="0" applyNumberFormat="1"/>
    <xf numFmtId="0" fontId="27" fillId="0" borderId="0" xfId="0" applyFont="1" applyAlignment="1">
      <alignment horizontal="center" vertical="center" wrapText="1"/>
    </xf>
    <xf numFmtId="0" fontId="21" fillId="0" borderId="0" xfId="0" applyFont="1"/>
    <xf numFmtId="0" fontId="11" fillId="3" borderId="0" xfId="0" applyFont="1" applyFill="1" applyAlignment="1">
      <alignment vertical="top" wrapText="1"/>
    </xf>
    <xf numFmtId="0" fontId="21" fillId="4" borderId="0" xfId="0" applyFont="1" applyFill="1" applyAlignment="1">
      <alignment horizontal="left"/>
    </xf>
    <xf numFmtId="0" fontId="21" fillId="4" borderId="0" xfId="0" applyFont="1" applyFill="1"/>
    <xf numFmtId="0" fontId="12" fillId="3" borderId="0" xfId="0" applyFont="1" applyFill="1" applyAlignment="1">
      <alignment horizontal="center" vertical="center" wrapText="1"/>
    </xf>
    <xf numFmtId="0" fontId="11" fillId="5" borderId="0" xfId="0" quotePrefix="1" applyFont="1" applyFill="1" applyAlignment="1">
      <alignment horizontal="left" vertical="center"/>
    </xf>
    <xf numFmtId="0" fontId="18" fillId="5" borderId="0" xfId="0" quotePrefix="1" applyFont="1" applyFill="1" applyAlignment="1">
      <alignment horizontal="left" vertical="center"/>
    </xf>
    <xf numFmtId="0" fontId="26" fillId="6" borderId="0" xfId="0" applyFont="1" applyFill="1" applyAlignment="1">
      <alignment horizontal="center" vertical="center"/>
    </xf>
    <xf numFmtId="0" fontId="11" fillId="5" borderId="0" xfId="0" applyFont="1" applyFill="1" applyAlignment="1">
      <alignment horizontal="left" vertical="center"/>
    </xf>
    <xf numFmtId="0" fontId="11" fillId="3" borderId="0" xfId="0" applyFont="1" applyFill="1" applyAlignment="1">
      <alignment horizontal="center" vertical="center"/>
    </xf>
    <xf numFmtId="0" fontId="18" fillId="3" borderId="0" xfId="0" applyFont="1" applyFill="1" applyAlignment="1">
      <alignment horizontal="center" vertical="center"/>
    </xf>
    <xf numFmtId="0" fontId="29" fillId="0" borderId="2" xfId="4"/>
    <xf numFmtId="0" fontId="30" fillId="0" borderId="3" xfId="5" applyFill="1"/>
    <xf numFmtId="14" fontId="0" fillId="0" borderId="0" xfId="0" applyNumberFormat="1"/>
    <xf numFmtId="0" fontId="31" fillId="2" borderId="0" xfId="6"/>
    <xf numFmtId="16" fontId="0" fillId="0" borderId="0" xfId="0" applyNumberFormat="1"/>
    <xf numFmtId="4" fontId="0" fillId="0" borderId="0" xfId="0" quotePrefix="1" applyNumberFormat="1"/>
    <xf numFmtId="0" fontId="33" fillId="4" borderId="0" xfId="0" applyFont="1" applyFill="1" applyAlignment="1">
      <alignment horizontal="center" vertical="center"/>
    </xf>
    <xf numFmtId="0" fontId="9" fillId="0" borderId="0" xfId="0" applyFont="1" applyAlignment="1">
      <alignment vertical="top" wrapText="1"/>
    </xf>
    <xf numFmtId="0" fontId="11" fillId="0" borderId="0" xfId="0" applyFont="1" applyAlignment="1">
      <alignment vertical="top" wrapText="1"/>
    </xf>
    <xf numFmtId="0" fontId="10" fillId="3" borderId="0" xfId="0" applyFont="1" applyFill="1" applyAlignment="1">
      <alignment horizontal="center" vertical="top" wrapText="1"/>
    </xf>
    <xf numFmtId="0" fontId="18" fillId="3" borderId="0" xfId="0" applyFont="1" applyFill="1" applyAlignment="1">
      <alignment vertical="top" wrapText="1"/>
    </xf>
    <xf numFmtId="166" fontId="10" fillId="4" borderId="0" xfId="0" applyNumberFormat="1" applyFont="1" applyFill="1" applyAlignment="1">
      <alignment horizontal="center" vertical="center"/>
    </xf>
    <xf numFmtId="0" fontId="10" fillId="6" borderId="0" xfId="0" applyFont="1" applyFill="1" applyAlignment="1">
      <alignment horizontal="center" vertical="center"/>
    </xf>
    <xf numFmtId="49" fontId="10" fillId="4" borderId="0" xfId="0" applyNumberFormat="1" applyFont="1" applyFill="1" applyAlignment="1">
      <alignment horizontal="center" vertical="center"/>
    </xf>
    <xf numFmtId="0" fontId="10" fillId="4" borderId="0" xfId="0" applyFont="1" applyFill="1" applyAlignment="1">
      <alignment horizontal="center" vertical="center"/>
    </xf>
    <xf numFmtId="0" fontId="12" fillId="4" borderId="0" xfId="0" applyFont="1" applyFill="1"/>
    <xf numFmtId="49" fontId="10" fillId="7" borderId="0" xfId="0" applyNumberFormat="1" applyFont="1" applyFill="1" applyAlignment="1">
      <alignment horizontal="center" vertical="center"/>
    </xf>
    <xf numFmtId="167" fontId="10" fillId="4" borderId="0" xfId="0" applyNumberFormat="1" applyFont="1" applyFill="1" applyAlignment="1">
      <alignment horizontal="center" vertical="center"/>
    </xf>
    <xf numFmtId="1" fontId="10" fillId="4" borderId="0" xfId="0" applyNumberFormat="1" applyFont="1" applyFill="1" applyAlignment="1">
      <alignment horizontal="center" vertical="center"/>
    </xf>
    <xf numFmtId="0" fontId="1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xf>
    <xf numFmtId="0" fontId="10" fillId="6" borderId="0" xfId="0" quotePrefix="1" applyFont="1" applyFill="1" applyAlignment="1">
      <alignment horizontal="center" vertical="center"/>
    </xf>
    <xf numFmtId="0" fontId="17" fillId="6" borderId="0" xfId="0" applyFont="1" applyFill="1" applyAlignment="1">
      <alignment horizontal="center" vertical="center"/>
    </xf>
    <xf numFmtId="0" fontId="17" fillId="6" borderId="0" xfId="0" quotePrefix="1" applyFont="1" applyFill="1" applyAlignment="1">
      <alignment horizontal="center" vertical="center"/>
    </xf>
    <xf numFmtId="49" fontId="14" fillId="6" borderId="0" xfId="0" applyNumberFormat="1" applyFont="1" applyFill="1" applyAlignment="1">
      <alignment horizontal="center" vertical="center"/>
    </xf>
    <xf numFmtId="167" fontId="14" fillId="6" borderId="0" xfId="0" applyNumberFormat="1" applyFont="1" applyFill="1" applyAlignment="1">
      <alignment horizontal="center" vertical="center"/>
    </xf>
    <xf numFmtId="0" fontId="10" fillId="6" borderId="0" xfId="0" applyFont="1" applyFill="1" applyAlignment="1">
      <alignment horizontal="center" vertical="center" wrapText="1"/>
    </xf>
    <xf numFmtId="0" fontId="24" fillId="6" borderId="0" xfId="0" applyFont="1" applyFill="1" applyAlignment="1">
      <alignment horizontal="center" vertical="center"/>
    </xf>
    <xf numFmtId="0" fontId="22" fillId="6" borderId="0" xfId="0" applyFont="1" applyFill="1" applyAlignment="1">
      <alignment horizontal="center" vertical="center" wrapText="1"/>
    </xf>
    <xf numFmtId="0" fontId="18" fillId="6" borderId="0" xfId="0" applyFont="1" applyFill="1" applyAlignment="1">
      <alignment horizontal="left" vertical="center" wrapText="1"/>
    </xf>
    <xf numFmtId="0" fontId="18" fillId="6" borderId="0" xfId="0" applyFont="1" applyFill="1" applyAlignment="1">
      <alignment horizontal="center" vertical="center" wrapText="1"/>
    </xf>
    <xf numFmtId="165" fontId="18" fillId="6" borderId="0" xfId="0" applyNumberFormat="1" applyFont="1" applyFill="1" applyAlignment="1">
      <alignment horizontal="center" vertical="center" wrapText="1"/>
    </xf>
    <xf numFmtId="0" fontId="11" fillId="6" borderId="0" xfId="0" applyFont="1" applyFill="1" applyAlignment="1">
      <alignment vertical="top" wrapText="1"/>
    </xf>
    <xf numFmtId="0" fontId="11" fillId="6" borderId="0" xfId="0" applyFont="1" applyFill="1"/>
    <xf numFmtId="0" fontId="18" fillId="6" borderId="0" xfId="0" applyFont="1" applyFill="1" applyAlignment="1">
      <alignment horizontal="center"/>
    </xf>
    <xf numFmtId="0" fontId="25" fillId="6" borderId="0" xfId="0" applyFont="1" applyFill="1" applyAlignment="1">
      <alignment horizontal="center"/>
    </xf>
    <xf numFmtId="0" fontId="23" fillId="6" borderId="0" xfId="0" applyFont="1" applyFill="1" applyAlignment="1">
      <alignment horizontal="center"/>
    </xf>
    <xf numFmtId="0" fontId="18" fillId="6" borderId="0" xfId="0" applyFont="1" applyFill="1" applyAlignment="1">
      <alignment horizontal="left" vertical="center"/>
    </xf>
    <xf numFmtId="0" fontId="19" fillId="6" borderId="0" xfId="0" applyFont="1" applyFill="1" applyAlignment="1">
      <alignment horizontal="center"/>
    </xf>
    <xf numFmtId="0" fontId="0" fillId="4" borderId="0" xfId="0" applyFill="1"/>
    <xf numFmtId="168" fontId="18" fillId="6" borderId="0" xfId="0" applyNumberFormat="1" applyFont="1" applyFill="1" applyAlignment="1">
      <alignment horizontal="center"/>
    </xf>
    <xf numFmtId="49" fontId="21" fillId="8" borderId="0" xfId="0" applyNumberFormat="1" applyFont="1" applyFill="1" applyAlignment="1">
      <alignment wrapText="1"/>
    </xf>
    <xf numFmtId="49" fontId="9" fillId="9" borderId="0" xfId="0" applyNumberFormat="1" applyFont="1" applyFill="1"/>
    <xf numFmtId="49" fontId="3" fillId="0" borderId="0" xfId="0" applyNumberFormat="1" applyFont="1"/>
    <xf numFmtId="49" fontId="0" fillId="9" borderId="0" xfId="0" applyNumberFormat="1" applyFill="1"/>
    <xf numFmtId="49" fontId="2" fillId="0" borderId="0" xfId="0" applyNumberFormat="1" applyFont="1"/>
    <xf numFmtId="0" fontId="11" fillId="10" borderId="0" xfId="0" applyFont="1" applyFill="1" applyAlignment="1">
      <alignment vertical="top" wrapText="1"/>
    </xf>
    <xf numFmtId="0" fontId="12" fillId="10" borderId="0" xfId="0" quotePrefix="1" applyFont="1" applyFill="1" applyAlignment="1">
      <alignment horizontal="center" vertical="center" wrapText="1"/>
    </xf>
    <xf numFmtId="0" fontId="10" fillId="10" borderId="0" xfId="0" quotePrefix="1" applyFont="1" applyFill="1" applyAlignment="1">
      <alignment horizontal="center" vertical="center" wrapText="1"/>
    </xf>
    <xf numFmtId="0" fontId="18" fillId="6" borderId="0" xfId="0" applyFont="1" applyFill="1"/>
    <xf numFmtId="0" fontId="34" fillId="6" borderId="0" xfId="0" applyFont="1" applyFill="1"/>
    <xf numFmtId="0" fontId="36" fillId="11" borderId="0" xfId="0" applyFont="1" applyFill="1" applyAlignment="1">
      <alignment horizontal="center" vertical="center"/>
    </xf>
    <xf numFmtId="49" fontId="10" fillId="11" borderId="0" xfId="0" quotePrefix="1" applyNumberFormat="1" applyFont="1" applyFill="1" applyAlignment="1">
      <alignment horizontal="center" vertical="center"/>
    </xf>
    <xf numFmtId="49" fontId="10" fillId="11" borderId="0" xfId="0" applyNumberFormat="1" applyFont="1" applyFill="1" applyAlignment="1">
      <alignment horizontal="center" vertical="center"/>
    </xf>
    <xf numFmtId="0" fontId="10" fillId="11" borderId="0" xfId="0" applyFont="1" applyFill="1" applyAlignment="1">
      <alignment horizontal="center" vertical="center"/>
    </xf>
    <xf numFmtId="0" fontId="11" fillId="6" borderId="0" xfId="0" applyFont="1" applyFill="1" applyAlignment="1">
      <alignment horizontal="center"/>
    </xf>
    <xf numFmtId="0" fontId="9" fillId="4" borderId="0" xfId="0" applyFont="1" applyFill="1"/>
    <xf numFmtId="0" fontId="10" fillId="11" borderId="0" xfId="0" applyFont="1" applyFill="1" applyAlignment="1">
      <alignment horizontal="center" vertical="center" wrapText="1"/>
    </xf>
    <xf numFmtId="0" fontId="13" fillId="6" borderId="0" xfId="0" applyFont="1" applyFill="1"/>
    <xf numFmtId="49" fontId="0" fillId="12" borderId="0" xfId="0" applyNumberFormat="1" applyFill="1"/>
    <xf numFmtId="0" fontId="0" fillId="12" borderId="0" xfId="0" applyFill="1"/>
    <xf numFmtId="49" fontId="18" fillId="6" borderId="0" xfId="0" applyNumberFormat="1" applyFont="1" applyFill="1" applyAlignment="1">
      <alignment horizontal="center" vertical="center" wrapText="1"/>
    </xf>
    <xf numFmtId="0" fontId="0" fillId="0" borderId="0" xfId="0" applyAlignment="1">
      <alignment horizontal="center"/>
    </xf>
    <xf numFmtId="0" fontId="18" fillId="0" borderId="0" xfId="0" applyFont="1"/>
    <xf numFmtId="49" fontId="10" fillId="13" borderId="0" xfId="0" applyNumberFormat="1" applyFont="1" applyFill="1" applyAlignment="1">
      <alignment horizontal="center" vertical="center"/>
    </xf>
    <xf numFmtId="49" fontId="3" fillId="0" borderId="0" xfId="0" applyNumberFormat="1" applyFont="1" applyAlignment="1">
      <alignment horizontal="center" vertical="center" wrapText="1"/>
    </xf>
    <xf numFmtId="49" fontId="10" fillId="4" borderId="0" xfId="0" quotePrefix="1" applyNumberFormat="1" applyFont="1" applyFill="1" applyAlignment="1">
      <alignment horizontal="center" vertical="center"/>
    </xf>
    <xf numFmtId="0" fontId="21" fillId="14" borderId="0" xfId="0" applyFont="1" applyFill="1"/>
    <xf numFmtId="49" fontId="0" fillId="15" borderId="0" xfId="0" applyNumberFormat="1" applyFill="1"/>
    <xf numFmtId="0" fontId="13" fillId="0" borderId="0" xfId="0" applyFont="1"/>
    <xf numFmtId="0" fontId="28" fillId="0" borderId="0" xfId="3" applyAlignment="1">
      <alignment horizontal="center"/>
    </xf>
  </cellXfs>
  <cellStyles count="9">
    <cellStyle name="Neutro" xfId="6" builtinId="28"/>
    <cellStyle name="Normal" xfId="0" builtinId="0"/>
    <cellStyle name="Normal 2" xfId="7" xr:uid="{83E550B3-212B-42C4-9425-B1F6806C427D}"/>
    <cellStyle name="Normal 3" xfId="8" xr:uid="{0B3CF12B-9774-4FE7-ADD6-71B5138A6E5C}"/>
    <cellStyle name="Título" xfId="3" builtinId="15"/>
    <cellStyle name="Título 1" xfId="4" builtinId="16"/>
    <cellStyle name="Título 2" xfId="5" builtinId="17"/>
    <cellStyle name="Vírgula" xfId="1" builtinId="3"/>
    <cellStyle name="Vírgula 2" xfId="2" xr:uid="{A6146FE9-FE54-401B-A7B6-E5892B20900A}"/>
  </cellStyles>
  <dxfs count="3">
    <dxf>
      <fill>
        <patternFill patternType="solid">
          <bgColor rgb="FFFF99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7</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56EC-37F5-4752-833A-EF1CEFE41C47}">
  <dimension ref="A1:HP29"/>
  <sheetViews>
    <sheetView tabSelected="1" zoomScaleNormal="100" workbookViewId="0">
      <pane xSplit="3" ySplit="2" topLeftCell="EU3" activePane="bottomRight" state="frozen"/>
      <selection pane="topRight" activeCell="D1" sqref="D1"/>
      <selection pane="bottomLeft" activeCell="A3" sqref="A3"/>
      <selection pane="bottomRight" activeCell="EU2" sqref="EU2"/>
    </sheetView>
  </sheetViews>
  <sheetFormatPr defaultRowHeight="14.4" x14ac:dyDescent="0.3"/>
  <cols>
    <col min="1" max="1" width="18.6640625" bestFit="1" customWidth="1"/>
    <col min="2" max="2" width="17.6640625" style="92" bestFit="1" customWidth="1"/>
    <col min="3" max="3" width="15.44140625" bestFit="1" customWidth="1"/>
    <col min="4" max="4" width="20.109375" bestFit="1" customWidth="1"/>
    <col min="5" max="5" width="19.109375" bestFit="1" customWidth="1"/>
    <col min="6" max="6" width="21.88671875" style="92" bestFit="1" customWidth="1"/>
    <col min="7" max="7" width="22" bestFit="1" customWidth="1"/>
    <col min="8" max="8" width="52.6640625" bestFit="1" customWidth="1"/>
    <col min="9" max="9" width="15.6640625" bestFit="1" customWidth="1"/>
    <col min="10" max="10" width="12" bestFit="1" customWidth="1"/>
    <col min="11" max="11" width="9.88671875" bestFit="1" customWidth="1"/>
    <col min="12" max="12" width="14.88671875" bestFit="1" customWidth="1"/>
    <col min="13" max="13" width="12.6640625" bestFit="1" customWidth="1"/>
    <col min="14" max="14" width="17.44140625" bestFit="1" customWidth="1"/>
    <col min="15" max="15" width="14.33203125" bestFit="1" customWidth="1"/>
    <col min="16" max="16" width="26.6640625" bestFit="1" customWidth="1"/>
    <col min="17" max="17" width="25.44140625" bestFit="1" customWidth="1"/>
    <col min="18" max="18" width="38.88671875" bestFit="1" customWidth="1"/>
    <col min="19" max="19" width="25" bestFit="1" customWidth="1"/>
    <col min="20" max="20" width="40.88671875" bestFit="1" customWidth="1"/>
    <col min="21" max="21" width="24.44140625" bestFit="1" customWidth="1"/>
    <col min="22" max="22" width="21.109375" bestFit="1" customWidth="1"/>
    <col min="23" max="23" width="20" bestFit="1" customWidth="1"/>
    <col min="24" max="24" width="13.109375" bestFit="1" customWidth="1"/>
    <col min="25" max="25" width="20.5546875" bestFit="1" customWidth="1"/>
    <col min="26" max="26" width="13.6640625" bestFit="1" customWidth="1"/>
    <col min="27" max="27" width="24.44140625" bestFit="1" customWidth="1"/>
    <col min="28" max="28" width="20.5546875" bestFit="1" customWidth="1"/>
    <col min="29" max="29" width="10.44140625" bestFit="1" customWidth="1"/>
    <col min="30" max="30" width="9.109375" bestFit="1" customWidth="1"/>
    <col min="31" max="31" width="11.5546875" bestFit="1" customWidth="1"/>
    <col min="32" max="32" width="30.5546875" bestFit="1" customWidth="1"/>
    <col min="33" max="33" width="23.5546875" bestFit="1" customWidth="1"/>
    <col min="34" max="34" width="9.6640625" bestFit="1" customWidth="1"/>
    <col min="35" max="35" width="22.33203125" bestFit="1" customWidth="1"/>
    <col min="36" max="36" width="10.88671875" bestFit="1" customWidth="1"/>
    <col min="37" max="37" width="12.5546875" bestFit="1" customWidth="1"/>
    <col min="38" max="38" width="19.109375" bestFit="1" customWidth="1"/>
    <col min="39" max="39" width="21.88671875" bestFit="1" customWidth="1"/>
    <col min="40" max="40" width="18.109375" bestFit="1" customWidth="1"/>
    <col min="41" max="41" width="18.88671875" bestFit="1" customWidth="1"/>
    <col min="42" max="42" width="22" bestFit="1" customWidth="1"/>
    <col min="43" max="43" width="22.88671875" customWidth="1"/>
    <col min="44" max="44" width="13.5546875" bestFit="1" customWidth="1"/>
    <col min="45" max="45" width="16.6640625" bestFit="1" customWidth="1"/>
    <col min="46" max="46" width="25.88671875" bestFit="1" customWidth="1"/>
    <col min="47" max="47" width="16.6640625" bestFit="1" customWidth="1"/>
    <col min="48" max="48" width="64.109375" bestFit="1" customWidth="1"/>
    <col min="49" max="49" width="21.6640625" bestFit="1" customWidth="1"/>
    <col min="50" max="50" width="66.109375" bestFit="1" customWidth="1"/>
    <col min="51" max="51" width="19.44140625" bestFit="1" customWidth="1"/>
    <col min="52" max="52" width="10.109375" bestFit="1" customWidth="1"/>
    <col min="53" max="53" width="23.6640625" bestFit="1" customWidth="1"/>
    <col min="54" max="54" width="21.33203125" bestFit="1" customWidth="1"/>
    <col min="55" max="55" width="14.44140625" bestFit="1" customWidth="1"/>
    <col min="56" max="56" width="26.88671875" bestFit="1" customWidth="1"/>
    <col min="57" max="57" width="27" bestFit="1" customWidth="1"/>
    <col min="58" max="58" width="14.109375" bestFit="1" customWidth="1"/>
    <col min="59" max="59" width="22.44140625" bestFit="1" customWidth="1"/>
    <col min="60" max="60" width="25.44140625" bestFit="1" customWidth="1"/>
    <col min="61" max="61" width="22.88671875" bestFit="1" customWidth="1"/>
    <col min="62" max="62" width="24.109375" bestFit="1" customWidth="1"/>
    <col min="63" max="63" width="21.109375" bestFit="1" customWidth="1"/>
    <col min="64" max="64" width="26.109375" bestFit="1" customWidth="1"/>
    <col min="65" max="65" width="29.33203125" bestFit="1" customWidth="1"/>
    <col min="66" max="66" width="24.5546875" bestFit="1" customWidth="1"/>
    <col min="67" max="68" width="18.5546875" bestFit="1" customWidth="1"/>
    <col min="69" max="69" width="19.88671875" bestFit="1" customWidth="1"/>
    <col min="70" max="70" width="25" bestFit="1" customWidth="1"/>
    <col min="71" max="71" width="23" bestFit="1" customWidth="1"/>
    <col min="72" max="72" width="18.5546875" bestFit="1" customWidth="1"/>
    <col min="73" max="73" width="21" bestFit="1" customWidth="1"/>
    <col min="74" max="75" width="26.88671875" bestFit="1" customWidth="1"/>
    <col min="76" max="76" width="21.88671875" bestFit="1" customWidth="1"/>
    <col min="77" max="77" width="18.33203125" bestFit="1" customWidth="1"/>
    <col min="78" max="78" width="19.33203125" bestFit="1" customWidth="1"/>
    <col min="79" max="79" width="13" bestFit="1" customWidth="1"/>
    <col min="80" max="80" width="22.33203125" bestFit="1" customWidth="1"/>
    <col min="81" max="81" width="19.109375" bestFit="1" customWidth="1"/>
    <col min="82" max="82" width="33.5546875" style="92" bestFit="1" customWidth="1"/>
    <col min="83" max="83" width="21.88671875" style="92" customWidth="1"/>
    <col min="84" max="84" width="11.88671875" style="92" customWidth="1"/>
    <col min="85" max="85" width="18.109375" style="92" customWidth="1"/>
    <col min="86" max="86" width="16" style="92" customWidth="1"/>
    <col min="87" max="87" width="11.109375" style="92" bestFit="1" customWidth="1"/>
    <col min="88" max="88" width="11.33203125" style="92" bestFit="1" customWidth="1"/>
    <col min="89" max="89" width="14.6640625" style="92" bestFit="1" customWidth="1"/>
    <col min="91" max="91" width="16.44140625" style="69" bestFit="1" customWidth="1"/>
    <col min="92" max="93" width="19" style="69" bestFit="1" customWidth="1"/>
    <col min="94" max="94" width="15.44140625" style="86" customWidth="1"/>
    <col min="95" max="95" width="10.6640625" style="86" customWidth="1"/>
    <col min="96" max="96" width="11.6640625" style="86" customWidth="1"/>
    <col min="97" max="97" width="13.33203125" style="86" customWidth="1"/>
    <col min="98" max="98" width="13.44140625" style="86" customWidth="1"/>
    <col min="99" max="100" width="14.88671875" style="69" customWidth="1"/>
    <col min="101" max="101" width="15.44140625" style="86" customWidth="1"/>
    <col min="102" max="102" width="16.5546875" style="86" customWidth="1"/>
    <col min="103" max="103" width="17" style="86" customWidth="1"/>
    <col min="104" max="105" width="18" style="69" bestFit="1" customWidth="1"/>
    <col min="106" max="106" width="16.33203125" style="86" customWidth="1"/>
    <col min="107" max="107" width="20.6640625" style="86" customWidth="1"/>
    <col min="108" max="108" width="20.88671875" style="69" customWidth="1"/>
    <col min="109" max="110" width="20.44140625" style="69" customWidth="1"/>
    <col min="111" max="111" width="20.6640625" style="69" customWidth="1"/>
    <col min="112" max="112" width="14.33203125" style="69" customWidth="1"/>
    <col min="113" max="114" width="18.88671875" style="69" customWidth="1"/>
    <col min="115" max="115" width="22" style="69" customWidth="1"/>
    <col min="116" max="116" width="21.88671875" style="69" customWidth="1"/>
    <col min="117" max="117" width="18.6640625" style="69" customWidth="1"/>
    <col min="118" max="118" width="11.44140625" style="69" customWidth="1"/>
    <col min="119" max="119" width="12.33203125" style="69" customWidth="1"/>
    <col min="120" max="120" width="15" style="69" customWidth="1"/>
    <col min="121" max="121" width="15.5546875" style="69" customWidth="1"/>
    <col min="122" max="122" width="8.6640625" style="69" customWidth="1"/>
    <col min="123" max="123" width="10.44140625" style="69" customWidth="1"/>
    <col min="124" max="124" width="11.6640625" style="69" customWidth="1"/>
    <col min="125" max="125" width="12.88671875" style="69" customWidth="1"/>
    <col min="126" max="126" width="12.109375" style="69" customWidth="1"/>
    <col min="127" max="129" width="17.44140625" style="69" customWidth="1"/>
    <col min="130" max="130" width="12.88671875" style="69" customWidth="1"/>
    <col min="131" max="131" width="11.88671875" style="69" customWidth="1"/>
    <col min="132" max="132" width="9.5546875" style="69" customWidth="1"/>
    <col min="133" max="133" width="9" style="69" customWidth="1"/>
    <col min="134" max="134" width="11.44140625" style="69" customWidth="1"/>
    <col min="135" max="135" width="11.109375" style="69" customWidth="1"/>
    <col min="136" max="136" width="16.33203125" style="69" customWidth="1"/>
    <col min="137" max="137" width="13.5546875" style="69" customWidth="1"/>
    <col min="138" max="138" width="15.88671875" style="69" customWidth="1"/>
    <col min="139" max="139" width="16.5546875" style="69" customWidth="1"/>
    <col min="140" max="140" width="15.88671875" style="69" customWidth="1"/>
    <col min="141" max="141" width="12.88671875" style="69" customWidth="1"/>
    <col min="142" max="142" width="14.6640625" style="69" customWidth="1"/>
    <col min="143" max="143" width="13.44140625" style="69" customWidth="1"/>
    <col min="144" max="144" width="14" style="69" customWidth="1"/>
    <col min="145" max="146" width="19.6640625" style="69" customWidth="1"/>
    <col min="147" max="147" width="40.6640625" style="69" customWidth="1"/>
    <col min="148" max="148" width="20.6640625" style="69" customWidth="1"/>
    <col min="149" max="149" width="80.6640625" style="69" customWidth="1"/>
    <col min="150" max="150" width="70.6640625" style="69" customWidth="1"/>
    <col min="151" max="151" width="100.6640625" style="69" customWidth="1"/>
    <col min="152" max="153" width="70.6640625" style="69" customWidth="1"/>
    <col min="154" max="158" width="30.6640625" style="69" customWidth="1"/>
    <col min="159" max="162" width="50.6640625" style="69" customWidth="1"/>
    <col min="163" max="163" width="7" style="69" bestFit="1" customWidth="1"/>
    <col min="164" max="164" width="8.88671875" customWidth="1"/>
    <col min="165" max="165" width="8.109375" style="21" bestFit="1" customWidth="1"/>
    <col min="166" max="166" width="20.6640625" style="21" customWidth="1"/>
    <col min="167" max="167" width="9.109375" style="18"/>
    <col min="168" max="168" width="11.33203125" style="21" customWidth="1"/>
    <col min="169" max="169" width="20.6640625" style="21" customWidth="1"/>
    <col min="170" max="170" width="62" style="21" bestFit="1" customWidth="1"/>
    <col min="172" max="172" width="9.109375" style="21"/>
    <col min="173" max="173" width="20.6640625" style="21" customWidth="1"/>
    <col min="174" max="174" width="86.44140625" style="21" bestFit="1" customWidth="1"/>
    <col min="176" max="176" width="9.6640625" style="21" customWidth="1"/>
    <col min="177" max="177" width="20.6640625" style="21" customWidth="1"/>
    <col min="178" max="178" width="25.6640625" style="21" customWidth="1"/>
    <col min="180" max="180" width="10.109375" style="21" customWidth="1"/>
    <col min="181" max="181" width="20.6640625" style="21" customWidth="1"/>
    <col min="182" max="182" width="99" style="21" bestFit="1" customWidth="1"/>
    <col min="184" max="184" width="11.6640625" style="21" customWidth="1"/>
    <col min="185" max="186" width="20.6640625" style="21" customWidth="1"/>
    <col min="188" max="188" width="8" style="21" bestFit="1" customWidth="1"/>
    <col min="189" max="189" width="50.6640625" customWidth="1"/>
    <col min="191" max="191" width="11.33203125" bestFit="1" customWidth="1"/>
    <col min="192" max="201" width="25.6640625" customWidth="1"/>
    <col min="202" max="202" width="11.33203125" bestFit="1" customWidth="1"/>
    <col min="203" max="212" width="25.6640625" customWidth="1"/>
    <col min="213" max="213" width="11.33203125" bestFit="1" customWidth="1"/>
    <col min="214" max="223" width="25.6640625" customWidth="1"/>
  </cols>
  <sheetData>
    <row r="1" spans="1:224" ht="20.399999999999999" x14ac:dyDescent="0.3">
      <c r="A1" s="40" t="s">
        <v>0</v>
      </c>
      <c r="B1" s="40" t="s">
        <v>0</v>
      </c>
      <c r="C1" s="41" t="s">
        <v>1</v>
      </c>
      <c r="D1" s="42" t="s">
        <v>2</v>
      </c>
      <c r="E1" s="42" t="s">
        <v>3</v>
      </c>
      <c r="F1" s="40" t="s">
        <v>0</v>
      </c>
      <c r="G1" s="40" t="s">
        <v>0</v>
      </c>
      <c r="H1" s="43" t="s">
        <v>4</v>
      </c>
      <c r="I1" s="43" t="s">
        <v>5</v>
      </c>
      <c r="J1" s="40" t="s">
        <v>0</v>
      </c>
      <c r="K1" s="40" t="s">
        <v>0</v>
      </c>
      <c r="L1" s="42" t="s">
        <v>6</v>
      </c>
      <c r="M1" s="42" t="s">
        <v>7</v>
      </c>
      <c r="N1" s="40" t="s">
        <v>0</v>
      </c>
      <c r="O1" s="42" t="s">
        <v>8</v>
      </c>
      <c r="P1" s="42"/>
      <c r="Q1" s="42" t="s">
        <v>0</v>
      </c>
      <c r="R1" s="42" t="s">
        <v>9</v>
      </c>
      <c r="S1" s="42" t="s">
        <v>10</v>
      </c>
      <c r="T1" s="44"/>
      <c r="U1" s="42" t="s">
        <v>11</v>
      </c>
      <c r="V1" s="42" t="s">
        <v>12</v>
      </c>
      <c r="W1" s="42" t="s">
        <v>13</v>
      </c>
      <c r="X1" s="42" t="s">
        <v>14</v>
      </c>
      <c r="Y1" s="44"/>
      <c r="Z1" s="42" t="s">
        <v>15</v>
      </c>
      <c r="AA1" s="42" t="s">
        <v>0</v>
      </c>
      <c r="AB1" s="42" t="s">
        <v>0</v>
      </c>
      <c r="AC1" s="42" t="s">
        <v>16</v>
      </c>
      <c r="AD1" s="42" t="s">
        <v>17</v>
      </c>
      <c r="AE1" s="42" t="s">
        <v>18</v>
      </c>
      <c r="AF1" s="42" t="s">
        <v>0</v>
      </c>
      <c r="AG1" s="42" t="s">
        <v>0</v>
      </c>
      <c r="AH1" s="42" t="s">
        <v>19</v>
      </c>
      <c r="AI1" s="42" t="s">
        <v>20</v>
      </c>
      <c r="AJ1" s="42" t="s">
        <v>0</v>
      </c>
      <c r="AK1" s="42" t="s">
        <v>0</v>
      </c>
      <c r="AL1" s="42" t="s">
        <v>0</v>
      </c>
      <c r="AM1" s="42" t="s">
        <v>21</v>
      </c>
      <c r="AN1" s="45" t="s">
        <v>0</v>
      </c>
      <c r="AO1" s="42" t="s">
        <v>22</v>
      </c>
      <c r="AP1" s="42" t="s">
        <v>23</v>
      </c>
      <c r="AQ1" s="45" t="s">
        <v>24</v>
      </c>
      <c r="AR1" s="42" t="s">
        <v>0</v>
      </c>
      <c r="AS1" s="42" t="s">
        <v>302</v>
      </c>
      <c r="AT1" s="42" t="s">
        <v>0</v>
      </c>
      <c r="AU1" s="42" t="s">
        <v>0</v>
      </c>
      <c r="AV1" s="42" t="s">
        <v>0</v>
      </c>
      <c r="AW1" s="42" t="s">
        <v>25</v>
      </c>
      <c r="AX1" s="42" t="s">
        <v>0</v>
      </c>
      <c r="AY1" s="42" t="s">
        <v>0</v>
      </c>
      <c r="AZ1" s="42" t="s">
        <v>0</v>
      </c>
      <c r="BA1" s="42" t="s">
        <v>26</v>
      </c>
      <c r="BB1" s="42" t="s">
        <v>27</v>
      </c>
      <c r="BC1" s="46"/>
      <c r="BD1" s="42"/>
      <c r="BE1" s="42"/>
      <c r="BF1" s="42"/>
      <c r="BG1" s="42" t="s">
        <v>28</v>
      </c>
      <c r="BH1" s="42" t="s">
        <v>29</v>
      </c>
      <c r="BI1" s="42" t="s">
        <v>30</v>
      </c>
      <c r="BJ1" s="42" t="s">
        <v>31</v>
      </c>
      <c r="BK1" s="42"/>
      <c r="BL1" s="42"/>
      <c r="BM1" s="42"/>
      <c r="BN1" s="42" t="s">
        <v>32</v>
      </c>
      <c r="BO1" s="42" t="s">
        <v>33</v>
      </c>
      <c r="BP1" s="46"/>
      <c r="BQ1" s="40" t="s">
        <v>0</v>
      </c>
      <c r="BR1" s="40" t="s">
        <v>0</v>
      </c>
      <c r="BS1" s="42" t="s">
        <v>36</v>
      </c>
      <c r="BT1" s="42" t="s">
        <v>37</v>
      </c>
      <c r="BU1" s="42" t="s">
        <v>38</v>
      </c>
      <c r="BV1" s="47" t="s">
        <v>39</v>
      </c>
      <c r="BW1" s="47" t="s">
        <v>40</v>
      </c>
      <c r="BX1" s="46"/>
      <c r="BY1" s="46"/>
      <c r="BZ1" s="42"/>
      <c r="CA1" s="42"/>
      <c r="CB1" s="42"/>
      <c r="CC1" s="42" t="s">
        <v>308</v>
      </c>
      <c r="CD1" s="96" t="s">
        <v>371</v>
      </c>
      <c r="CE1" s="96" t="s">
        <v>378</v>
      </c>
      <c r="CF1" s="42"/>
      <c r="CG1" s="42"/>
      <c r="CH1" s="42"/>
      <c r="CI1" s="96" t="s">
        <v>370</v>
      </c>
      <c r="CJ1" s="96" t="s">
        <v>375</v>
      </c>
      <c r="CK1" s="96" t="s">
        <v>376</v>
      </c>
      <c r="CM1" s="48" t="s">
        <v>41</v>
      </c>
      <c r="CN1" s="49" t="s">
        <v>42</v>
      </c>
      <c r="CO1" s="49" t="s">
        <v>43</v>
      </c>
      <c r="CP1" s="41" t="s">
        <v>44</v>
      </c>
      <c r="CQ1" s="41" t="s">
        <v>45</v>
      </c>
      <c r="CR1" s="41" t="s">
        <v>46</v>
      </c>
      <c r="CS1" s="41" t="s">
        <v>47</v>
      </c>
      <c r="CT1" s="50" t="s">
        <v>48</v>
      </c>
      <c r="CU1" s="50" t="s">
        <v>49</v>
      </c>
      <c r="CV1" s="50" t="s">
        <v>50</v>
      </c>
      <c r="CW1" s="41" t="s">
        <v>51</v>
      </c>
      <c r="CX1" s="41" t="s">
        <v>52</v>
      </c>
      <c r="CY1" s="41" t="s">
        <v>53</v>
      </c>
      <c r="CZ1" s="51" t="s">
        <v>373</v>
      </c>
      <c r="DA1" s="51" t="s">
        <v>374</v>
      </c>
      <c r="DB1" s="41" t="s">
        <v>54</v>
      </c>
      <c r="DC1" s="51" t="s">
        <v>55</v>
      </c>
      <c r="DD1" s="51" t="s">
        <v>56</v>
      </c>
      <c r="DE1" s="51" t="s">
        <v>57</v>
      </c>
      <c r="DF1" s="51" t="s">
        <v>58</v>
      </c>
      <c r="DG1" s="52" t="s">
        <v>59</v>
      </c>
      <c r="DH1" s="52" t="s">
        <v>60</v>
      </c>
      <c r="DI1" s="52" t="s">
        <v>61</v>
      </c>
      <c r="DJ1" s="52" t="s">
        <v>62</v>
      </c>
      <c r="DK1" s="52" t="s">
        <v>63</v>
      </c>
      <c r="DL1" s="52" t="s">
        <v>64</v>
      </c>
      <c r="DM1" s="52" t="s">
        <v>65</v>
      </c>
      <c r="DN1" s="52" t="s">
        <v>66</v>
      </c>
      <c r="DO1" s="94" t="s">
        <v>34</v>
      </c>
      <c r="DP1" s="94" t="s">
        <v>35</v>
      </c>
      <c r="DQ1" s="52" t="s">
        <v>67</v>
      </c>
      <c r="DR1" s="52" t="s">
        <v>68</v>
      </c>
      <c r="DS1" s="52" t="s">
        <v>69</v>
      </c>
      <c r="DT1" s="52" t="s">
        <v>70</v>
      </c>
      <c r="DU1" s="52" t="s">
        <v>71</v>
      </c>
      <c r="DV1" s="52" t="s">
        <v>72</v>
      </c>
      <c r="DW1" s="52" t="s">
        <v>73</v>
      </c>
      <c r="DX1" s="53" t="s">
        <v>74</v>
      </c>
      <c r="DY1" s="53" t="s">
        <v>75</v>
      </c>
      <c r="DZ1" s="49" t="s">
        <v>76</v>
      </c>
      <c r="EA1" s="49" t="s">
        <v>77</v>
      </c>
      <c r="EB1" s="49" t="s">
        <v>78</v>
      </c>
      <c r="EC1" s="49" t="s">
        <v>79</v>
      </c>
      <c r="ED1" s="49" t="s">
        <v>80</v>
      </c>
      <c r="EE1" s="54" t="s">
        <v>81</v>
      </c>
      <c r="EF1" s="55" t="s">
        <v>82</v>
      </c>
      <c r="EG1" s="55" t="s">
        <v>83</v>
      </c>
      <c r="EH1" s="55" t="s">
        <v>84</v>
      </c>
      <c r="EI1" s="55" t="s">
        <v>85</v>
      </c>
      <c r="EJ1" s="55" t="s">
        <v>86</v>
      </c>
      <c r="EK1" s="55" t="s">
        <v>87</v>
      </c>
      <c r="EL1" s="55" t="s">
        <v>88</v>
      </c>
      <c r="EM1" s="55" t="s">
        <v>89</v>
      </c>
      <c r="EN1" s="55" t="s">
        <v>90</v>
      </c>
      <c r="EO1" s="55" t="s">
        <v>91</v>
      </c>
      <c r="EP1" s="53" t="s">
        <v>92</v>
      </c>
      <c r="EQ1" s="56" t="s">
        <v>93</v>
      </c>
      <c r="ER1" s="56" t="s">
        <v>94</v>
      </c>
      <c r="ES1" s="56" t="s">
        <v>95</v>
      </c>
      <c r="ET1" s="56" t="s">
        <v>96</v>
      </c>
      <c r="EU1" s="56" t="s">
        <v>97</v>
      </c>
      <c r="EV1" s="56" t="s">
        <v>98</v>
      </c>
      <c r="EW1" s="56" t="s">
        <v>99</v>
      </c>
      <c r="EX1" s="56" t="s">
        <v>100</v>
      </c>
      <c r="EY1" s="56" t="s">
        <v>101</v>
      </c>
      <c r="EZ1" s="56" t="s">
        <v>387</v>
      </c>
      <c r="FA1" s="56" t="s">
        <v>386</v>
      </c>
      <c r="FB1" s="56" t="s">
        <v>379</v>
      </c>
      <c r="FC1" s="56" t="s">
        <v>102</v>
      </c>
      <c r="FD1" s="56" t="s">
        <v>103</v>
      </c>
      <c r="FE1" s="56" t="s">
        <v>104</v>
      </c>
      <c r="FF1" s="56" t="s">
        <v>105</v>
      </c>
      <c r="FG1" s="56"/>
      <c r="FH1" s="93" t="str">
        <f>"H3:H" &amp; COUNTA( A:A )</f>
        <v>H3:H29</v>
      </c>
      <c r="FI1" s="35" t="str">
        <f>"C3:C" &amp; COUNTA( A:A )</f>
        <v>C3:C29</v>
      </c>
      <c r="FJ1" s="38" t="s">
        <v>106</v>
      </c>
      <c r="FK1" s="93" t="str">
        <f>"A3:A" &amp; COUNTA( A:A )</f>
        <v>A3:A29</v>
      </c>
      <c r="FL1" s="35" t="str">
        <f>"DN3:DN" &amp; COUNTA( A:A )</f>
        <v>DN3:DN29</v>
      </c>
      <c r="FM1" s="38" t="s">
        <v>107</v>
      </c>
      <c r="FN1" s="35"/>
      <c r="FP1" s="35" t="str">
        <f>"E3:E" &amp; COUNTA( E:E )</f>
        <v>E3:E29</v>
      </c>
      <c r="FQ1" s="38" t="s">
        <v>108</v>
      </c>
      <c r="FT1" s="35" t="str">
        <f>"AP3:AP" &amp; COUNTA( A:A )</f>
        <v>AP3:AP29</v>
      </c>
      <c r="FU1" s="38" t="s">
        <v>109</v>
      </c>
      <c r="FX1" s="35" t="str">
        <f>"AQ3:AQ" &amp; COUNTA( A:A )</f>
        <v>AQ3:AQ29</v>
      </c>
      <c r="FY1" s="38" t="s">
        <v>110</v>
      </c>
      <c r="GB1" s="35" t="str">
        <f>"BU3:BU" &amp; COUNTA( A:A )</f>
        <v>BU3:BU29</v>
      </c>
      <c r="GC1" s="38" t="s">
        <v>111</v>
      </c>
      <c r="GI1" s="17"/>
      <c r="GJ1" s="77" t="s">
        <v>112</v>
      </c>
      <c r="GK1" s="17"/>
      <c r="GL1" s="17"/>
      <c r="GM1" s="17"/>
      <c r="GN1" s="17"/>
      <c r="GO1" s="17"/>
      <c r="GP1" s="17"/>
      <c r="GQ1" s="17"/>
      <c r="GR1" s="17"/>
      <c r="GS1" s="17"/>
      <c r="GT1" s="18"/>
      <c r="GU1" s="77" t="s">
        <v>113</v>
      </c>
      <c r="GV1" s="18"/>
      <c r="GW1" s="18"/>
      <c r="GX1" s="18"/>
      <c r="GY1" s="18"/>
      <c r="GZ1" s="18"/>
      <c r="HA1" s="18"/>
      <c r="HB1" s="18"/>
      <c r="HC1" s="18"/>
      <c r="HD1" s="18"/>
      <c r="HE1" s="18"/>
      <c r="HF1" s="78" t="s">
        <v>114</v>
      </c>
      <c r="HG1" s="18"/>
      <c r="HH1" s="18"/>
      <c r="HI1" s="18"/>
      <c r="HJ1" s="18"/>
      <c r="HK1" s="18"/>
      <c r="HL1" s="18"/>
      <c r="HM1" s="18"/>
      <c r="HN1" s="18"/>
      <c r="HO1" s="18"/>
      <c r="HP1" s="18"/>
    </row>
    <row r="2" spans="1:224" s="2" customFormat="1" ht="138.75" customHeight="1" x14ac:dyDescent="0.3">
      <c r="A2" s="4" t="s">
        <v>115</v>
      </c>
      <c r="B2" s="5" t="s">
        <v>116</v>
      </c>
      <c r="C2" s="6" t="s">
        <v>117</v>
      </c>
      <c r="D2" s="1" t="s">
        <v>118</v>
      </c>
      <c r="E2" s="5" t="s">
        <v>119</v>
      </c>
      <c r="F2" s="5" t="s">
        <v>120</v>
      </c>
      <c r="G2" s="5" t="s">
        <v>121</v>
      </c>
      <c r="H2" s="5" t="s">
        <v>122</v>
      </c>
      <c r="I2" s="7" t="s">
        <v>123</v>
      </c>
      <c r="J2" s="8" t="s">
        <v>124</v>
      </c>
      <c r="K2" s="9" t="s">
        <v>125</v>
      </c>
      <c r="L2" s="9" t="s">
        <v>126</v>
      </c>
      <c r="M2" s="9" t="s">
        <v>127</v>
      </c>
      <c r="N2" s="10" t="s">
        <v>128</v>
      </c>
      <c r="O2" s="5" t="s">
        <v>129</v>
      </c>
      <c r="P2" s="4" t="s">
        <v>130</v>
      </c>
      <c r="Q2" s="9" t="s">
        <v>131</v>
      </c>
      <c r="R2" s="9" t="s">
        <v>132</v>
      </c>
      <c r="S2" s="9" t="s">
        <v>133</v>
      </c>
      <c r="T2" s="10" t="s">
        <v>134</v>
      </c>
      <c r="U2" s="9" t="s">
        <v>135</v>
      </c>
      <c r="V2" s="11" t="s">
        <v>136</v>
      </c>
      <c r="W2" s="11" t="s">
        <v>137</v>
      </c>
      <c r="X2" s="9" t="s">
        <v>138</v>
      </c>
      <c r="Y2" s="10" t="s">
        <v>139</v>
      </c>
      <c r="Z2" s="12" t="s">
        <v>140</v>
      </c>
      <c r="AA2" s="9" t="s">
        <v>141</v>
      </c>
      <c r="AB2" s="9" t="s">
        <v>142</v>
      </c>
      <c r="AC2" s="11" t="s">
        <v>143</v>
      </c>
      <c r="AD2" s="9" t="s">
        <v>144</v>
      </c>
      <c r="AE2" s="9" t="s">
        <v>145</v>
      </c>
      <c r="AF2" s="9" t="s">
        <v>146</v>
      </c>
      <c r="AG2" s="9" t="s">
        <v>147</v>
      </c>
      <c r="AH2" s="9" t="s">
        <v>148</v>
      </c>
      <c r="AI2" s="5" t="s">
        <v>149</v>
      </c>
      <c r="AJ2" s="13" t="s">
        <v>150</v>
      </c>
      <c r="AK2" s="5" t="s">
        <v>151</v>
      </c>
      <c r="AL2" s="5" t="s">
        <v>152</v>
      </c>
      <c r="AM2" s="5" t="s">
        <v>153</v>
      </c>
      <c r="AN2" s="14" t="s">
        <v>154</v>
      </c>
      <c r="AO2" s="5" t="s">
        <v>155</v>
      </c>
      <c r="AP2" s="5" t="s">
        <v>156</v>
      </c>
      <c r="AQ2" s="5" t="s">
        <v>157</v>
      </c>
      <c r="AR2" s="9" t="s">
        <v>158</v>
      </c>
      <c r="AS2" s="9" t="s">
        <v>159</v>
      </c>
      <c r="AT2" s="9" t="s">
        <v>160</v>
      </c>
      <c r="AU2" s="5" t="s">
        <v>161</v>
      </c>
      <c r="AV2" s="5" t="s">
        <v>102</v>
      </c>
      <c r="AW2" s="11" t="s">
        <v>162</v>
      </c>
      <c r="AX2" s="15" t="s">
        <v>163</v>
      </c>
      <c r="AY2" s="5" t="s">
        <v>164</v>
      </c>
      <c r="AZ2" s="5" t="s">
        <v>165</v>
      </c>
      <c r="BA2" s="5" t="s">
        <v>166</v>
      </c>
      <c r="BB2" s="5" t="s">
        <v>167</v>
      </c>
      <c r="BC2" s="4" t="s">
        <v>168</v>
      </c>
      <c r="BD2" s="5" t="s">
        <v>169</v>
      </c>
      <c r="BE2" s="5" t="s">
        <v>170</v>
      </c>
      <c r="BF2" s="5" t="s">
        <v>171</v>
      </c>
      <c r="BG2" s="5" t="s">
        <v>172</v>
      </c>
      <c r="BH2" s="5" t="s">
        <v>173</v>
      </c>
      <c r="BI2" s="5" t="s">
        <v>174</v>
      </c>
      <c r="BJ2" s="5" t="s">
        <v>175</v>
      </c>
      <c r="BK2" s="5" t="s">
        <v>176</v>
      </c>
      <c r="BL2" s="5" t="s">
        <v>177</v>
      </c>
      <c r="BM2" s="5" t="s">
        <v>178</v>
      </c>
      <c r="BN2" s="5" t="s">
        <v>179</v>
      </c>
      <c r="BO2" s="5" t="s">
        <v>180</v>
      </c>
      <c r="BP2" s="5" t="s">
        <v>181</v>
      </c>
      <c r="BQ2" s="5" t="s">
        <v>182</v>
      </c>
      <c r="BR2" s="5" t="s">
        <v>183</v>
      </c>
      <c r="BS2" s="5" t="s">
        <v>184</v>
      </c>
      <c r="BT2" s="9" t="s">
        <v>185</v>
      </c>
      <c r="BU2" s="5" t="s">
        <v>186</v>
      </c>
      <c r="BV2" s="5" t="s">
        <v>187</v>
      </c>
      <c r="BW2" s="5" t="s">
        <v>188</v>
      </c>
      <c r="BX2" s="5" t="s">
        <v>189</v>
      </c>
      <c r="BY2" s="5" t="s">
        <v>190</v>
      </c>
      <c r="BZ2" s="5" t="s">
        <v>191</v>
      </c>
      <c r="CA2" s="5" t="s">
        <v>192</v>
      </c>
      <c r="CB2" s="5" t="s">
        <v>193</v>
      </c>
      <c r="CC2" s="5" t="s">
        <v>194</v>
      </c>
      <c r="CD2" s="5" t="s">
        <v>195</v>
      </c>
      <c r="CE2" s="95" t="s">
        <v>363</v>
      </c>
      <c r="CF2" s="95" t="s">
        <v>364</v>
      </c>
      <c r="CG2" s="95" t="s">
        <v>365</v>
      </c>
      <c r="CH2" s="95" t="s">
        <v>366</v>
      </c>
      <c r="CI2" s="95" t="s">
        <v>367</v>
      </c>
      <c r="CJ2" s="95" t="s">
        <v>368</v>
      </c>
      <c r="CK2" s="95" t="s">
        <v>369</v>
      </c>
      <c r="CM2" s="81">
        <v>5862</v>
      </c>
      <c r="CN2" s="82" t="s">
        <v>307</v>
      </c>
      <c r="CO2" s="83" t="s">
        <v>362</v>
      </c>
      <c r="CP2" s="84">
        <v>203</v>
      </c>
      <c r="CQ2" s="84">
        <v>0</v>
      </c>
      <c r="CR2" s="84">
        <v>0</v>
      </c>
      <c r="CS2" s="84">
        <v>0</v>
      </c>
      <c r="CT2" s="84">
        <v>1</v>
      </c>
      <c r="CU2" s="57">
        <f>CT2+1</f>
        <v>2</v>
      </c>
      <c r="CV2" s="57">
        <f>CU2+1</f>
        <v>3</v>
      </c>
      <c r="CW2" s="87">
        <v>0</v>
      </c>
      <c r="CX2" s="87">
        <v>0</v>
      </c>
      <c r="CY2" s="87">
        <v>0</v>
      </c>
      <c r="CZ2" s="57">
        <f>MAX(CY:CY)</f>
        <v>2</v>
      </c>
      <c r="DA2" s="57">
        <f>MAX(CZ:CZ)</f>
        <v>29</v>
      </c>
      <c r="DB2" s="87">
        <v>10</v>
      </c>
      <c r="DC2" s="87">
        <v>0</v>
      </c>
      <c r="DD2" s="58">
        <f ca="1">LARGE( DC:DC, 1 )</f>
        <v>27</v>
      </c>
      <c r="DE2" s="58">
        <f ca="1">LARGE( DD:DD, 1 )</f>
        <v>54</v>
      </c>
      <c r="DF2" s="59" t="str">
        <f>G2</f>
        <v>Contribuiçao Sind.</v>
      </c>
      <c r="DG2" s="59" t="s">
        <v>146</v>
      </c>
      <c r="DH2" s="59" t="s">
        <v>196</v>
      </c>
      <c r="DI2" s="59" t="s">
        <v>161</v>
      </c>
      <c r="DJ2" s="59" t="s">
        <v>102</v>
      </c>
      <c r="DK2" s="59" t="s">
        <v>163</v>
      </c>
      <c r="DL2" s="59" t="s">
        <v>164</v>
      </c>
      <c r="DM2" s="59" t="s">
        <v>165</v>
      </c>
      <c r="DN2" s="60" t="s">
        <v>171</v>
      </c>
      <c r="DO2" s="91" t="str">
        <f>BQ2</f>
        <v>Dependentes IR</v>
      </c>
      <c r="DP2" s="91" t="str">
        <f>BR2</f>
        <v>Dependentes Sal Fam</v>
      </c>
      <c r="DQ2" s="60" t="s">
        <v>142</v>
      </c>
      <c r="DR2" s="60" t="s">
        <v>131</v>
      </c>
      <c r="DS2" s="60" t="s">
        <v>150</v>
      </c>
      <c r="DT2" s="60" t="s">
        <v>151</v>
      </c>
      <c r="DU2" s="60" t="s">
        <v>197</v>
      </c>
      <c r="DV2" s="60" t="s">
        <v>158</v>
      </c>
      <c r="DW2" s="60" t="s">
        <v>160</v>
      </c>
      <c r="DX2" s="61" t="str">
        <f>J2</f>
        <v>CPF</v>
      </c>
      <c r="DY2" s="61" t="str">
        <f>K2</f>
        <v>CTPS</v>
      </c>
      <c r="DZ2" s="60" t="s">
        <v>115</v>
      </c>
      <c r="EA2" s="60" t="s">
        <v>116</v>
      </c>
      <c r="EB2" s="60" t="s">
        <v>147</v>
      </c>
      <c r="EC2" s="60" t="s">
        <v>198</v>
      </c>
      <c r="ED2" s="60" t="s">
        <v>130</v>
      </c>
      <c r="EE2" s="60" t="s">
        <v>139</v>
      </c>
      <c r="EF2" s="60" t="s">
        <v>134</v>
      </c>
      <c r="EG2" s="60" t="s">
        <v>168</v>
      </c>
      <c r="EH2" s="60" t="s">
        <v>169</v>
      </c>
      <c r="EI2" s="60" t="s">
        <v>170</v>
      </c>
      <c r="EJ2" s="60" t="s">
        <v>189</v>
      </c>
      <c r="EK2" s="60" t="s">
        <v>190</v>
      </c>
      <c r="EL2" s="60" t="s">
        <v>176</v>
      </c>
      <c r="EM2" s="60" t="s">
        <v>199</v>
      </c>
      <c r="EN2" s="60"/>
      <c r="EO2" s="60" t="s">
        <v>178</v>
      </c>
      <c r="EP2" s="91" t="str">
        <f>AA2</f>
        <v>certificado reservista</v>
      </c>
      <c r="EQ2" s="62" t="s">
        <v>200</v>
      </c>
      <c r="ER2" s="62" t="s">
        <v>201</v>
      </c>
      <c r="ES2" s="62" t="s">
        <v>309</v>
      </c>
      <c r="ET2" s="62" t="s">
        <v>202</v>
      </c>
      <c r="EU2" s="62" t="s">
        <v>385</v>
      </c>
      <c r="EV2" s="62" t="s">
        <v>203</v>
      </c>
      <c r="EW2" s="62" t="s">
        <v>204</v>
      </c>
      <c r="EX2" s="62" t="s">
        <v>2584</v>
      </c>
      <c r="EY2" s="62" t="s">
        <v>205</v>
      </c>
      <c r="EZ2" s="62" t="s">
        <v>372</v>
      </c>
      <c r="FA2" s="62" t="s">
        <v>377</v>
      </c>
      <c r="FB2" s="62" t="s">
        <v>380</v>
      </c>
      <c r="FC2" s="62" t="s">
        <v>322</v>
      </c>
      <c r="FD2" s="62" t="s">
        <v>206</v>
      </c>
      <c r="FE2" s="62" t="s">
        <v>207</v>
      </c>
      <c r="FF2" s="62" t="s">
        <v>208</v>
      </c>
      <c r="FG2" s="62" t="s">
        <v>209</v>
      </c>
      <c r="FH2"/>
      <c r="FI2" s="39" t="s">
        <v>210</v>
      </c>
      <c r="FJ2" s="19" t="str">
        <f ca="1">" - Lista de vínculos que já possuem a matrícula cadastrada no HCM. Por este motivo não foram migrado(s). " &amp; ( COUNTA(_xlfn.ANCHORARRAY( FJ3) ) - 1 ) &amp; " ocorrência(s):"</f>
        <v xml:space="preserve"> - Lista de vínculos que já possuem a matrícula cadastrada no HCM. Por este motivo não foram migrado(s). 0 ocorrência(s):</v>
      </c>
      <c r="FK2" s="37"/>
      <c r="FL2" s="39" t="s">
        <v>211</v>
      </c>
      <c r="FM2" s="19" t="s">
        <v>212</v>
      </c>
      <c r="FN2" s="19" t="s">
        <v>213</v>
      </c>
      <c r="FO2" s="36"/>
      <c r="FP2" s="39" t="s">
        <v>214</v>
      </c>
      <c r="FQ2" s="19" t="str">
        <f ca="1">IF( COUNTA(_xlfn.ANCHORARRAY( FQ3) ) &lt;= 2, "Escalas de trabalho não encontrada na planilha 03_EscalaTrabalho:", "Lista das escalas de trabalho não encontradas na planilha 03_EscalaTrabalho:" )</f>
        <v>Escalas de trabalho não encontrada na planilha 03_EscalaTrabalho:</v>
      </c>
      <c r="FR2" s="19" t="str">
        <f ca="1">IF( COUNTA(_xlfn.ANCHORARRAY( FR3) ) &lt;= 2, "Vínculo afetado pela ausência de escala de trabalho na planilha 03_EscalaTrabalho:", "Lista dos vínculos afetados pela ausência de escala de trabalho na planilha 03_EscalaTrabalho:" )</f>
        <v>Vínculo afetado pela ausência de escala de trabalho na planilha 03_EscalaTrabalho:</v>
      </c>
      <c r="FS2" s="36"/>
      <c r="FT2" s="39" t="s">
        <v>215</v>
      </c>
      <c r="FU2" s="19" t="str">
        <f ca="1">" - Estruturas de trabalhos (estrutura legal) não encontradas no sistema / planilha 01_Estruturas. " &amp; ( COUNTA(_xlfn.ANCHORARRAY( FU3) ) - 1 ) &amp; " ocorrência(s):"</f>
        <v xml:space="preserve"> - Estruturas de trabalhos (estrutura legal) não encontradas no sistema / planilha 01_Estruturas. 0 ocorrência(s):</v>
      </c>
      <c r="FV2" s="19" t="str">
        <f ca="1">" - Vínculos afetados pela ausência de estruturas de trabalhos (estrutura legal) não encontradas no sistema / planilha 01_Estruturas. Por este motivo o histórico do vínculo e movimentação deverão ser atualizados manualmente. " &amp; ( COUNTA(_xlfn.ANCHORARRAY( FV3) ) - 1 ) &amp; " ocorrência(s):"</f>
        <v xml:space="preserve"> - Vínculos afetados pela ausência de estruturas de trabalhos (estrutura legal) não encontradas no sistema / planilha 01_Estruturas. Por este motivo o histórico do vínculo e movimentação deverão ser atualizados manualmente. 0 ocorrência(s):</v>
      </c>
      <c r="FW2" s="36"/>
      <c r="FX2" s="39" t="s">
        <v>216</v>
      </c>
      <c r="FY2" s="19" t="str">
        <f ca="1">" - Estruturas gerenciais não encontradas no sistema / planilha 01_Estruturas. " &amp; ( COUNTA(_xlfn.ANCHORARRAY( FY3) ) - 1 ) &amp; " ocorrência(s):"</f>
        <v xml:space="preserve"> - Estruturas gerenciais não encontradas no sistema / planilha 01_Estruturas. 0 ocorrência(s):</v>
      </c>
      <c r="FZ2" s="19" t="str">
        <f ca="1">" - Vínculos afetados pela ausência de estruturas gerenciais não encontradas no sistema / planilha 01_Estruturas. Por este motivo o histórico do vínculo e movimentação deverão ser atualizados manualmente. " &amp; ( COUNTA(_xlfn.ANCHORARRAY( FZ3) ) - 1 ) &amp; " ocorrência(s):"</f>
        <v xml:space="preserve"> - Vínculos afetados pela ausência de estruturas gerenciais não encontradas no sistema / planilha 01_Estruturas. Por este motivo o histórico do vínculo e movimentação deverão ser atualizados manualmente. 0 ocorrência(s):</v>
      </c>
      <c r="GA2" s="36"/>
      <c r="GB2" s="39" t="s">
        <v>216</v>
      </c>
      <c r="GC2" s="19" t="str">
        <f ca="1">" - Estruturas sindicais não encontradas no sistema / planilha 01_Estruturas. " &amp; ( COUNTA(_xlfn.ANCHORARRAY( GC3) ) - 1 ) &amp; " ocorrência(s):"</f>
        <v xml:space="preserve"> - Estruturas sindicais não encontradas no sistema / planilha 01_Estruturas. 1 ocorrência(s):</v>
      </c>
      <c r="GD2" s="19" t="str">
        <f ca="1">" - Vínculos afetados pela ausência de estruturas sindicais não encontradas no sistema / planilha 01_Estruturas. Por este motivo o histórico do vínculo e movimentação deverão ser atualizados manualmente. " &amp; ( COUNTA(_xlfn.ANCHORARRAY( GD3) ) - 0 ) &amp; " ocorrência(s):"</f>
        <v xml:space="preserve"> - Vínculos afetados pela ausência de estruturas sindicais não encontradas no sistema / planilha 01_Estruturas. Por este motivo o histórico do vínculo e movimentação deverão ser atualizados manualmente. 19 ocorrência(s):</v>
      </c>
      <c r="GF2" s="19" t="s">
        <v>381</v>
      </c>
      <c r="GI2" s="17"/>
      <c r="GJ2" s="76" t="str">
        <f ca="1">"/*"&amp;GJ4&amp;"*/
SELECT A + 1 A, B - 1 B, B - A - 1 LENGHT, (SELECT TO_NUMBER(NRSEQUENCIAL) FROM NOVOCODIGO WHERE NRORG = "&amp;GJ9&amp;" AND CDCONTADOR = '"&amp;GJ4&amp;"') NOVOCODIGO FROM (SELECT 0 A, MIN("&amp;GJ5&amp;") B FROM "&amp;GJ4&amp;" WHERE NRORG = "&amp;GJ9&amp;" UNION ALL SELECT "&amp;GJ5&amp;", LEAD("&amp;GJ5&amp;") OVER (ORDER BY "&amp;GJ5&amp;") FROM "&amp;GJ4&amp;" WHERE NRORG = "&amp;GJ9&amp;" ) WHERE B - A &gt; "&amp;GJ8&amp;" OR B IS NULL ORDER BY A;"</f>
        <v>/*PARCNEGOCIO*/
SELECT A + 1 A, B - 1 B, B - A - 1 LENGHT, (SELECT TO_NUMBER(NRSEQUENCIAL) FROM NOVOCODIGO WHERE NRORG = 5862 AND CDCONTADOR = 'PARCNEGOCIO') NOVOCODIGO FROM (SELECT 0 A, MIN(NRPARCNEGOCIO) B FROM PARCNEGOCIO WHERE NRORG = 5862 UNION ALL SELECT NRPARCNEGOCIO, LEAD(NRPARCNEGOCIO) OVER (ORDER BY NRPARCNEGOCIO) FROM PARCNEGOCIO WHERE NRORG = 5862 ) WHERE B - A &gt; 27 OR B IS NULL ORDER BY A;</v>
      </c>
      <c r="GK2" s="76" t="str">
        <f t="shared" ref="GK2:GL2" ca="1" si="0">"/*"&amp;GK4&amp;"*/
SELECT A + 1 A, B - 1 B, B - A - 1 LENGHT, (SELECT TO_NUMBER(NRSEQUENCIAL) FROM NOVOCODIGO WHERE NRORG = "&amp;GK9&amp;" AND CDCONTADOR = '"&amp;GK4&amp;"') NOVOCODIGO FROM (SELECT 0 A, MIN("&amp;GK5&amp;") B FROM "&amp;GK4&amp;" WHERE NRORG = "&amp;GK9&amp;" UNION ALL SELECT "&amp;GK5&amp;", LEAD("&amp;GK5&amp;") OVER (ORDER BY "&amp;GK5&amp;") FROM "&amp;GK4&amp;" WHERE NRORG = "&amp;GK9&amp;" ) WHERE B - A &gt; "&amp;GK8&amp;" OR B IS NULL ORDER BY A;"</f>
        <v>/*GPE_PESSOA*/
SELECT A + 1 A, B - 1 B, B - A - 1 LENGHT, (SELECT TO_NUMBER(NRSEQUENCIAL) FROM NOVOCODIGO WHERE NRORG = 5862 AND CDCONTADOR = 'GPE_PESSOA') NOVOCODIGO FROM (SELECT 0 A, MIN(NRPESSOA) B FROM GPE_PESSOA WHERE NRORG = 5862 UNION ALL SELECT NRPESSOA, LEAD(NRPESSOA) OVER (ORDER BY NRPESSOA) FROM GPE_PESSOA WHERE NRORG = 5862 ) WHERE B - A &gt; 27 OR B IS NULL ORDER BY A;</v>
      </c>
      <c r="GL2" s="76" t="str">
        <f t="shared" ca="1" si="0"/>
        <v>/*GPE_PESSOAH*/
SELECT A + 1 A, B - 1 B, B - A - 1 LENGHT, (SELECT TO_NUMBER(NRSEQUENCIAL) FROM NOVOCODIGO WHERE NRORG = 5862 AND CDCONTADOR = 'GPE_PESSOAH') NOVOCODIGO FROM (SELECT 0 A, MIN(NRPESSOAH) B FROM GPE_PESSOAH WHERE NRORG = 5862 UNION ALL SELECT NRPESSOAH, LEAD(NRPESSOAH) OVER (ORDER BY NRPESSOAH) FROM GPE_PESSOAH WHERE NRORG = 5862 ) WHERE B - A &gt; 27 OR B IS NULL ORDER BY A;</v>
      </c>
      <c r="GM2" s="76" t="str">
        <f t="shared" ref="GM2:GN2" ca="1" si="1">"/*"&amp;GM4&amp;"*/
SELECT A + 1 A, B - 1 B, B - A - 1 LENGHT, (SELECT TO_NUMBER(NRSEQUENCIAL) FROM NOVOCODIGO WHERE NRORG = "&amp;GM9&amp;" AND CDCONTADOR = '"&amp;GM4&amp;"') NOVOCODIGO FROM (SELECT 0 A, MIN("&amp;GM5&amp;") B FROM "&amp;GM4&amp;" WHERE NRORG = "&amp;GM9&amp;" UNION ALL SELECT "&amp;GM5&amp;", LEAD("&amp;GM5&amp;") OVER (ORDER BY "&amp;GM5&amp;") FROM "&amp;GM4&amp;" WHERE NRORG = "&amp;GM9&amp;" ) WHERE B - A &gt; "&amp;GM8&amp;" OR B IS NULL ORDER BY A;"</f>
        <v>/*GPE_VINCULOM*/
SELECT A + 1 A, B - 1 B, B - A - 1 LENGHT, (SELECT TO_NUMBER(NRSEQUENCIAL) FROM NOVOCODIGO WHERE NRORG = 5862 AND CDCONTADOR = 'GPE_VINCULOM') NOVOCODIGO FROM (SELECT 0 A, MIN(NRVINCULOM) B FROM GPE_VINCULOM WHERE NRORG = 5862 UNION ALL SELECT NRVINCULOM, LEAD(NRVINCULOM) OVER (ORDER BY NRVINCULOM) FROM GPE_VINCULOM WHERE NRORG = 5862 ) WHERE B - A &gt; 27 OR B IS NULL ORDER BY A;</v>
      </c>
      <c r="GN2" s="76" t="str">
        <f t="shared" ca="1" si="1"/>
        <v>/*GPE_ALTESITUFUNC*/
SELECT A + 1 A, B - 1 B, B - A - 1 LENGHT, (SELECT TO_NUMBER(NRSEQUENCIAL) FROM NOVOCODIGO WHERE NRORG = 5862 AND CDCONTADOR = 'GPE_ALTESITUFUNC') NOVOCODIGO FROM (SELECT 0 A, MIN(NRALTESITUFUNC) B FROM GPE_ALTESITUFUNC WHERE NRORG = 5862 UNION ALL SELECT NRALTESITUFUNC, LEAD(NRALTESITUFUNC) OVER (ORDER BY NRALTESITUFUNC) FROM GPE_ALTESITUFUNC WHERE NRORG = 5862 ) WHERE B - A &gt; 27 OR B IS NULL ORDER BY A;</v>
      </c>
      <c r="GO2" s="76" t="str">
        <f t="shared" ref="GO2:GP2" ca="1" si="2">"/*"&amp;GO4&amp;"*/
SELECT A + 1 A, B - 1 B, B - A - 1 LENGHT, (SELECT TO_NUMBER(NRSEQUENCIAL) FROM NOVOCODIGO WHERE NRORG = "&amp;GO9&amp;" AND CDCONTADOR = '"&amp;GO4&amp;"') NOVOCODIGO FROM (SELECT 0 A, MIN("&amp;GO5&amp;") B FROM "&amp;GO4&amp;" WHERE NRORG = "&amp;GO9&amp;" UNION ALL SELECT "&amp;GO5&amp;", LEAD("&amp;GO5&amp;") OVER (ORDER BY "&amp;GO5&amp;") FROM "&amp;GO4&amp;" WHERE NRORG = "&amp;GO9&amp;" ) WHERE B - A &gt; "&amp;GO8&amp;" OR B IS NULL ORDER BY A;"</f>
        <v>/*CONTCORRPARC*/
SELECT A + 1 A, B - 1 B, B - A - 1 LENGHT, (SELECT TO_NUMBER(NRSEQUENCIAL) FROM NOVOCODIGO WHERE NRORG = 5862 AND CDCONTADOR = 'CONTCORRPARC') NOVOCODIGO FROM (SELECT 0 A, MIN(NRCONTCORRPARC) B FROM CONTCORRPARC WHERE NRORG = 5862 UNION ALL SELECT NRCONTCORRPARC, LEAD(NRCONTCORRPARC) OVER (ORDER BY NRCONTCORRPARC) FROM CONTCORRPARC WHERE NRORG = 5862 ) WHERE B - A &gt; 13 OR B IS NULL ORDER BY A;</v>
      </c>
      <c r="GP2" s="76" t="str">
        <f t="shared" ca="1" si="2"/>
        <v>/*COMUNICAPARC*/
SELECT A + 1 A, B - 1 B, B - A - 1 LENGHT, (SELECT TO_NUMBER(NRSEQUENCIAL) FROM NOVOCODIGO WHERE NRORG = 5862 AND CDCONTADOR = 'COMUNICAPARC') NOVOCODIGO FROM (SELECT 0 A, MIN(NRCOMUNICAPARC) B FROM COMUNICAPARC WHERE NRORG = 5862 UNION ALL SELECT NRCOMUNICAPARC, LEAD(NRCOMUNICAPARC) OVER (ORDER BY NRCOMUNICAPARC) FROM COMUNICAPARC WHERE NRORG = 5862 ) WHERE B - A &gt; 2 OR B IS NULL ORDER BY A;</v>
      </c>
      <c r="GQ2" s="76" t="str">
        <f t="shared" ref="GQ2:GR2" ca="1" si="3">"/*"&amp;GQ4&amp;"*/
SELECT A + 1 A, B - 1 B, B - A - 1 LENGHT, (SELECT TO_NUMBER(NRSEQUENCIAL) FROM NOVOCODIGO WHERE NRORG = "&amp;GQ9&amp;" AND CDCONTADOR = '"&amp;GQ4&amp;"') NOVOCODIGO FROM (SELECT 0 A, MIN("&amp;GQ5&amp;") B FROM "&amp;GQ4&amp;" WHERE NRORG = "&amp;GQ9&amp;" UNION ALL SELECT "&amp;GQ5&amp;", LEAD("&amp;GQ5&amp;") OVER (ORDER BY "&amp;GQ5&amp;") FROM "&amp;GQ4&amp;" WHERE NRORG = "&amp;GQ9&amp;" ) WHERE B - A &gt; "&amp;GQ8&amp;" OR B IS NULL ORDER BY A;"</f>
        <v>/*ENDERECOPARC*/
SELECT A + 1 A, B - 1 B, B - A - 1 LENGHT, (SELECT TO_NUMBER(NRSEQUENCIAL) FROM NOVOCODIGO WHERE NRORG = 5862 AND CDCONTADOR = 'ENDERECOPARC') NOVOCODIGO FROM (SELECT 0 A, MIN(NRENDERECOPARC) B FROM ENDERECOPARC WHERE NRORG = 5862 UNION ALL SELECT NRENDERECOPARC, LEAD(NRENDERECOPARC) OVER (ORDER BY NRENDERECOPARC) FROM ENDERECOPARC WHERE NRORG = 5862 ) WHERE B - A &gt; 27 OR B IS NULL ORDER BY A;</v>
      </c>
      <c r="GR2" s="76" t="str">
        <f t="shared" ca="1" si="3"/>
        <v>/*GPE_VINCULOH*/
SELECT A + 1 A, B - 1 B, B - A - 1 LENGHT, (SELECT TO_NUMBER(NRSEQUENCIAL) FROM NOVOCODIGO WHERE NRORG = 5862 AND CDCONTADOR = 'GPE_VINCULOH') NOVOCODIGO FROM (SELECT 0 A, MIN(NRVINCULOH) B FROM GPE_VINCULOH WHERE NRORG = 5862 UNION ALL SELECT NRVINCULOH, LEAD(NRVINCULOH) OVER (ORDER BY NRVINCULOH) FROM GPE_VINCULOH WHERE NRORG = 5862 ) WHERE B - A &gt; 81 OR B IS NULL ORDER BY A;</v>
      </c>
      <c r="GS2" s="76" t="str">
        <f t="shared" ref="GS2" ca="1" si="4">"/*"&amp;GS4&amp;"*/
SELECT A + 1 A, B - 1 B, B - A - 1 LENGHT, (SELECT TO_NUMBER(NRSEQUENCIAL) FROM NOVOCODIGO WHERE NRORG = "&amp;GS9&amp;" AND CDCONTADOR = '"&amp;GS4&amp;"') NOVOCODIGO FROM (SELECT 0 A, MIN("&amp;GS5&amp;") B FROM "&amp;GS4&amp;" WHERE NRORG = "&amp;GS9&amp;" UNION ALL SELECT "&amp;GS5&amp;", LEAD("&amp;GS5&amp;") OVER (ORDER BY "&amp;GS5&amp;") FROM "&amp;GS4&amp;" WHERE NRORG = "&amp;GS9&amp;" ) WHERE B - A &gt; "&amp;GS8&amp;" OR B IS NULL ORDER BY A;"</f>
        <v>/*GPE_MOVIMENTACAO*/
SELECT A + 1 A, B - 1 B, B - A - 1 LENGHT, (SELECT TO_NUMBER(NRSEQUENCIAL) FROM NOVOCODIGO WHERE NRORG = 5862 AND CDCONTADOR = 'GPE_MOVIMENTACAO') NOVOCODIGO FROM (SELECT 0 A, MIN(NRMOVIMENTACAO) B FROM GPE_MOVIMENTACAO WHERE NRORG = 5862 UNION ALL SELECT NRMOVIMENTACAO, LEAD(NRMOVIMENTACAO) OVER (ORDER BY NRMOVIMENTACAO) FROM GPE_MOVIMENTACAO WHERE NRORG = 5862 ) WHERE B - A &gt; 63 OR B IS NULL ORDER BY A;</v>
      </c>
      <c r="GT2" s="18"/>
      <c r="GU2" s="76" t="str">
        <f ca="1">"SELECT '--Diferenca: ' || (" &amp; GU8 &amp;" - COUNT(1)) || ' | Registros: ' || " &amp; GU8 &amp;" || '; Na base de dados: ' || COUNT(1) STATUS, '"&amp;GU4&amp;"' TABELA FROM "&amp;GU4&amp;" WHERE NRORG = "&amp;GU9&amp;" AND "&amp;GU5&amp;" BETWEEN "&amp;GU6&amp;" AND "&amp;GU7&amp;" UNION ALL "</f>
        <v xml:space="preserve">SELECT '--Diferenca: ' || (27 - COUNT(1)) || ' | Registros: ' || 27 || '; Na base de dados: ' || COUNT(1) STATUS, 'PARCNEGOCIO' TABELA FROM PARCNEGOCIO WHERE NRORG = 5862 AND NRPARCNEGOCIO BETWEEN 204 AND 230 UNION ALL </v>
      </c>
      <c r="GV2" s="76" t="str">
        <f t="shared" ref="GV2:HC2" ca="1" si="5">"SELECT '--Diferenca: ' || (" &amp; GV8 &amp;" - COUNT(1)) || ' | Registros: ' || " &amp; GV8 &amp;" || '; Na base de dados: ' || COUNT(1) STATUS, '"&amp;GV4&amp;"' TABELA FROM "&amp;GV4&amp;" WHERE NRORG = "&amp;GV9&amp;" AND "&amp;GV5&amp;" BETWEEN "&amp;GV6&amp;" AND "&amp;GV7&amp;" UNION ALL "</f>
        <v xml:space="preserve">SELECT '--Diferenca: ' || (27 - COUNT(1)) || ' | Registros: ' || 27 || '; Na base de dados: ' || COUNT(1) STATUS, 'GPE_PESSOA' TABELA FROM GPE_PESSOA WHERE NRORG = 5862 AND NRPESSOA BETWEEN 1 AND 27 UNION ALL </v>
      </c>
      <c r="GW2" s="76" t="str">
        <f t="shared" ca="1" si="5"/>
        <v xml:space="preserve">SELECT '--Diferenca: ' || (27 - COUNT(1)) || ' | Registros: ' || 27 || '; Na base de dados: ' || COUNT(1) STATUS, 'GPE_PESSOAH' TABELA FROM GPE_PESSOAH WHERE NRORG = 5862 AND NRPESSOAH BETWEEN 1 AND 27 UNION ALL </v>
      </c>
      <c r="GX2" s="76" t="str">
        <f t="shared" ca="1" si="5"/>
        <v xml:space="preserve">SELECT '--Diferenca: ' || (27 - COUNT(1)) || ' | Registros: ' || 27 || '; Na base de dados: ' || COUNT(1) STATUS, 'GPE_VINCULOM' TABELA FROM GPE_VINCULOM WHERE NRORG = 5862 AND NRVINCULOM BETWEEN 1 AND 27 UNION ALL </v>
      </c>
      <c r="GY2" s="76" t="str">
        <f t="shared" ca="1" si="5"/>
        <v xml:space="preserve">SELECT '--Diferenca: ' || (27 - COUNT(1)) || ' | Registros: ' || 27 || '; Na base de dados: ' || COUNT(1) STATUS, 'GPE_ALTESITUFUNC' TABELA FROM GPE_ALTESITUFUNC WHERE NRORG = 5862 AND NRALTESITUFUNC BETWEEN 1 AND 27 UNION ALL </v>
      </c>
      <c r="GZ2" s="76" t="str">
        <f t="shared" ca="1" si="5"/>
        <v xml:space="preserve">SELECT '--Diferenca: ' || (13 - COUNT(1)) || ' | Registros: ' || 13 || '; Na base de dados: ' || COUNT(1) STATUS, 'CONTCORRPARC' TABELA FROM CONTCORRPARC WHERE NRORG = 5862 AND NRCONTCORRPARC BETWEEN 1 AND 13 UNION ALL </v>
      </c>
      <c r="HA2" s="76" t="str">
        <f t="shared" ca="1" si="5"/>
        <v xml:space="preserve">SELECT '--Diferenca: ' || (2 - COUNT(1)) || ' | Registros: ' || 2 || '; Na base de dados: ' || COUNT(1) STATUS, 'COMUNICAPARC' TABELA FROM COMUNICAPARC WHERE NRORG = 5862 AND NRCOMUNICAPARC BETWEEN 1 AND 2 UNION ALL </v>
      </c>
      <c r="HB2" s="76" t="str">
        <f t="shared" ca="1" si="5"/>
        <v xml:space="preserve">SELECT '--Diferenca: ' || (27 - COUNT(1)) || ' | Registros: ' || 27 || '; Na base de dados: ' || COUNT(1) STATUS, 'ENDERECOPARC' TABELA FROM ENDERECOPARC WHERE NRORG = 5862 AND NRENDERECOPARC BETWEEN 11 AND 37 UNION ALL </v>
      </c>
      <c r="HC2" s="76" t="str">
        <f t="shared" ca="1" si="5"/>
        <v xml:space="preserve">SELECT '--Diferenca: ' || (81 - COUNT(1)) || ' | Registros: ' || 81 || '; Na base de dados: ' || COUNT(1) STATUS, 'GPE_VINCULOH' TABELA FROM GPE_VINCULOH WHERE NRORG = 5862 AND NRVINCULOH BETWEEN 1 AND 81 UNION ALL </v>
      </c>
      <c r="HD2" s="76" t="str">
        <f ca="1">"SELECT '--Diferenca: ' || (" &amp; HD8 &amp;" - COUNT(1)) || ' | Registros: ' || " &amp; HD8 &amp;" || '; Na base de dados: ' || COUNT(1) STATUS, '"&amp;HD4&amp;"' TABELA FROM "&amp;HD4&amp;" WHERE NRORG = "&amp;HD9&amp;" AND "&amp;HD5&amp;" BETWEEN "&amp;HD6&amp;" AND "&amp;HD7&amp;";"</f>
        <v>SELECT '--Diferenca: ' || (63 - COUNT(1)) || ' | Registros: ' || 63 || '; Na base de dados: ' || COUNT(1) STATUS, 'GPE_MOVIMENTACAO' TABELA FROM GPE_MOVIMENTACAO WHERE NRORG = 5862 AND NRMOVIMENTACAO BETWEEN 1 AND 63;</v>
      </c>
      <c r="HF2" s="76" t="str">
        <f t="shared" ref="HF2:HO2" ca="1" si="6">"MERGE INTO NOVOCODIGO NC
  USING ( SELECT LPAD( MAX( "&amp;HF5&amp;" ) + 1, 20, '0' ) NRSEQUENCIAL
          FROM "&amp;HF4&amp;"
          WHERE NRORG = "&amp;HF9&amp;"
        ) TABELA
  ON (     NC.NRORG      = "&amp;HF9&amp;"
       AND NC.CDCONTADOR = '"&amp;HF4&amp;"' )
  WHEN     MATCHED THEN
    UPDATE SET NC.NRSEQUENCIAL = TABELA.NRSEQUENCIAL
  WHEN NOT MATCHED THEN
    INSERT ( CDCONTADOR, NRSEQUENCIAL, NRORG, DTINCLUSAO )
    VALUES ( '"&amp;HF4&amp;"', TABELA.NRSEQUENCIAL, "&amp;HF9&amp;", SYSDATE );"</f>
        <v>MERGE INTO NOVOCODIGO NC
  USING ( SELECT LPAD( MAX( NRPARCNEGOCIO ) + 1, 20, '0' ) NRSEQUENCIAL
          FROM PARCNEGOCIO
          WHERE NRORG = 5862
        ) TABELA
  ON (     NC.NRORG      = 5862
       AND NC.CDCONTADOR = 'PARCNEGOCIO' )
  WHEN     MATCHED THEN
    UPDATE SET NC.NRSEQUENCIAL = TABELA.NRSEQUENCIAL
  WHEN NOT MATCHED THEN
    INSERT ( CDCONTADOR, NRSEQUENCIAL, NRORG, DTINCLUSAO )
    VALUES ( 'PARCNEGOCIO', TABELA.NRSEQUENCIAL, 5862, SYSDATE );</v>
      </c>
      <c r="HG2" s="76" t="str">
        <f t="shared" ca="1" si="6"/>
        <v>MERGE INTO NOVOCODIGO NC
  USING ( SELECT LPAD( MAX( NRPESSOA ) + 1, 20, '0' ) NRSEQUENCIAL
          FROM GPE_PESSOA
          WHERE NRORG = 5862
        ) TABELA
  ON (     NC.NRORG      = 5862
       AND NC.CDCONTADOR = 'GPE_PESSOA' )
  WHEN     MATCHED THEN
    UPDATE SET NC.NRSEQUENCIAL = TABELA.NRSEQUENCIAL
  WHEN NOT MATCHED THEN
    INSERT ( CDCONTADOR, NRSEQUENCIAL, NRORG, DTINCLUSAO )
    VALUES ( 'GPE_PESSOA', TABELA.NRSEQUENCIAL, 5862, SYSDATE );</v>
      </c>
      <c r="HH2" s="76" t="str">
        <f t="shared" ca="1" si="6"/>
        <v>MERGE INTO NOVOCODIGO NC
  USING ( SELECT LPAD( MAX( NRPESSOAH ) + 1, 20, '0' ) NRSEQUENCIAL
          FROM GPE_PESSOAH
          WHERE NRORG = 5862
        ) TABELA
  ON (     NC.NRORG      = 5862
       AND NC.CDCONTADOR = 'GPE_PESSOAH' )
  WHEN     MATCHED THEN
    UPDATE SET NC.NRSEQUENCIAL = TABELA.NRSEQUENCIAL
  WHEN NOT MATCHED THEN
    INSERT ( CDCONTADOR, NRSEQUENCIAL, NRORG, DTINCLUSAO )
    VALUES ( 'GPE_PESSOAH', TABELA.NRSEQUENCIAL, 5862, SYSDATE );</v>
      </c>
      <c r="HI2" s="76" t="str">
        <f t="shared" ca="1" si="6"/>
        <v>MERGE INTO NOVOCODIGO NC
  USING ( SELECT LPAD( MAX( NRVINCULOM ) + 1, 20, '0' ) NRSEQUENCIAL
          FROM GPE_VINCULOM
          WHERE NRORG = 5862
        ) TABELA
  ON (     NC.NRORG      = 5862
       AND NC.CDCONTADOR = 'GPE_VINCULOM' )
  WHEN     MATCHED THEN
    UPDATE SET NC.NRSEQUENCIAL = TABELA.NRSEQUENCIAL
  WHEN NOT MATCHED THEN
    INSERT ( CDCONTADOR, NRSEQUENCIAL, NRORG, DTINCLUSAO )
    VALUES ( 'GPE_VINCULOM', TABELA.NRSEQUENCIAL, 5862, SYSDATE );</v>
      </c>
      <c r="HJ2" s="76" t="str">
        <f t="shared" ca="1" si="6"/>
        <v>MERGE INTO NOVOCODIGO NC
  USING ( SELECT LPAD( MAX( NRALTESITUFUNC ) + 1, 20, '0' ) NRSEQUENCIAL
          FROM GPE_ALTESITUFUNC
          WHERE NRORG = 5862
        ) TABELA
  ON (     NC.NRORG      = 5862
       AND NC.CDCONTADOR = 'GPE_ALTESITUFUNC' )
  WHEN     MATCHED THEN
    UPDATE SET NC.NRSEQUENCIAL = TABELA.NRSEQUENCIAL
  WHEN NOT MATCHED THEN
    INSERT ( CDCONTADOR, NRSEQUENCIAL, NRORG, DTINCLUSAO )
    VALUES ( 'GPE_ALTESITUFUNC', TABELA.NRSEQUENCIAL, 5862, SYSDATE );</v>
      </c>
      <c r="HK2" s="76" t="str">
        <f t="shared" ca="1" si="6"/>
        <v>MERGE INTO NOVOCODIGO NC
  USING ( SELECT LPAD( MAX( NRCONTCORRPARC ) + 1, 20, '0' ) NRSEQUENCIAL
          FROM CONTCORRPARC
          WHERE NRORG = 5862
        ) TABELA
  ON (     NC.NRORG      = 5862
       AND NC.CDCONTADOR = 'CONTCORRPARC' )
  WHEN     MATCHED THEN
    UPDATE SET NC.NRSEQUENCIAL = TABELA.NRSEQUENCIAL
  WHEN NOT MATCHED THEN
    INSERT ( CDCONTADOR, NRSEQUENCIAL, NRORG, DTINCLUSAO )
    VALUES ( 'CONTCORRPARC', TABELA.NRSEQUENCIAL, 5862, SYSDATE );</v>
      </c>
      <c r="HL2" s="76" t="str">
        <f t="shared" ca="1" si="6"/>
        <v>MERGE INTO NOVOCODIGO NC
  USING ( SELECT LPAD( MAX( NRCOMUNICAPARC ) + 1, 20, '0' ) NRSEQUENCIAL
          FROM COMUNICAPARC
          WHERE NRORG = 5862
        ) TABELA
  ON (     NC.NRORG      = 5862
       AND NC.CDCONTADOR = 'COMUNICAPARC' )
  WHEN     MATCHED THEN
    UPDATE SET NC.NRSEQUENCIAL = TABELA.NRSEQUENCIAL
  WHEN NOT MATCHED THEN
    INSERT ( CDCONTADOR, NRSEQUENCIAL, NRORG, DTINCLUSAO )
    VALUES ( 'COMUNICAPARC', TABELA.NRSEQUENCIAL, 5862, SYSDATE );</v>
      </c>
      <c r="HM2" s="76" t="str">
        <f t="shared" ca="1" si="6"/>
        <v>MERGE INTO NOVOCODIGO NC
  USING ( SELECT LPAD( MAX( NRENDERECOPARC ) + 1, 20, '0' ) NRSEQUENCIAL
          FROM ENDERECOPARC
          WHERE NRORG = 5862
        ) TABELA
  ON (     NC.NRORG      = 5862
       AND NC.CDCONTADOR = 'ENDERECOPARC' )
  WHEN     MATCHED THEN
    UPDATE SET NC.NRSEQUENCIAL = TABELA.NRSEQUENCIAL
  WHEN NOT MATCHED THEN
    INSERT ( CDCONTADOR, NRSEQUENCIAL, NRORG, DTINCLUSAO )
    VALUES ( 'ENDERECOPARC', TABELA.NRSEQUENCIAL, 5862, SYSDATE );</v>
      </c>
      <c r="HN2" s="76" t="str">
        <f t="shared" ca="1" si="6"/>
        <v>MERGE INTO NOVOCODIGO NC
  USING ( SELECT LPAD( MAX( NRVINCULOH ) + 1, 20, '0' ) NRSEQUENCIAL
          FROM GPE_VINCULOH
          WHERE NRORG = 5862
        ) TABELA
  ON (     NC.NRORG      = 5862
       AND NC.CDCONTADOR = 'GPE_VINCULOH' )
  WHEN     MATCHED THEN
    UPDATE SET NC.NRSEQUENCIAL = TABELA.NRSEQUENCIAL
  WHEN NOT MATCHED THEN
    INSERT ( CDCONTADOR, NRSEQUENCIAL, NRORG, DTINCLUSAO )
    VALUES ( 'GPE_VINCULOH', TABELA.NRSEQUENCIAL, 5862, SYSDATE );</v>
      </c>
      <c r="HO2" s="76" t="str">
        <f t="shared" ca="1" si="6"/>
        <v>MERGE INTO NOVOCODIGO NC
  USING ( SELECT LPAD( MAX( NRMOVIMENTACAO ) + 1, 20, '0' ) NRSEQUENCIAL
          FROM GPE_MOVIMENTACAO
          WHERE NRORG = 5862
        ) TABELA
  ON (     NC.NRORG      = 5862
       AND NC.CDCONTADOR = 'GPE_MOVIMENTACAO' )
  WHEN     MATCHED THEN
    UPDATE SET NC.NRSEQUENCIAL = TABELA.NRSEQUENCIAL
  WHEN NOT MATCHED THEN
    INSERT ( CDCONTADOR, NRSEQUENCIAL, NRORG, DTINCLUSAO )
    VALUES ( 'GPE_MOVIMENTACAO', TABELA.NRSEQUENCIAL, 5862, SYSDATE );</v>
      </c>
      <c r="HP2" s="76" t="s">
        <v>209</v>
      </c>
    </row>
    <row r="3" spans="1:224" x14ac:dyDescent="0.3">
      <c r="A3" s="16" t="s">
        <v>388</v>
      </c>
      <c r="B3"/>
      <c r="C3" s="16" t="s">
        <v>389</v>
      </c>
      <c r="D3">
        <f>IF(B3="",1,13)</f>
        <v>1</v>
      </c>
      <c r="E3" s="16" t="s">
        <v>390</v>
      </c>
      <c r="F3" s="16" t="s">
        <v>391</v>
      </c>
      <c r="G3" s="16" t="s">
        <v>323</v>
      </c>
      <c r="H3" s="16" t="s">
        <v>392</v>
      </c>
      <c r="I3" s="16" t="s">
        <v>224</v>
      </c>
      <c r="J3" s="16" t="s">
        <v>393</v>
      </c>
      <c r="K3" s="16" t="s">
        <v>394</v>
      </c>
      <c r="L3" s="16" t="s">
        <v>395</v>
      </c>
      <c r="M3" s="16" t="s">
        <v>396</v>
      </c>
      <c r="N3" s="16" t="s">
        <v>397</v>
      </c>
      <c r="O3" s="16" t="s">
        <v>398</v>
      </c>
      <c r="Q3" s="16" t="s">
        <v>399</v>
      </c>
      <c r="R3" s="16" t="s">
        <v>324</v>
      </c>
      <c r="S3" s="16" t="s">
        <v>396</v>
      </c>
      <c r="T3" s="16" t="s">
        <v>400</v>
      </c>
      <c r="U3" s="16" t="s">
        <v>401</v>
      </c>
      <c r="V3" s="16" t="s">
        <v>402</v>
      </c>
      <c r="W3" s="16" t="s">
        <v>342</v>
      </c>
      <c r="AC3" s="16" t="s">
        <v>273</v>
      </c>
      <c r="AD3" s="16" t="s">
        <v>403</v>
      </c>
      <c r="AE3" s="16" t="s">
        <v>396</v>
      </c>
      <c r="AF3" s="16" t="s">
        <v>404</v>
      </c>
      <c r="AG3" s="16" t="s">
        <v>405</v>
      </c>
      <c r="AH3" s="16" t="s">
        <v>218</v>
      </c>
      <c r="AI3" s="16" t="s">
        <v>303</v>
      </c>
      <c r="AJ3" s="16" t="s">
        <v>406</v>
      </c>
      <c r="AK3" s="16" t="s">
        <v>407</v>
      </c>
      <c r="AL3" s="16" t="s">
        <v>408</v>
      </c>
      <c r="AM3" s="16" t="s">
        <v>271</v>
      </c>
      <c r="AN3" s="16" t="s">
        <v>270</v>
      </c>
      <c r="AO3" s="16" t="s">
        <v>219</v>
      </c>
      <c r="AP3" s="98" t="s">
        <v>2567</v>
      </c>
      <c r="AQ3" s="16" t="s">
        <v>410</v>
      </c>
      <c r="AR3" s="16" t="s">
        <v>1747</v>
      </c>
      <c r="AS3" s="16" t="s">
        <v>396</v>
      </c>
      <c r="AT3" s="16" t="s">
        <v>404</v>
      </c>
      <c r="AU3" s="16" t="s">
        <v>411</v>
      </c>
      <c r="AV3" s="16" t="s">
        <v>412</v>
      </c>
      <c r="AW3" s="16" t="s">
        <v>413</v>
      </c>
      <c r="AX3" s="16" t="s">
        <v>414</v>
      </c>
      <c r="AZ3" s="16" t="s">
        <v>415</v>
      </c>
      <c r="BA3" s="16" t="s">
        <v>270</v>
      </c>
      <c r="BB3" t="s">
        <v>1746</v>
      </c>
      <c r="BC3" s="16" t="s">
        <v>388</v>
      </c>
      <c r="BF3" s="16" t="s">
        <v>416</v>
      </c>
      <c r="BG3" s="16" t="s">
        <v>304</v>
      </c>
      <c r="BJ3" s="16" t="s">
        <v>417</v>
      </c>
      <c r="BM3" s="16" t="s">
        <v>418</v>
      </c>
      <c r="BN3" s="16" t="s">
        <v>270</v>
      </c>
      <c r="BO3" s="16" t="s">
        <v>270</v>
      </c>
      <c r="BP3" s="16" t="s">
        <v>388</v>
      </c>
      <c r="BQ3" s="16" t="s">
        <v>419</v>
      </c>
      <c r="BR3" s="16" t="s">
        <v>419</v>
      </c>
      <c r="BS3" s="16" t="s">
        <v>270</v>
      </c>
      <c r="BT3" s="16" t="s">
        <v>314</v>
      </c>
      <c r="BU3" s="16" t="s">
        <v>420</v>
      </c>
      <c r="BV3" s="16" t="s">
        <v>334</v>
      </c>
      <c r="BW3" s="16" t="s">
        <v>419</v>
      </c>
      <c r="BX3" s="16" t="s">
        <v>421</v>
      </c>
      <c r="BZ3" s="16" t="s">
        <v>422</v>
      </c>
      <c r="CC3" s="16" t="s">
        <v>270</v>
      </c>
      <c r="CD3" s="16" t="s">
        <v>423</v>
      </c>
      <c r="CE3" s="16" t="s">
        <v>424</v>
      </c>
      <c r="CF3" s="16" t="s">
        <v>425</v>
      </c>
      <c r="CG3" s="16" t="s">
        <v>426</v>
      </c>
      <c r="CH3" s="16" t="s">
        <v>427</v>
      </c>
      <c r="CI3" s="16" t="s">
        <v>428</v>
      </c>
      <c r="CJ3" s="16" t="s">
        <v>428</v>
      </c>
      <c r="CK3" s="16" t="s">
        <v>429</v>
      </c>
      <c r="CM3" s="80" t="s">
        <v>220</v>
      </c>
      <c r="CN3" s="88" t="s">
        <v>221</v>
      </c>
      <c r="CO3" s="88" t="s">
        <v>221</v>
      </c>
      <c r="CP3" s="85">
        <f t="shared" ref="CP3:CS7" si="7">CP2+1</f>
        <v>204</v>
      </c>
      <c r="CQ3" s="85">
        <f t="shared" si="7"/>
        <v>1</v>
      </c>
      <c r="CR3" s="85">
        <f t="shared" si="7"/>
        <v>1</v>
      </c>
      <c r="CS3" s="85">
        <f t="shared" si="7"/>
        <v>1</v>
      </c>
      <c r="CT3" s="85">
        <f>CT2</f>
        <v>1</v>
      </c>
      <c r="CU3" s="65">
        <f>CU2</f>
        <v>2</v>
      </c>
      <c r="CV3" s="65">
        <f>CV2</f>
        <v>3</v>
      </c>
      <c r="CW3" s="85">
        <f t="shared" ref="CW3:DB7" si="8">CW2+1</f>
        <v>1</v>
      </c>
      <c r="CX3" s="85">
        <f t="shared" ref="CX3:CX10" si="9">IF( COUNTA( AJ3:AL3 ) &lt;&gt; 3, CX2, CX2 + 1 )</f>
        <v>1</v>
      </c>
      <c r="CY3" s="85">
        <f t="shared" ref="CY3:CY10" si="10">IF( TRIM( CD3 ) = "", CY2, CY2 + 1 )</f>
        <v>1</v>
      </c>
      <c r="CZ3" s="85">
        <f>IF( TRIM( CK3 ) = "", CZ2, CZ2 + 1 )</f>
        <v>3</v>
      </c>
      <c r="DA3" s="85">
        <f>IF( TRIM( CE3 ) = "", DA2, DA2 + 1 )</f>
        <v>30</v>
      </c>
      <c r="DB3" s="85">
        <f t="shared" si="8"/>
        <v>11</v>
      </c>
      <c r="DC3" s="85">
        <f ca="1">IF( OR( AP3 = "", FT3 &lt;&gt; "existe" ), "", LARGE( DC$2:DC2, 1 ) + 1 )</f>
        <v>1</v>
      </c>
      <c r="DD3" s="66">
        <f ca="1">IF( OR( AQ3 = "", FX3 &lt;&gt; "existe" ), "", LARGE( DD$2:DD2, 1 ) + 1 )</f>
        <v>28</v>
      </c>
      <c r="DE3" s="66">
        <f ca="1">IF( OR( BU3 = "", GB3 &lt;&gt; "existe" ), "", LARGE( DE$2:DE2, 1 ) + 1 )</f>
        <v>55</v>
      </c>
      <c r="DF3" s="67" t="str">
        <f t="shared" ref="DF3:DF10" si="11">TRIM(UPPER(G3))</f>
        <v>NUNCA</v>
      </c>
      <c r="DG3" s="67" t="str" cm="1">
        <f t="array" ref="DG3">UPPER( MIG_REMOVE.ESPECIAL(AF3) )</f>
        <v>BELEM</v>
      </c>
      <c r="DH3" s="67">
        <f t="shared" ref="DH3:DH20" si="12">IF(TRIM(AN3) = "", "", TRIM(AN3)*1)</f>
        <v>1</v>
      </c>
      <c r="DI3" s="67" t="str">
        <f t="shared" ref="DI3:DI19" si="13">UPPER( MID( SUBSTITUTE( SUBSTITUTE( SUBSTITUTE(AU3, "Ç", "C"), "Ã", "A"), "Á", "A"), 1, 4) )</f>
        <v>R</v>
      </c>
      <c r="DJ3" s="67" t="str">
        <f t="shared" ref="DJ3:DJ10" si="14">TRIM(SUBSTITUTE(SUBSTITUTE(AV3,"'",""),"&amp;",""))</f>
        <v>01 / CONJUNTO COAB GLEBA 01</v>
      </c>
      <c r="DK3" s="67" t="str">
        <f t="shared" ref="DK3:DM10" si="15">TRIM(SUBSTITUTE(SUBSTITUTE(AX3,"'",""),"&amp;",""))</f>
        <v>MARAMBAIA</v>
      </c>
      <c r="DL3" s="67" t="str">
        <f t="shared" si="15"/>
        <v/>
      </c>
      <c r="DM3" s="67" t="str">
        <f t="shared" si="15"/>
        <v>66623250</v>
      </c>
      <c r="DN3" s="70" t="str">
        <f t="shared" ref="DN3:DN19" si="16">BF3</f>
        <v>0048-2</v>
      </c>
      <c r="DO3" s="70" t="str">
        <f t="shared" ref="DO3:DO19" si="17">TRIM(BQ3)</f>
        <v>0</v>
      </c>
      <c r="DP3" s="70" t="str">
        <f t="shared" ref="DP3:DP19" si="18">TRIM(BR3)</f>
        <v>0</v>
      </c>
      <c r="DQ3" s="64" t="str">
        <f t="shared" ref="DQ3:DQ19" si="19">IFERROR( SUBSTITUTE( SUBSTITUTE( SUBSTITUTE( SUBSTITUTE( AB3, ".", "" ), ",", "" ), "-", "" ), " ", "" ) * 1, "" )</f>
        <v/>
      </c>
      <c r="DR3" s="64" t="str">
        <f t="shared" ref="DR3:DR19" si="20">TRIM(SUBSTITUTE(SUBSTITUTE(Q3,"'",""),"+",""))</f>
        <v>5378686</v>
      </c>
      <c r="DS3" s="64" t="str">
        <f t="shared" ref="DS3:DS19" si="21">TEXT(AJ3,"000")</f>
        <v>237</v>
      </c>
      <c r="DT3" s="64" t="str">
        <f t="shared" ref="DT3:DT19" si="22">UPPER( MID( SUBSTITUTE( TRIM( AK3 ), "-", "" ), 1, 5 ) )</f>
        <v>2156</v>
      </c>
      <c r="DU3" s="64" t="str">
        <f t="shared" ref="DU3:DU19" si="23" xml:space="preserve"> UPPER( SUBSTITUTE( TRIM( AL3 ), "-", "" ) )</f>
        <v>673315</v>
      </c>
      <c r="DV3" s="60" t="str">
        <f t="shared" ref="DV3:DV19" si="24">TEXT(AR3,"0000")</f>
        <v>0055</v>
      </c>
      <c r="DW3" s="67" t="str">
        <f t="shared" ref="DW3:DW19" si="25">UPPER( TRIM(SUBSTITUTE(SUBSTITUTE(AT3,"'",""),"&amp;","")) )</f>
        <v>BELEM</v>
      </c>
      <c r="DX3" s="60" t="str" cm="1">
        <f t="array" ref="DX3">TEXT( MIG_NORMA.NÚMERICO( J3 ), "00000000000" )</f>
        <v>93313764215</v>
      </c>
      <c r="DY3" s="60" t="str" cm="1">
        <f t="array" ref="DY3">TEXT( MIG_NORMA.NÚMERICO( K3 ), "0000000" )</f>
        <v>1455296</v>
      </c>
      <c r="DZ3" s="64" t="str">
        <f t="shared" ref="DZ3:DZ19" si="26">IF(TRIM(A3)="","",TEXT(TRIM(A3),"DD/MM/AAAA"))</f>
        <v>23/02/2026</v>
      </c>
      <c r="EA3" s="64" t="str">
        <f t="shared" ref="EA3:EA19" si="27">IF(TRIM(B3)="","",TEXT(TRIM(B3),"DD/MM/AAAA"))</f>
        <v/>
      </c>
      <c r="EB3" s="64" t="str">
        <f t="shared" ref="EB3:EB19" si="28">IF(TRIM(AG3)="","",TEXT(TRIM(AG3),"DD/MM/AAAA"))</f>
        <v>18/11/1986</v>
      </c>
      <c r="EC3" s="64" t="str">
        <f t="shared" ref="EC3:EC19" si="29">IF(TRIM(N3)="","",TEXT(TRIM(N3),"DD/MM/AAAA"))</f>
        <v>05/02/2009</v>
      </c>
      <c r="ED3" s="64" t="str">
        <f t="shared" ref="ED3:ED19" si="30">IF(TRIM(P3)="","",TEXT(TRIM(P3),"DD/MM/AAAA"))</f>
        <v/>
      </c>
      <c r="EE3" s="64" t="str">
        <f t="shared" ref="EE3:EE19" si="31">IF(TRIM(Y3)="","",TEXT(TRIM(Y3),"DD/MM/AAAA"))</f>
        <v/>
      </c>
      <c r="EF3" s="64" t="str">
        <f t="shared" ref="EF3:EF19" si="32">IF(TRIM(T3)="","",TEXT(TRIM(T3),"DD/MM/AAAA"))</f>
        <v>13/07/2011</v>
      </c>
      <c r="EG3" s="64" t="str">
        <f t="shared" ref="EG3:EG19" si="33">IF(TRIM(BC3)="","",TEXT(TRIM(BC3),"DD/MM/AAAA"))</f>
        <v>23/02/2026</v>
      </c>
      <c r="EH3" s="64" t="str">
        <f t="shared" ref="EH3:EH19" si="34">IF(TRIM(BD3)="","",TEXT(TRIM(BD3),"DD/MM/AAAA"))</f>
        <v/>
      </c>
      <c r="EI3" s="68" t="str">
        <f t="shared" ref="EI3:EI19" si="35">IF(TRIM(BE3)="","",TEXT(TRIM(BE3),"DD/MM/AAAA"))</f>
        <v/>
      </c>
      <c r="EJ3" s="64" t="str">
        <f t="shared" ref="EJ3:EJ19" si="36">IF(TRIM(BX3)="","",TEXT(TRIM(BX3),"DD/MM/AAAA"))</f>
        <v>23/02/2027</v>
      </c>
      <c r="EK3" s="64" t="str">
        <f t="shared" ref="EK3:EK19" si="37">IF(TRIM(BY3)="","",TEXT(TRIM(BY3),"DD/MM/AAAA"))</f>
        <v/>
      </c>
      <c r="EL3" s="64" t="str">
        <f t="shared" ref="EL3:EL19" si="38">IF(TRIM(BK3)="","",TEXT(TRIM(BK3),"DD/MM/AAAA"))</f>
        <v/>
      </c>
      <c r="EM3" s="64" t="str">
        <f t="shared" ref="EM3:EM19" si="39">IF(TRIM(BP3)="","",TEXT(TRIM(BP3),"DD/MM/AAAA"))</f>
        <v>23/02/2026</v>
      </c>
      <c r="EN3" s="64" t="str">
        <f>IF(EA3="",DZ3,EA3)</f>
        <v>23/02/2026</v>
      </c>
      <c r="EO3" s="64" t="str">
        <f t="shared" ref="EO3:EO19" si="40">IF(TRIM(BM3)="","",TEXT(TRIM(BM3),"DD/MM/AAAA"))</f>
        <v>08/04/2026</v>
      </c>
      <c r="EP3" s="64" t="str">
        <f t="shared" ref="EP3:EP19" si="41">MID(TRIM(AA3),1,20)</f>
        <v/>
      </c>
      <c r="EQ3" s="63" t="str">
        <f t="shared" ref="EQ3:EQ19" si="42">SUBSTITUTE(SUBSTITUTE(SUBSTITUTE(SUBSTITUTE(SUBSTITUTE(SUBSTITUTE(SUBSTITUTE($EQ$2,"@NRORG@",$CM$2),$CP$1,CP3),$H$1,H3),$EB$1,EB3),$J$1,J3),$CP$1,CP3),$DX$1,DX3)</f>
        <v>INSERT INTO PARCNEGOCIO ( NRPARCNEGOCIO, NRORG, NMPRINCIPALPARC, NMSECUNDARIPARC, DTNASCIFUNDPARC, NRINSCRICAOPARC, IDATIVO, DTINCLUSAO, NRORGINCLUSAO, CDOPERINCLUSAO, CDTIPOPARCPRINCIPAL, CDTIPOINSCRICAO, IDPESSOAFISICA, IDINSTITUICAO, IDPARCFUNDIDO ) VALUES ( 204, 5862, 'DENISE DA CUNHA NASCIMENTO', 'DENISE DA CUNHA NASCIMENTO', '18/11/1986', '93313764215', 'S', SYSDATE, 5862, '000000099991', 'PESSOA', 'CPF', 'S', 'N', 'N' );</v>
      </c>
      <c r="ER3" s="63" t="str">
        <f t="shared" ref="ER3:ER19" si="43">SUBSTITUTE(SUBSTITUTE(SUBSTITUTE($ER$2,"@NRORG@",$CM$2),$CQ$1,CQ3),$CP$1,CP3)</f>
        <v>INSERT INTO GPE_PESSOA ( NRPESSOA, NRORG, NRPARCNEGOCIO, DTINCLUSAO, NRORGINCLUSAO, CDOPERINCLUSAO ) VALUES ( 1, 5862, 204, SYSDATE, 5862, '000000099991' );</v>
      </c>
      <c r="ES3" s="63" t="str">
        <f t="shared" ref="ES3:ES29" si="44" xml:space="preserv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SUBSTITUTE( $ES$2, "@NRORG@", $CM$2 ), "@NRPESSOAH@", $CR3 ), "@NRPESSOA@", $CQ3 ), "@NOMEVINC@", $H3 ), "@CDESTACIVIL@", $I3 ), "@CPF@", $DX3 ), "@CTPS@", $DY3 ), "@SERIECTPS@", $L3 ), "@UFCTPS@", $M3 ), "@DTCTPS@", $EC3 ), "@PIS@", $O3 ), "@DTPIS@", $ED3 ), "@TITUELEI@", $U3 ), "@SECAOELEI@", $V3 ), "@ZONAELEI@", $W3 ), "@CNH@", $X3 ), "@DTVALCNH@", $EE3 ), "@CATCNH@", $Z3 ), "@NRCATMILITARPE@", $DQ3 ), "@NRCERTRESE@", $EP3 ), "@NRRACA@", $AC3 ), "@CDPAIS@", $AD3 ), "@SGESTADO@", $AE3 ), "@NMMUNICIPIO@", $DG3 ), "@DTNASCI@", $EB3 ), "@IDSEXO@", $AH3 ), "@NRRG@", $DR3 ), "@CDEXRG@", SUBSTITUTE($R3,"'","") ), "@UFRG@", $S3 ), "@DTEXRG@", $EF3 ), "@NRNACIONALID@", $DH3 ), "@NRGRAUINSTR@", $BT3 ),"@NRCONDFISPES@", $CC3 )</f>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 1, 5862, '01/01/2000', 'DENISE DA CUNHA NASCIMENTO', 'S', '93313764215', '1455296', '0030', 'PA', '05/02/2009', '13666196429', '', '052779011376', '28', '73', '', '', '', (SELECT NRCATMILITARPE FROM GPE_CATMILITARPE WHERE NRCATMILITARPE = ''), '', SYSDATE, 5862, '000000099991', '5', '1058', 'PA', (SELECT MAX(CDMUNICIPIO) FROM MUNICIPIO WHERE NMMUNICIPIO = 'BELEM'), '18/11/1986', 'F', '5378686', 'SSP', 'PA', '13/07/2011', '1', '9' , '1');</v>
      </c>
      <c r="ET3" s="63" t="str">
        <f t="shared" ref="ET3:ET19" si="45">SUBSTITUTE(SUBSTITUTE(SUBSTITUTE(SUBSTITUTE(SUBSTITUTE(SUBSTITUTE(SUBSTITUTE(SUBSTITUTE(SUBSTITUTE(SUBSTITUTE(SUBSTITUTE(SUBSTITUTE(SUBSTITUTE(SUBSTITUTE(SUBSTITUTE(SUBSTITUTE(SUBSTITUTE(SUBSTITUTE(SUBSTITUTE(SUBSTITUTE(SUBSTITUTE($ET$2,"@NRORG@",$CM$2),$CS$1,CS3),$CQ$1,CQ3),$C$1,C3),$DZ$1,DZ3),$EA$1,EA3),$BA$1,BA3),$BN$1,BN3),$BO$1,BO3),$BB$1,BB3),$EG$1,EG3),$EH$1,EH3),$EI$1,EI3),$H$1,H3),$BI$1,BI3),$BJ$1,BJ3),$EL$1,EL3),$BV$1,BV3),$BW$1,BW3),$EJ$1,EJ3),$EK$1,EK3)</f>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 1, 5862, '290000-0-01643', '23/02/2026', '', SYSDATE, 5862, '000000099991', '1', '1', '1', '', '23/02/2026', '', '', 'DENISE DA CUNHA NASCIMENTO', '', 'COREN-PA 362.838  - COREN-PA 035.838 ( ESPECIALISTA) POS Graduada  EM Enfermagem  Obstetrica e ginecologica- 2017INTEGRACAO - 12/02/14Adevertencia Verbal: Descumprimento as normas internas da enfermagem - 14/05/2014Certidao Negativa-2016', '', '45', '0', '23/02/2027', '');</v>
      </c>
      <c r="EU3" s="63" t="str">
        <f xml:space="preserve"> SUBSTITUTE( SUBSTITUTE( SUBSTITUTE( SUBSTITUTE( SUBSTITUTE( SUBSTITUTE( SUBSTITUTE( SUBSTITUTE( SUBSTITUTE( SUBSTITUTE( SUBSTITUTE( SUBSTITUTE( SUBSTITUTE( SUBSTITUTE( SUBSTITUTE( SUBSTITUTE( SUBSTITUTE( SUBSTITUTE( SUBSTITUTE( SUBSTITUTE( SUBSTITUTE( $EU$2, "@NRORG@", $CM$2 ), "@NRVINCULOH@", $CT3 ), "@NRVINCULOM@", $CS3 ), "@NRSITUFUNCM@", $D3 ), "@OCUPACAO@", $DN3 ), "@IDCONTRIBUISIND@", $DF3 ), "@NRDEPENDIR@", $DO3 ), "@NRDEPENDSFAM@", $DP3 ), "@DTBASEFERIAS@", $EM3 ), "@IDREMUNERACAO@", $AI3 ), "@IDTPPAGAMENTO@", $AO3 ), "@ESTRUTLEGAL@", $AP3 ), "@ESTRUTGEREN@", $AQ3 ), "@ESTRUTSIND@", $BU3 ), "@NRTPMODALIDSAL@", $BS3 ), "@IDMULTVINC@", $BG3 ), "@CDCONTRIBINDIVIDUAL@", $BH3 ), "@DTFIMCONTRDETERMIN@", $EO3 ), "@NRESCALATRABM@", $E3 ), "@CORINGASIND@", $GF$8 ), "@CORINGAGEREN@", $GF$6 )</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(1, 1, '1', (SELECT MAX(NROCUPACAOM) FROM GPE_OCUPACAOH WHERE NRORG = 5862 AND CDINTEGRACAO = '0048-2'), (SELECT MAX(NROCUPACAOM) FROM GPE_OCUPACAOH WHERE NRORG = 5862 AND CDINTEGRACAO = '0048-2'), 5862, '01/01/2000', 'NUNCA', SYSDATE, 5862, '000000099991', '0', '0', '23/02/2026', 'SAL1', 'MENSAL', (SELECT MAX(NRESTRUTURAM) FROM ESTRUTURAM WHERE NRORG = 5862 AND CDINTESTRUTURA = 'est_MATSAUDE'), NVL((SELECT MAX(NRESTRUTURAM) FROM ESTRUTURAM WHERE NRORG = 5862 AND CDINTESTRUTURA = 'dep_290000'), 999992), NVL((SELECT MAX(NRESTRUTURAM) FROM ESTRUTURAM WHERE NRORG = 5862 AND CDINTESTRUTURA = 'sin_02'), 999993), '1', 'UNICO', '', 2, '08/04/2026', 'N', (SELECT MAX(NRESCALATRABM) FROM GPE_ESCALATRABH WHERE NRORG = 5862 AND NRESCALATRABM = '000001') );</v>
      </c>
      <c r="EV3" s="63" t="str">
        <f t="shared" ref="EV3:EV19" si="46">SUBSTITUTE(SUBSTITUTE(SUBSTITUTE(SUBSTITUTE(SUBSTITUTE($EV$2,"@NRORG@",$CM$2),$CT$1,CT3),$CU$1,CU3),$CV$1,CV3),$CN$1,$CN$2)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v>
      </c>
      <c r="EW3" s="63" t="str">
        <f t="shared" ref="EW3:EW19" si="47">SUBSTITUTE(SUBSTITUTE(SUBSTITUTE(SUBSTITUTE(SUBSTITUTE($EW$2,"@NRORG@",$CM$2),$CT$1,CT3),$CV$1,CV3),$CV$1,CV3),$CO$1,$CO$2)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v>
      </c>
      <c r="EX3" s="63" t="str">
        <f>SUBSTITUTE(SUBSTITUTE(SUBSTITUTE(SUBSTITUTE(SUBSTITUTE(SUBSTITUTE($EX$2,"@NRORG@",$CM$2),$CW$1,CW3),$D$1,D3),$CS$1,CS3),$EN$1,EN3),$EA$1,EA3)</f>
        <v>INSERT INTO GPE_ALTESITUFUNC ( NRALTESITUFUNC, NRORG, NRSITUFUNCM, NRVINCULOM, DTINISITUFUNC, DTINCLUSAO, NRORGINCLUSAO, CDOPERINCLUSAO ) VALUES ( 1, 5862, (CASE WHEN '1' IS NOT NULL THEN '1' WHEN '' IS NULL THEN '1' ELSE '13' END), 1, '23/02/2026', SYSDATE, 5862, '000000099991' );</v>
      </c>
      <c r="EY3" s="63" t="str">
        <f t="shared" ref="EY3:EY19" si="48">IF(COUNTA(AJ3:AL3)&lt;&gt;3,"",SUBSTITUTE(SUBSTITUTE(SUBSTITUTE(SUBSTITUTE(SUBSTITUTE(SUBSTITUTE(SUBSTITUTE($EY$2,"@NRORG@",$CM$2),$CX$1,CX3),$CP$1,CP3),$DS$1,DS3),$DT$1,DT3),$DU$1,DU3),$AM$1,AM3))</f>
        <v>INSERT INTO CONTCORRPARC ( NRCONTCORRPARC, NRORG, NRPARCNEGOCIO, CDBANCO, CDAGENCIA, CDCONTCORR, NRTPCONTCORR, DTINCLUSAO, NRORGINCLUSAO, CDOPERINCLUSAO, IDATIVO ) VALUES ( 1, 5862, 204, '237', '2156', '673315', '2', SYSDATE, 5862, '000000099991', 'S' );</v>
      </c>
      <c r="EZ3" s="63" t="str">
        <f>IF(CD3="","",SUBSTITUTE(SUBSTITUTE(SUBSTITUTE(SUBSTITUTE(SUBSTITUTE($EZ$2,"@NRORG@",$CM$2),$CY$1,CY3),$CP$1,CP3),$CD$1,CD3),$CI$1,TRIM(CI3)))</f>
        <v>INSERT INTO COMUNICAPARC ( NRCOMUNICAPARC, NRPARCNEGOCIO, CDFORMACOMU, CDPREFIXCOMUPARC, CDCOMUNICAPARC, NRORG, IDATIVO, DTINCLUSAO, NRORGINCLUSAO, CDOPERINCLUSAO ) VALUES ( 1, 204, '01', '91', '32437120', 5862, 'S', SYSDATE, 5862, '000000099991' );</v>
      </c>
      <c r="FA3" s="63" t="str">
        <f>IF($CK3="","",SUBSTITUTE(SUBSTITUTE(SUBSTITUTE(SUBSTITUTE(SUBSTITUTE($FA$2,"@NRORG@",$CM$2),$CZ$1,$CZ3),$CP$1,$CP3),$CK$1,SUBSTITUTE(TRIM($CK3),"'","")),$CJ$1,TRIM(SUBSTITUTE($CJ3,"'",""))))</f>
        <v>INSERT INTO COMUNICAPARC ( NRCOMUNICAPARC, NRPARCNEGOCIO, CDFORMACOMU, CDPREFIXCOMUPARC, CDCOMUNICAPARC, NRORG, IDATIVO, DTINCLUSAO, NRORGINCLUSAO, CDOPERINCLUSAO ) VALUES ( 3, 204, '02', '91', '983215560', 5862, 'S', SYSDATE, 5862, '000000099991' );</v>
      </c>
      <c r="FB3" s="63" t="str">
        <f>IF(TRIM($CE3)="","",SUBSTITUTE(SUBSTITUTE(SUBSTITUTE(SUBSTITUTE($FB$2,"@NRORG@",$CM$2),$DA$1,$DA3),$CP$1,$CP3),$CE$1,SUBSTITUTE(TRIM($CE3),"'","")))</f>
        <v>INSERT INTO COMUNICAPARC ( NRCOMUNICAPARC, NRPARCNEGOCIO, CDFORMACOMU, CDCOMUNICAPARC, NRORG, IDATIVO, DTINCLUSAO, NRORGINCLUSAO, CDOPERINCLUSAO ) VALUES ( 30, 204, '05', 'nascimento.denisec@gmail.com', 5862, 'S', SYSDATE, 5862, '000000099991' );</v>
      </c>
      <c r="FC3" s="63" t="str">
        <f>IF(AV3="","",SUBSTITUTE(SUBSTITUTE(SUBSTITUTE(SUBSTITUTE(SUBSTITUTE(SUBSTITUTE(SUBSTITUTE(SUBSTITUTE(SUBSTITUTE(SUBSTITUTE(SUBSTITUTE(SUBSTITUTE($FC$2,"@NRORG@",$CM$2),$DB$1,DB3),$CP$1,CP3),$DV$1,DV3),$DW$1,DW3),$DI$1,DI3),$DK$1,DK3),$DL$1,DL3),$DM$1,DM3),$DJ$1,DJ3),$AW$1,SUBSTITUTE(TRIM(AW3),"'","")),$AS$1,AS3))</f>
        <v>INSERT INTO ENDERECOPARC ( NRENDERECOPARC, NRPARCNEGOCIO, CDTIPOENDERECO, NRORG, IDATIVO, DTINCLUSAO, NRORGINCLUSAO, CDOPERINCLUSAO, CDPAIS, CDMUNICIPIO, CDLOGRADOURO, NMBAIRROENDERECO, DSCOMPLEENDERECO, NRCEPENDERECO, DSENDERECO, NRIMOVELENDERECO, SGESTADO ) VALUES ( 11, 204, 'PRINCIPAL', 5862, 'S', SYSDATE, 5862, '000000099991', '0055', ( SELECT MAX(CDMUNICIPIO) FROM MUNICIPIO WHERE NMMUNICIPIO = 'BELEM' AND SGESTADO = 'PA' ), 'R', 'MARAMBAIA', '', '66623250', '01 / CONJUNTO COAB GLEBA 01', '80', 'PA');</v>
      </c>
      <c r="FD3" s="63" t="str">
        <f t="shared" ref="FD3:FD19" ca="1" si="49" xml:space="preserve"> IF( DC3 = "", "", SUBSTITUTE( SUBSTITUTE( SUBSTITUTE( SUBSTITUTE( SUBSTITUTE( $FD$2, "@NRORG@", $CM$2 ), "@NRMOVIMENTACAO_LEG@", $DC3 ), "@NRVINCULOM@", $CS3 ), "@ESTRUTLEGAL@", $AP3 ), "@DTADMISSAO@", $DZ3 ) )</f>
        <v>INSERT INTO GPE_MOVIMENTACAO ( NRMOVIMENTACAO, NRORG, NRVINCULOM, NRTIPOTRANSFER, NRTPMOVTRANSFM, NRESTRUTURAM, DTINIMOVIMENT, DSOBSERVACAO, DTINCLUSAO, NRORGINCLUSAO, CDOPERINCLUSAO, NRTIPOESTRUTURA ) VALUES ( 1, 5862, 1, 1, 1, (SELECT MAX(NRESTRUTURAM) FROM ESTRUTURAM WHERE NRORG = 5862 AND CDINTESTRUTURA = 'est_MATSAUDE' AND NRTIPOESTRUTURA = (SELECT NRTPESTRUTLEGAL FROM GPE_PARAMORG WHERE NRORG = 5862)), '23/02/2026', 'Movimentacao gerada via migracao ' || SYSDATE, SYSDATE, 5862, '000000099991', ( SELECT NRTPESTRUTLEGAL FROM GPE_PARAMORG WHERE NRORG = 5862 ) );</v>
      </c>
      <c r="FE3" s="63" t="str">
        <f t="shared" ref="FE3:FE19" ca="1" si="50" xml:space="preserve"> IF( DD3 = "", "", SUBSTITUTE( SUBSTITUTE( SUBSTITUTE( SUBSTITUTE( SUBSTITUTE( $FE$2, "@NRORG@", $CM$2 ), "@NRMOVIMENTACAO_GER@", $DD3 ), "@NRVINCULOM@", $CS3 ), "@ESTRUTGEREN@", $AQ3 ), "@DTADMISSAO@", $DZ3 ) )</f>
        <v>INSERT INTO GPE_MOVIMENTACAO ( NRMOVIMENTACAO, NRORG, NRVINCULOM, NRTIPOTRANSFER, NRTPMOVTRANSFM, NRESTRUTURAM, DTINIMOVIMENT, DSOBSERVACAO, DTINCLUSAO, NRORGINCLUSAO, CDOPERINCLUSAO, NRTIPOESTRUTURA ) VALUES ( 28, 5862, 1, 2, 1, (SELECT MAX(NRESTRUTURAM) FROM ESTRUTURAM WHERE NRORG = 5862 AND CDINTESTRUTURA = 'dep_290000' AND NRTIPOESTRUTURA = (SELECT NRTPESTRUTGEREN FROM GPE_PARAMORG WHERE NRORG = 5862)), '23/02/2026', 'Movimentacao gerada via migracao ' || SYSDATE, SYSDATE, 5862, '000000099991', ( SELECT NRTPESTRUTGEREN FROM GPE_PARAMORG WHERE NRORG = 5862 ) );</v>
      </c>
      <c r="FF3" s="63" t="str">
        <f t="shared" ref="FF3:FF19" ca="1" si="51" xml:space="preserve"> IF( DE3 = "", "", SUBSTITUTE( SUBSTITUTE( SUBSTITUTE( SUBSTITUTE( SUBSTITUTE( $FF$2, "@NRORG@", $CM$2 ), "@NRMOVIMENTACAO_SIN@", $DE3 ), "@NRVINCULOM@", $CS3 ), "@ESTRUTSIND@", $BU3 ), "@DTADMISSAO@", $DZ3 ) )</f>
        <v>INSERT INTO GPE_MOVIMENTACAO ( NRMOVIMENTACAO, NRORG, NRVINCULOM, NRTIPOTRANSFER, NRTPMOVTRANSFM, NRESTRUTURAM, DTINIMOVIMENT, DSOBSERVACAO, DTINCLUSAO, NRORGINCLUSAO, CDOPERINCLUSAO, NRTIPOESTRUTURA ) VALUES ( 55, 5862, 1, 1, 1, (SELECT MAX(NRESTRUTURAM) FROM ESTRUTURAM WHERE NRORG = 5862 AND CDINTESTRUTURA = 'sin_02' AND NRTIPOESTRUTURA = 10), '23/02/2026', 'Movimentacao gerada via migracao ' || SYSDATE, SYSDATE, 5862, '000000099991', 10 );</v>
      </c>
      <c r="FG3" s="63" t="str">
        <f t="shared" ref="FG3:FG19" si="52">$FG$2</f>
        <v>COMMIT;</v>
      </c>
      <c r="FI3" s="20" t="str" cm="1">
        <f t="array" aca="1" ref="FI3:FI29" ca="1">IF( COUNTIF( Base!A:A, INDIRECT( FI1 ) ) &gt;= 1, "existe", "não" )</f>
        <v>não</v>
      </c>
      <c r="FJ3" s="20" t="str" cm="1">
        <f t="array" aca="1" ref="FJ3" ca="1">"  - " &amp; _xlfn._xlws.SORT( _xlfn.UNIQUE( IF(_xlfn.ANCHORARRAY( FI3) = "existe", INDIRECT( FI1 ), "" ) ) )</f>
        <v xml:space="preserve">  - </v>
      </c>
      <c r="FL3" s="20" t="str" cm="1">
        <f t="array" aca="1" ref="FL3:FL29" ca="1">IF( COUNTIF( Base!H:H, INDIRECT( FL1 ) ) &gt;= 1, "existe", "não" )</f>
        <v>existe</v>
      </c>
      <c r="FM3" s="21" t="str" cm="1">
        <f t="array" aca="1" ref="FM3" ca="1">_xlfn._xlws.SORT( _xlfn.UNIQUE( IF(_xlfn.ANCHORARRAY( FL3) = "existe", "", INDIRECT( FL1 ) ) ) )</f>
        <v/>
      </c>
      <c r="FN3" s="21" t="str" cm="1">
        <f t="array" aca="1" ref="FN3" ca="1">_xlfn._xlws.SORT( _xlfn.UNIQUE( IF(_xlfn.ANCHORARRAY( FL3) = "existe", "", "Vínculo (matrícula): " &amp; INDIRECT( $FI$1 ) &amp; ", ocupação " &amp; INDIRECT( FL1 )  &amp; ", Nome: " &amp; INDIRECT( FH1 )&amp; ", Admissão: " &amp; INDIRECT( FK1 )) ) )</f>
        <v/>
      </c>
      <c r="FO3" s="18"/>
      <c r="FP3" s="21" t="str" cm="1">
        <f t="array" aca="1" ref="FP3:FP29" ca="1">IF( COUNTIF( Base!F:F, INDIRECT( FP1 ) ) &gt;= 1, "existe", "não" )</f>
        <v>existe</v>
      </c>
      <c r="FQ3" s="21" t="str" cm="1">
        <f t="array" aca="1" ref="FQ3:FQ4" ca="1">_xlfn._xlws.SORT( _xlfn.UNIQUE( IF(_xlfn.ANCHORARRAY( FP3) = "existe", "", INDIRECT( FP1 ) ) ) )</f>
        <v/>
      </c>
      <c r="FR3" s="21" t="str" cm="1">
        <f t="array" aca="1" ref="FR3:FR4" ca="1">_xlfn._xlws.SORT( _xlfn.UNIQUE( IF(_xlfn.ANCHORARRAY( FP3) = "existe", "", "Vínculo (matrícula): " &amp; INDIRECT( $FI$1 ) &amp; ", escala trab. " &amp; INDIRECT( FP1 )  &amp; ", Nome: " &amp; INDIRECT( FH1 )&amp; ", Admissão: " &amp; INDIRECT( FK1 )) ) )</f>
        <v/>
      </c>
      <c r="FS3" s="18"/>
      <c r="FT3" s="21" t="str" cm="1">
        <f t="array" aca="1" ref="FT3:FT29" ca="1">IF( COUNTIF( Base!M:M, "'" &amp; INDIRECT( FT1 ) &amp; "'" ) &gt;= 1, "existe", INDIRECT( FT1 ) )</f>
        <v>existe</v>
      </c>
      <c r="FU3" s="21" t="str" cm="1">
        <f t="array" aca="1" ref="FU3" ca="1">"  - " &amp; _xlfn._xlws.SORT( _xlfn.UNIQUE( IF(_xlfn.ANCHORARRAY( FT3) = "existe", "",_xlfn.ANCHORARRAY( FT3)) ) )</f>
        <v xml:space="preserve">  - </v>
      </c>
      <c r="FV3" s="21" t="str" cm="1">
        <f t="array" aca="1" ref="FV3" ca="1">"  - " &amp; _xlfn._xlws.SORT( _xlfn.UNIQUE( IF(_xlfn.ANCHORARRAY( FT3) = "existe", "", "Vínculo (matrícula): " &amp; INDIRECT( $FI$1 ) &amp; ", estrutura legal " &amp; INDIRECT( FT1 ) ) ) )</f>
        <v xml:space="preserve">  - </v>
      </c>
      <c r="FW3" s="18"/>
      <c r="FX3" s="21" t="str" cm="1">
        <f t="array" aca="1" ref="FX3:FX29" ca="1">IF( COUNTIF( Base!M:M, "'" &amp; INDIRECT( FX1 ) &amp; "'" ) &gt;= 1, "existe", INDIRECT( FX1 ) )</f>
        <v>existe</v>
      </c>
      <c r="FY3" s="21" t="str" cm="1">
        <f t="array" aca="1" ref="FY3" ca="1">"  - " &amp; _xlfn._xlws.SORT( _xlfn.UNIQUE( IF(_xlfn.ANCHORARRAY( FX3) = "existe", "",_xlfn.ANCHORARRAY( FX3) ) ) )</f>
        <v xml:space="preserve">  - </v>
      </c>
      <c r="FZ3" s="21" t="str" cm="1">
        <f t="array" aca="1" ref="FZ3" ca="1">"  - " &amp; _xlfn._xlws.SORT( _xlfn.UNIQUE( IF(_xlfn.ANCHORARRAY( FX3) = "existe", "", "Vínculo (matrícula): " &amp; INDIRECT( $FI$1 ) &amp; ", estrutura gerencial " &amp; INDIRECT( FX1 )  &amp; ", Nome: " &amp; INDIRECT( FH1 )&amp; ",  Admissão: " &amp; INDIRECT( FK1 )) ) )</f>
        <v xml:space="preserve">  - </v>
      </c>
      <c r="GA3" s="18"/>
      <c r="GB3" s="21" t="str" cm="1">
        <f t="array" aca="1" ref="GB3:GB29" ca="1">IF( COUNTIF( Base!M:M, "'" &amp; INDIRECT( GB1 ) &amp; "'" ) &gt;= 1, "existe", INDIRECT( GB1 ) )</f>
        <v>existe</v>
      </c>
      <c r="GC3" s="21" t="str" cm="1">
        <f t="array" aca="1" ref="GC3:GC4" ca="1">"  - " &amp; _xlfn._xlws.SORT( _xlfn.UNIQUE( IF(_xlfn.ANCHORARRAY( GB3) = "existe", "",_xlfn.ANCHORARRAY( GB3) ) ) )</f>
        <v xml:space="preserve">  - 0</v>
      </c>
      <c r="GD3" s="21" t="str" cm="1">
        <f t="array" aca="1" ref="GD3:GD21" ca="1">"  - " &amp; _xlfn._xlws.SORT( _xlfn.UNIQUE( IF(_xlfn.ANCHORARRAY( GB3) = "existe", "", "Vínculo (matrícula): " &amp; INDIRECT( $FI$1 ) &amp; ", estrutura legal " &amp; INDIRECT( GB1 ) ) ) )</f>
        <v xml:space="preserve">  - </v>
      </c>
      <c r="GF3" s="21" t="s">
        <v>382</v>
      </c>
      <c r="GI3" s="22" t="s">
        <v>222</v>
      </c>
      <c r="GJ3" s="23" t="s">
        <v>44</v>
      </c>
      <c r="GK3" s="23" t="s">
        <v>45</v>
      </c>
      <c r="GL3" s="23" t="s">
        <v>46</v>
      </c>
      <c r="GM3" s="23" t="s">
        <v>47</v>
      </c>
      <c r="GN3" s="23" t="s">
        <v>51</v>
      </c>
      <c r="GO3" s="23" t="s">
        <v>52</v>
      </c>
      <c r="GP3" s="23" t="s">
        <v>53</v>
      </c>
      <c r="GQ3" s="23" t="s">
        <v>54</v>
      </c>
      <c r="GR3" s="24" t="s">
        <v>48</v>
      </c>
      <c r="GS3" s="24" t="s">
        <v>223</v>
      </c>
      <c r="GT3" s="22"/>
      <c r="GU3" s="25"/>
      <c r="GV3" s="25"/>
      <c r="GW3" s="25"/>
      <c r="GX3" s="25"/>
      <c r="GY3" s="25"/>
      <c r="GZ3" s="25"/>
      <c r="HA3" s="25"/>
      <c r="HB3" s="25"/>
      <c r="HC3" s="25"/>
      <c r="HD3" s="25"/>
      <c r="HE3" s="22"/>
      <c r="HF3" s="25"/>
      <c r="HG3" s="25"/>
      <c r="HH3" s="25"/>
      <c r="HI3" s="25"/>
      <c r="HJ3" s="25"/>
      <c r="HK3" s="25"/>
      <c r="HL3" s="25"/>
      <c r="HM3" s="25"/>
      <c r="HN3" s="25"/>
      <c r="HO3" s="25"/>
      <c r="HP3" s="18"/>
    </row>
    <row r="4" spans="1:224" x14ac:dyDescent="0.3">
      <c r="A4" s="16" t="s">
        <v>388</v>
      </c>
      <c r="B4" s="16" t="s">
        <v>430</v>
      </c>
      <c r="C4" s="16" t="s">
        <v>431</v>
      </c>
      <c r="E4" s="16" t="s">
        <v>432</v>
      </c>
      <c r="F4" s="16" t="s">
        <v>391</v>
      </c>
      <c r="G4" s="16" t="s">
        <v>323</v>
      </c>
      <c r="H4" s="16" t="s">
        <v>433</v>
      </c>
      <c r="I4" s="16" t="s">
        <v>224</v>
      </c>
      <c r="J4" s="16" t="s">
        <v>434</v>
      </c>
      <c r="K4" s="16" t="s">
        <v>435</v>
      </c>
      <c r="L4" s="16" t="s">
        <v>436</v>
      </c>
      <c r="M4" s="16" t="s">
        <v>396</v>
      </c>
      <c r="N4" s="16" t="s">
        <v>437</v>
      </c>
      <c r="Q4" s="16" t="s">
        <v>438</v>
      </c>
      <c r="R4" s="16" t="s">
        <v>439</v>
      </c>
      <c r="S4" s="16" t="s">
        <v>396</v>
      </c>
      <c r="T4" s="16" t="s">
        <v>440</v>
      </c>
      <c r="AC4" s="16" t="s">
        <v>273</v>
      </c>
      <c r="AD4" s="16" t="s">
        <v>403</v>
      </c>
      <c r="AE4" t="s">
        <v>396</v>
      </c>
      <c r="AF4" s="16" t="s">
        <v>441</v>
      </c>
      <c r="AG4" s="16" t="s">
        <v>442</v>
      </c>
      <c r="AH4" s="16" t="s">
        <v>218</v>
      </c>
      <c r="AI4" s="16" t="s">
        <v>303</v>
      </c>
      <c r="AJ4" s="16" t="s">
        <v>406</v>
      </c>
      <c r="AK4" s="16" t="s">
        <v>443</v>
      </c>
      <c r="AL4" s="16" t="s">
        <v>444</v>
      </c>
      <c r="AM4" s="16" t="s">
        <v>271</v>
      </c>
      <c r="AN4" s="16" t="s">
        <v>270</v>
      </c>
      <c r="AO4" s="16" t="s">
        <v>219</v>
      </c>
      <c r="AP4" s="98" t="s">
        <v>2567</v>
      </c>
      <c r="AQ4" s="16" t="s">
        <v>446</v>
      </c>
      <c r="AR4" s="16" t="s">
        <v>1747</v>
      </c>
      <c r="AS4" s="16" t="s">
        <v>396</v>
      </c>
      <c r="AT4" s="16" t="s">
        <v>404</v>
      </c>
      <c r="AU4" s="16" t="s">
        <v>411</v>
      </c>
      <c r="AV4" s="16" t="s">
        <v>447</v>
      </c>
      <c r="AW4" s="16" t="s">
        <v>448</v>
      </c>
      <c r="AX4" s="16" t="s">
        <v>449</v>
      </c>
      <c r="AZ4" s="16" t="s">
        <v>450</v>
      </c>
      <c r="BA4" s="16" t="s">
        <v>270</v>
      </c>
      <c r="BB4" t="s">
        <v>1746</v>
      </c>
      <c r="BF4" s="16" t="s">
        <v>451</v>
      </c>
      <c r="BG4" s="16" t="s">
        <v>304</v>
      </c>
      <c r="BN4" t="s">
        <v>1746</v>
      </c>
      <c r="BP4" s="16" t="s">
        <v>388</v>
      </c>
      <c r="BQ4" s="16" t="s">
        <v>419</v>
      </c>
      <c r="BR4" s="16" t="s">
        <v>419</v>
      </c>
      <c r="BS4" s="16" t="s">
        <v>270</v>
      </c>
      <c r="BT4" s="16" t="s">
        <v>313</v>
      </c>
      <c r="BX4" s="16" t="s">
        <v>421</v>
      </c>
      <c r="CC4" s="16" t="s">
        <v>270</v>
      </c>
      <c r="CD4"/>
      <c r="CE4" s="16" t="s">
        <v>452</v>
      </c>
      <c r="CF4" s="16" t="s">
        <v>453</v>
      </c>
      <c r="CG4" s="16" t="s">
        <v>454</v>
      </c>
      <c r="CH4" s="16" t="s">
        <v>455</v>
      </c>
      <c r="CI4"/>
      <c r="CJ4" s="16" t="s">
        <v>428</v>
      </c>
      <c r="CK4" s="16" t="s">
        <v>456</v>
      </c>
      <c r="CM4" s="80" t="s">
        <v>226</v>
      </c>
      <c r="CN4" s="63"/>
      <c r="CO4" s="63"/>
      <c r="CP4" s="85">
        <f t="shared" si="7"/>
        <v>205</v>
      </c>
      <c r="CQ4" s="85">
        <f t="shared" si="7"/>
        <v>2</v>
      </c>
      <c r="CR4" s="85">
        <f t="shared" si="7"/>
        <v>2</v>
      </c>
      <c r="CS4" s="85">
        <f t="shared" si="7"/>
        <v>2</v>
      </c>
      <c r="CT4" s="85">
        <f t="shared" ref="CT4:CV7" si="53">CT3+3</f>
        <v>4</v>
      </c>
      <c r="CU4" s="65">
        <f t="shared" si="53"/>
        <v>5</v>
      </c>
      <c r="CV4" s="65">
        <f t="shared" si="53"/>
        <v>6</v>
      </c>
      <c r="CW4" s="85">
        <f t="shared" si="8"/>
        <v>2</v>
      </c>
      <c r="CX4" s="85">
        <f t="shared" si="9"/>
        <v>2</v>
      </c>
      <c r="CY4" s="85">
        <f t="shared" si="10"/>
        <v>1</v>
      </c>
      <c r="CZ4" s="85">
        <f t="shared" ref="CZ4:CZ11" si="54">IF( TRIM( CK4 ) = "", CZ3, CZ3 + 1 )</f>
        <v>4</v>
      </c>
      <c r="DA4" s="85">
        <f t="shared" ref="DA4:DA20" si="55">IF( TRIM( CE4 ) = "", DA3, DA3 + 1 )</f>
        <v>31</v>
      </c>
      <c r="DB4" s="85">
        <f t="shared" si="8"/>
        <v>12</v>
      </c>
      <c r="DC4" s="85">
        <f ca="1">IF( OR( AP4 = "", FT4 &lt;&gt; "existe" ), "", LARGE( DC$2:DC3, 1 ) + 1 )</f>
        <v>2</v>
      </c>
      <c r="DD4" s="66">
        <f ca="1">IF( OR( AQ4 = "", FX4 &lt;&gt; "existe" ), "", LARGE( DD$2:DD3, 1 ) + 1 )</f>
        <v>29</v>
      </c>
      <c r="DE4" s="66" t="str">
        <f ca="1">IF( OR( BU4 = "", GB4 &lt;&gt; "existe" ), "", LARGE( DE$2:DE3, 1 ) + 1 )</f>
        <v/>
      </c>
      <c r="DF4" s="67" t="str">
        <f t="shared" si="11"/>
        <v>NUNCA</v>
      </c>
      <c r="DG4" s="67" t="str">
        <f t="shared" ref="DG4:DG10" si="56">UPPER( TRIM(SUBSTITUTE(SUBSTITUTE(AF4,"'",""),"&amp;","")) )</f>
        <v>ANANINDEUA</v>
      </c>
      <c r="DH4" s="67">
        <f t="shared" si="12"/>
        <v>1</v>
      </c>
      <c r="DI4" s="67" t="str">
        <f t="shared" si="13"/>
        <v>R</v>
      </c>
      <c r="DJ4" s="67" t="str">
        <f t="shared" si="14"/>
        <v>MACEIO</v>
      </c>
      <c r="DK4" s="67" t="str">
        <f t="shared" si="15"/>
        <v>AGUAS LINDAS</v>
      </c>
      <c r="DL4" s="67" t="str">
        <f t="shared" si="15"/>
        <v/>
      </c>
      <c r="DM4" s="67" t="str">
        <f t="shared" si="15"/>
        <v>66690750</v>
      </c>
      <c r="DN4" s="70" t="str">
        <f t="shared" si="16"/>
        <v>0089-1</v>
      </c>
      <c r="DO4" s="70" t="str">
        <f t="shared" si="17"/>
        <v>0</v>
      </c>
      <c r="DP4" s="70" t="str">
        <f t="shared" si="18"/>
        <v>0</v>
      </c>
      <c r="DQ4" s="64" t="str">
        <f t="shared" si="19"/>
        <v/>
      </c>
      <c r="DR4" s="64" t="str">
        <f t="shared" si="20"/>
        <v>7721258</v>
      </c>
      <c r="DS4" s="64" t="str">
        <f t="shared" si="21"/>
        <v>237</v>
      </c>
      <c r="DT4" s="64" t="str">
        <f t="shared" si="22"/>
        <v>55870</v>
      </c>
      <c r="DU4" s="64" t="str">
        <f t="shared" si="23"/>
        <v>729779</v>
      </c>
      <c r="DV4" s="60" t="str">
        <f t="shared" si="24"/>
        <v>0055</v>
      </c>
      <c r="DW4" s="67" t="str">
        <f t="shared" si="25"/>
        <v>BELEM</v>
      </c>
      <c r="DX4" s="60" t="str" cm="1">
        <f t="array" ref="DX4">TEXT( MIG_NORMA.NÚMERICO( J4 ), "00000000000" )</f>
        <v>04271705241</v>
      </c>
      <c r="DY4" s="60" t="str" cm="1">
        <f t="array" ref="DY4">TEXT( MIG_NORMA.NÚMERICO( K4 ), "0000000" )</f>
        <v>0041378</v>
      </c>
      <c r="DZ4" s="64" t="str">
        <f t="shared" si="26"/>
        <v>23/02/2026</v>
      </c>
      <c r="EA4" s="64" t="str">
        <f t="shared" si="27"/>
        <v>31/12/2027</v>
      </c>
      <c r="EB4" s="64" t="str">
        <f t="shared" si="28"/>
        <v>16/07/1999</v>
      </c>
      <c r="EC4" s="64" t="str">
        <f t="shared" si="29"/>
        <v>24/03/2015</v>
      </c>
      <c r="ED4" s="64" t="str">
        <f t="shared" si="30"/>
        <v/>
      </c>
      <c r="EE4" s="64" t="str">
        <f t="shared" si="31"/>
        <v/>
      </c>
      <c r="EF4" s="64" t="str">
        <f t="shared" si="32"/>
        <v>17/11/2024</v>
      </c>
      <c r="EG4" s="64" t="str">
        <f t="shared" si="33"/>
        <v/>
      </c>
      <c r="EH4" s="64" t="str">
        <f t="shared" si="34"/>
        <v/>
      </c>
      <c r="EI4" s="68" t="str">
        <f t="shared" si="35"/>
        <v/>
      </c>
      <c r="EJ4" s="64" t="str">
        <f t="shared" si="36"/>
        <v>23/02/2027</v>
      </c>
      <c r="EK4" s="64" t="str">
        <f t="shared" si="37"/>
        <v/>
      </c>
      <c r="EL4" s="64" t="str">
        <f t="shared" si="38"/>
        <v/>
      </c>
      <c r="EM4" s="64" t="str">
        <f t="shared" si="39"/>
        <v>23/02/2026</v>
      </c>
      <c r="EN4" s="64" t="str">
        <f t="shared" ref="EN4:EN19" si="57">IF(EA4="",DZ4,EA4)</f>
        <v>31/12/2027</v>
      </c>
      <c r="EO4" s="64" t="str">
        <f t="shared" si="40"/>
        <v/>
      </c>
      <c r="EP4" s="64" t="str">
        <f t="shared" si="41"/>
        <v/>
      </c>
      <c r="EQ4" s="63" t="str">
        <f t="shared" si="42"/>
        <v>INSERT INTO PARCNEGOCIO ( NRPARCNEGOCIO, NRORG, NMPRINCIPALPARC, NMSECUNDARIPARC, DTNASCIFUNDPARC, NRINSCRICAOPARC, IDATIVO, DTINCLUSAO, NRORGINCLUSAO, CDOPERINCLUSAO, CDTIPOPARCPRINCIPAL, CDTIPOINSCRICAO, IDPESSOAFISICA, IDINSTITUICAO, IDPARCFUNDIDO ) VALUES ( 205, 5862, 'MARIA ALTAMIRA DOS ANJOS RAMOS', 'MARIA ALTAMIRA DOS ANJOS RAMOS', '16/07/1999', '04271705241', 'S', SYSDATE, 5862, '000000099991', 'PESSOA', 'CPF', 'S', 'N', 'N' );</v>
      </c>
      <c r="ER4" s="63" t="str">
        <f t="shared" si="43"/>
        <v>INSERT INTO GPE_PESSOA ( NRPESSOA, NRORG, NRPARCNEGOCIO, DTINCLUSAO, NRORGINCLUSAO, CDOPERINCLUSAO ) VALUES ( 2, 5862, 205, SYSDATE, 5862, '000000099991' );</v>
      </c>
      <c r="ES4"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 2, 5862, '01/01/2000', 'MARIA ALTAMIRA DOS ANJOS RAMOS', 'S', '04271705241', '0041378', '76', 'PA', '24/03/2015', '', '', '', '', '', '', '', '', (SELECT NRCATMILITARPE FROM GPE_CATMILITARPE WHERE NRCATMILITARPE = ''), '', SYSDATE, 5862, '000000099991', '5', '1058', 'PA', (SELECT MAX(CDMUNICIPIO) FROM MUNICIPIO WHERE NMMUNICIPIO = 'ANANINDEUA'), '16/07/1999', 'F', '7721258', 'PC', 'PA', '17/11/2024', '1', '8' , '1');</v>
      </c>
      <c r="ET4"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 2, 5862, '370000-2-E1086', '23/02/2026', '31/12/2027', SYSDATE, 5862, '000000099991', '1', '', '', '', '', '', '', 'MARIA ALTAMIRA DOS ANJOS RAMOS', '', '', '', '', '', '23/02/2027', '');</v>
      </c>
      <c r="EU4" s="63" t="str">
        <f t="shared" ref="EU4:EU29" si="58" xml:space="preserve"> SUBSTITUTE( SUBSTITUTE( SUBSTITUTE( SUBSTITUTE( SUBSTITUTE( SUBSTITUTE( SUBSTITUTE( SUBSTITUTE( SUBSTITUTE( SUBSTITUTE( SUBSTITUTE( SUBSTITUTE( SUBSTITUTE( SUBSTITUTE( SUBSTITUTE( SUBSTITUTE( SUBSTITUTE( SUBSTITUTE( SUBSTITUTE( SUBSTITUTE( SUBSTITUTE( $EU$2, "@NRORG@", $CM$2 ), "@NRVINCULOH@", $CT4 ), "@NRVINCULOM@", $CS4 ), "@NRSITUFUNCM@", $D4 ), "@OCUPACAO@", $DN4 ), "@IDCONTRIBUISIND@", $DF4 ), "@NRDEPENDIR@", $DO4 ), "@NRDEPENDSFAM@", $DP4 ), "@DTBASEFERIAS@", $EM4 ), "@IDREMUNERACAO@", $AI4 ), "@IDTPPAGAMENTO@", $AO4 ), "@ESTRUTLEGAL@", $AP4 ), "@ESTRUTGEREN@", $AQ4 ), "@ESTRUTSIND@", $BU4 ), "@NRTPMODALIDSAL@", $BS4 ), "@IDMULTVINC@", $BG4 ), "@CDCONTRIBINDIVIDUAL@", $BH4 ), "@DTFIMCONTRDETERMIN@", $EO4 ), "@NRESCALATRABM@", $E4 ), "@CORINGASIND@", $GF$8 ), "@CORINGAGEREN@", $GF$6 )</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(4, 2, '', (SELECT MAX(NROCUPACAOM) FROM GPE_OCUPACAOH WHERE NRORG = 5862 AND CDINTEGRACAO = '0089-1'), (SELECT MAX(NROCUPACAOM) FROM GPE_OCUPACAOH WHERE NRORG = 5862 AND CDINTEGRACAO = '0089-1'), 5862, '01/01/2000', 'NUNCA', SYSDATE, 5862, '000000099991', '0', '0', '23/02/2026', 'SAL1', 'MENSAL', (SELECT MAX(NRESTRUTURAM) FROM ESTRUTURAM WHERE NRORG = 5862 AND CDINTESTRUTURA = 'est_MATSAUDE'), NVL((SELECT MAX(NRESTRUTURAM) FROM ESTRUTURAM WHERE NRORG = 5862 AND CDINTESTRUTURA = 'dep_370000'), 999992), NVL((SELECT MAX(NRESTRUTURAM) FROM ESTRUTURAM WHERE NRORG = 5862 AND CDINTESTRUTURA = ''), 999993), '1', 'UNICO', '', 2, '', 'N', (SELECT MAX(NRESCALATRABM) FROM GPE_ESCALATRABH WHERE NRORG = 5862 AND NRESCALATRABM = '000007') );</v>
      </c>
      <c r="EV4"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v>
      </c>
      <c r="EW4"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v>
      </c>
      <c r="EX4" s="63" t="str">
        <f t="shared" ref="EX4:EX29" si="59">SUBSTITUTE(SUBSTITUTE(SUBSTITUTE(SUBSTITUTE(SUBSTITUTE(SUBSTITUTE($EX$2,"@NRORG@",$CM$2),$CW$1,CW4),$D$1,D4),$CS$1,CS4),$EN$1,EN4),$EA$1,EA4)</f>
        <v>INSERT INTO GPE_ALTESITUFUNC ( NRALTESITUFUNC, NRORG, NRSITUFUNCM, NRVINCULOM, DTINISITUFUNC, DTINCLUSAO, NRORGINCLUSAO, CDOPERINCLUSAO ) VALUES ( 2, 5862, (CASE WHEN '' IS NOT NULL THEN '' WHEN '31/12/2027' IS NULL THEN '1' ELSE '13' END), 2, '31/12/2027', SYSDATE, 5862, '000000099991' );</v>
      </c>
      <c r="EY4" s="63" t="str">
        <f t="shared" si="48"/>
        <v>INSERT INTO CONTCORRPARC ( NRCONTCORRPARC, NRORG, NRPARCNEGOCIO, CDBANCO, CDAGENCIA, CDCONTCORR, NRTPCONTCORR, DTINCLUSAO, NRORGINCLUSAO, CDOPERINCLUSAO, IDATIVO ) VALUES ( 2, 5862, 205, '237', '55870', '729779', '2', SYSDATE, 5862, '000000099991', 'S' );</v>
      </c>
      <c r="EZ4" s="63" t="str">
        <f t="shared" ref="EZ4:EZ20" si="60">IF(CD4="","",SUBSTITUTE(SUBSTITUTE(SUBSTITUTE(SUBSTITUTE(SUBSTITUTE($EZ$2,"@NRORG@",$CM$2),$CY$1,CY4),$CP$1,CP4),$CD$1,CD4),$CI$1,TRIM(CI4)))</f>
        <v/>
      </c>
      <c r="FA4" s="63" t="str">
        <f t="shared" ref="FA4:FA29" si="61">IF($CK4="","",SUBSTITUTE(SUBSTITUTE(SUBSTITUTE(SUBSTITUTE(SUBSTITUTE($FA$2,"@NRORG@",$CM$2),$CZ$1,$CZ4),$CP$1,$CP4),$CK$1,SUBSTITUTE(TRIM($CK4),"'","")),$CJ$1,TRIM(SUBSTITUTE($CJ4,"'",""))))</f>
        <v>INSERT INTO COMUNICAPARC ( NRCOMUNICAPARC, NRPARCNEGOCIO, CDFORMACOMU, CDPREFIXCOMUPARC, CDCOMUNICAPARC, NRORG, IDATIVO, DTINCLUSAO, NRORGINCLUSAO, CDOPERINCLUSAO ) VALUES ( 4, 205, '02', '91', '983927859', 5862, 'S', SYSDATE, 5862, '000000099991' );</v>
      </c>
      <c r="FB4" s="63" t="str">
        <f t="shared" ref="FB4:FB29" si="62">IF(TRIM($CE4)="","",SUBSTITUTE(SUBSTITUTE(SUBSTITUTE(SUBSTITUTE($FB$2,"@NRORG@",$CM$2),$DA$1,$DA4),$CP$1,$CP4),$CE$1,SUBSTITUTE(TRIM($CE4),"'","")))</f>
        <v>INSERT INTO COMUNICAPARC ( NRCOMUNICAPARC, NRPARCNEGOCIO, CDFORMACOMU, CDCOMUNICAPARC, NRORG, IDATIVO, DTINCLUSAO, NRORGINCLUSAO, CDOPERINCLUSAO ) VALUES ( 31, 205, '05', 'mariadosanjos581@gmail.com', 5862, 'S', SYSDATE, 5862, '000000099991' );</v>
      </c>
      <c r="FC4" s="63" t="str">
        <f t="shared" ref="FC4:FC20" si="63">IF(AV4="","",SUBSTITUTE(SUBSTITUTE(SUBSTITUTE(SUBSTITUTE(SUBSTITUTE(SUBSTITUTE(SUBSTITUTE(SUBSTITUTE(SUBSTITUTE(SUBSTITUTE(SUBSTITUTE(SUBSTITUTE($FC$2,"@NRORG@",$CM$2),$DB$1,DB4),$CP$1,CP4),$DV$1,DV4),$DW$1,DW4),$DI$1,DI4),$DK$1,DK4),$DL$1,DL4),$DM$1,DM4),$DJ$1,DJ4),$AW$1,SUBSTITUTE(TRIM(AW4),"'","")),$AS$1,AS4))</f>
        <v>INSERT INTO ENDERECOPARC ( NRENDERECOPARC, NRPARCNEGOCIO, CDTIPOENDERECO, NRORG, IDATIVO, DTINCLUSAO, NRORGINCLUSAO, CDOPERINCLUSAO, CDPAIS, CDMUNICIPIO, CDLOGRADOURO, NMBAIRROENDERECO, DSCOMPLEENDERECO, NRCEPENDERECO, DSENDERECO, NRIMOVELENDERECO, SGESTADO ) VALUES ( 12, 205, 'PRINCIPAL', 5862, 'S', SYSDATE, 5862, '000000099991', '0055', ( SELECT MAX(CDMUNICIPIO) FROM MUNICIPIO WHERE NMMUNICIPIO = 'BELEM' AND SGESTADO = 'PA' ), 'R', 'AGUAS LINDAS', '', '66690750', 'MACEIO', '184', 'PA');</v>
      </c>
      <c r="FD4" s="63" t="str">
        <f t="shared" ca="1" si="49"/>
        <v>INSERT INTO GPE_MOVIMENTACAO ( NRMOVIMENTACAO, NRORG, NRVINCULOM, NRTIPOTRANSFER, NRTPMOVTRANSFM, NRESTRUTURAM, DTINIMOVIMENT, DSOBSERVACAO, DTINCLUSAO, NRORGINCLUSAO, CDOPERINCLUSAO, NRTIPOESTRUTURA ) VALUES ( 2, 5862, 2, 1, 1, (SELECT MAX(NRESTRUTURAM) FROM ESTRUTURAM WHERE NRORG = 5862 AND CDINTESTRUTURA = 'est_MATSAUDE' AND NRTIPOESTRUTURA = (SELECT NRTPESTRUTLEGAL FROM GPE_PARAMORG WHERE NRORG = 5862)), '23/02/2026', 'Movimentacao gerada via migracao ' || SYSDATE, SYSDATE, 5862, '000000099991', ( SELECT NRTPESTRUTLEGAL FROM GPE_PARAMORG WHERE NRORG = 5862 ) );</v>
      </c>
      <c r="FE4" s="63" t="str">
        <f t="shared" ca="1" si="50"/>
        <v>INSERT INTO GPE_MOVIMENTACAO ( NRMOVIMENTACAO, NRORG, NRVINCULOM, NRTIPOTRANSFER, NRTPMOVTRANSFM, NRESTRUTURAM, DTINIMOVIMENT, DSOBSERVACAO, DTINCLUSAO, NRORGINCLUSAO, CDOPERINCLUSAO, NRTIPOESTRUTURA ) VALUES ( 29, 5862, 2, 2, 1, (SELECT MAX(NRESTRUTURAM) FROM ESTRUTURAM WHERE NRORG = 5862 AND CDINTESTRUTURA = 'dep_370000' AND NRTIPOESTRUTURA = (SELECT NRTPESTRUTGEREN FROM GPE_PARAMORG WHERE NRORG = 5862)), '23/02/2026', 'Movimentacao gerada via migracao ' || SYSDATE, SYSDATE, 5862, '000000099991', ( SELECT NRTPESTRUTGEREN FROM GPE_PARAMORG WHERE NRORG = 5862 ) );</v>
      </c>
      <c r="FF4" s="63" t="str">
        <f t="shared" ca="1" si="51"/>
        <v/>
      </c>
      <c r="FG4" s="63" t="str">
        <f t="shared" si="52"/>
        <v>COMMIT;</v>
      </c>
      <c r="FI4" s="21" t="str">
        <f ca="1"/>
        <v>não</v>
      </c>
      <c r="FL4" s="21" t="str">
        <f ca="1"/>
        <v>existe</v>
      </c>
      <c r="FO4" s="18"/>
      <c r="FP4" s="21" t="str">
        <f ca="1"/>
        <v>existe</v>
      </c>
      <c r="FQ4" s="21" t="str">
        <f ca="1"/>
        <v>000012</v>
      </c>
      <c r="FR4" s="21" t="str">
        <f ca="1"/>
        <v>Vínculo (matrícula): 790000-0-01642, escala trab. 000012, Nome: SABRINA PANTOJA ESTUMANO, Admissão: 12/02/2026</v>
      </c>
      <c r="FS4" s="18"/>
      <c r="FT4" s="21" t="str">
        <f ca="1"/>
        <v>existe</v>
      </c>
      <c r="FW4" s="18"/>
      <c r="FX4" s="21" t="str">
        <f ca="1"/>
        <v>existe</v>
      </c>
      <c r="GA4" s="18"/>
      <c r="GB4" s="21">
        <f ca="1"/>
        <v>0</v>
      </c>
      <c r="GC4" s="21" t="str">
        <f ca="1"/>
        <v xml:space="preserve">  - </v>
      </c>
      <c r="GD4" s="21" t="str">
        <f ca="1"/>
        <v xml:space="preserve">  - Vínculo (matrícula): 090000-2-E1085, estrutura legal </v>
      </c>
      <c r="GF4" s="21">
        <v>999991</v>
      </c>
      <c r="GI4" s="22" t="s">
        <v>227</v>
      </c>
      <c r="GJ4" s="26" t="s">
        <v>228</v>
      </c>
      <c r="GK4" s="26" t="s">
        <v>229</v>
      </c>
      <c r="GL4" s="26" t="s">
        <v>230</v>
      </c>
      <c r="GM4" s="26" t="s">
        <v>231</v>
      </c>
      <c r="GN4" s="26" t="s">
        <v>232</v>
      </c>
      <c r="GO4" s="26" t="s">
        <v>233</v>
      </c>
      <c r="GP4" s="26" t="s">
        <v>234</v>
      </c>
      <c r="GQ4" s="26" t="s">
        <v>235</v>
      </c>
      <c r="GR4" s="26" t="s">
        <v>236</v>
      </c>
      <c r="GS4" s="26" t="s">
        <v>237</v>
      </c>
      <c r="GT4" s="22" t="s">
        <v>227</v>
      </c>
      <c r="GU4" s="25" t="str">
        <f t="shared" ref="GU4:GU7" si="64">GJ4</f>
        <v>PARCNEGOCIO</v>
      </c>
      <c r="GV4" s="25" t="str">
        <f t="shared" ref="GV4:GV9" si="65">GK4</f>
        <v>GPE_PESSOA</v>
      </c>
      <c r="GW4" s="25" t="str">
        <f t="shared" ref="GW4:GW9" si="66">GL4</f>
        <v>GPE_PESSOAH</v>
      </c>
      <c r="GX4" s="25" t="str">
        <f t="shared" ref="GX4:GX9" si="67">GM4</f>
        <v>GPE_VINCULOM</v>
      </c>
      <c r="GY4" s="25" t="str">
        <f t="shared" ref="GY4:GY9" si="68">GN4</f>
        <v>GPE_ALTESITUFUNC</v>
      </c>
      <c r="GZ4" s="25" t="str">
        <f t="shared" ref="GZ4:GZ9" si="69">GO4</f>
        <v>CONTCORRPARC</v>
      </c>
      <c r="HA4" s="25" t="str">
        <f t="shared" ref="HA4:HA9" si="70">GP4</f>
        <v>COMUNICAPARC</v>
      </c>
      <c r="HB4" s="25" t="str">
        <f t="shared" ref="HB4:HB9" si="71">GQ4</f>
        <v>ENDERECOPARC</v>
      </c>
      <c r="HC4" s="25" t="str">
        <f t="shared" ref="HC4:HC9" si="72">GR4</f>
        <v>GPE_VINCULOH</v>
      </c>
      <c r="HD4" s="25" t="str">
        <f t="shared" ref="HD4:HD9" si="73">GS4</f>
        <v>GPE_MOVIMENTACAO</v>
      </c>
      <c r="HE4" s="22" t="s">
        <v>227</v>
      </c>
      <c r="HF4" s="25" t="str">
        <f t="shared" ref="HF4:HO5" si="74">GU4</f>
        <v>PARCNEGOCIO</v>
      </c>
      <c r="HG4" s="25" t="str">
        <f t="shared" si="74"/>
        <v>GPE_PESSOA</v>
      </c>
      <c r="HH4" s="25" t="str">
        <f t="shared" si="74"/>
        <v>GPE_PESSOAH</v>
      </c>
      <c r="HI4" s="25" t="str">
        <f t="shared" si="74"/>
        <v>GPE_VINCULOM</v>
      </c>
      <c r="HJ4" s="25" t="str">
        <f t="shared" si="74"/>
        <v>GPE_ALTESITUFUNC</v>
      </c>
      <c r="HK4" s="25" t="str">
        <f t="shared" si="74"/>
        <v>CONTCORRPARC</v>
      </c>
      <c r="HL4" s="25" t="str">
        <f t="shared" si="74"/>
        <v>COMUNICAPARC</v>
      </c>
      <c r="HM4" s="25" t="str">
        <f t="shared" si="74"/>
        <v>ENDERECOPARC</v>
      </c>
      <c r="HN4" s="25" t="str">
        <f t="shared" si="74"/>
        <v>GPE_VINCULOH</v>
      </c>
      <c r="HO4" s="25" t="str">
        <f t="shared" si="74"/>
        <v>GPE_MOVIMENTACAO</v>
      </c>
      <c r="HP4" s="18"/>
    </row>
    <row r="5" spans="1:224" x14ac:dyDescent="0.3">
      <c r="A5" s="16" t="s">
        <v>457</v>
      </c>
      <c r="B5" s="16" t="s">
        <v>430</v>
      </c>
      <c r="C5" s="16" t="s">
        <v>458</v>
      </c>
      <c r="E5" s="16" t="s">
        <v>459</v>
      </c>
      <c r="F5" s="16" t="s">
        <v>391</v>
      </c>
      <c r="G5" s="16" t="s">
        <v>323</v>
      </c>
      <c r="H5" s="16" t="s">
        <v>460</v>
      </c>
      <c r="I5" s="16" t="s">
        <v>224</v>
      </c>
      <c r="J5" s="16" t="s">
        <v>461</v>
      </c>
      <c r="Q5" s="16" t="s">
        <v>462</v>
      </c>
      <c r="R5" s="16" t="s">
        <v>439</v>
      </c>
      <c r="S5" s="16" t="s">
        <v>396</v>
      </c>
      <c r="T5" s="16" t="s">
        <v>463</v>
      </c>
      <c r="AC5" s="16" t="s">
        <v>273</v>
      </c>
      <c r="AD5" s="16" t="s">
        <v>403</v>
      </c>
      <c r="AE5" t="s">
        <v>396</v>
      </c>
      <c r="AF5" s="16" t="s">
        <v>404</v>
      </c>
      <c r="AG5" s="16" t="s">
        <v>464</v>
      </c>
      <c r="AH5" s="16" t="s">
        <v>218</v>
      </c>
      <c r="AI5" s="16" t="s">
        <v>303</v>
      </c>
      <c r="AJ5" s="16" t="s">
        <v>406</v>
      </c>
      <c r="AK5" s="16" t="s">
        <v>465</v>
      </c>
      <c r="AL5" s="16" t="s">
        <v>466</v>
      </c>
      <c r="AM5" s="16" t="s">
        <v>271</v>
      </c>
      <c r="AN5" s="16" t="s">
        <v>270</v>
      </c>
      <c r="AO5" s="16" t="s">
        <v>219</v>
      </c>
      <c r="AP5" s="98" t="s">
        <v>2567</v>
      </c>
      <c r="AQ5" s="16" t="s">
        <v>467</v>
      </c>
      <c r="AR5" s="16" t="s">
        <v>1747</v>
      </c>
      <c r="AS5" s="16" t="s">
        <v>396</v>
      </c>
      <c r="AT5" s="16" t="s">
        <v>468</v>
      </c>
      <c r="AU5" s="16" t="s">
        <v>469</v>
      </c>
      <c r="AV5" s="16" t="s">
        <v>470</v>
      </c>
      <c r="AW5" s="16" t="s">
        <v>471</v>
      </c>
      <c r="AX5" s="16" t="s">
        <v>472</v>
      </c>
      <c r="AY5" s="16" t="s">
        <v>473</v>
      </c>
      <c r="AZ5" s="16" t="s">
        <v>474</v>
      </c>
      <c r="BA5" s="16" t="s">
        <v>270</v>
      </c>
      <c r="BB5" t="s">
        <v>1746</v>
      </c>
      <c r="BF5" s="16" t="s">
        <v>451</v>
      </c>
      <c r="BG5" s="16" t="s">
        <v>304</v>
      </c>
      <c r="BN5" t="s">
        <v>1746</v>
      </c>
      <c r="BP5" s="16" t="s">
        <v>457</v>
      </c>
      <c r="BQ5" s="16" t="s">
        <v>419</v>
      </c>
      <c r="BR5" s="16" t="s">
        <v>419</v>
      </c>
      <c r="BS5" s="16" t="s">
        <v>270</v>
      </c>
      <c r="BT5" s="16" t="s">
        <v>313</v>
      </c>
      <c r="BX5" s="16" t="s">
        <v>475</v>
      </c>
      <c r="CC5" s="16" t="s">
        <v>270</v>
      </c>
      <c r="CD5"/>
      <c r="CE5" s="16" t="s">
        <v>476</v>
      </c>
      <c r="CF5" s="16" t="s">
        <v>453</v>
      </c>
      <c r="CG5" s="16" t="s">
        <v>477</v>
      </c>
      <c r="CH5" s="16" t="s">
        <v>478</v>
      </c>
      <c r="CI5"/>
      <c r="CJ5" s="16" t="s">
        <v>428</v>
      </c>
      <c r="CK5" s="16" t="s">
        <v>479</v>
      </c>
      <c r="CM5" s="79" t="s">
        <v>238</v>
      </c>
      <c r="CN5" s="63"/>
      <c r="CO5" s="63"/>
      <c r="CP5" s="85">
        <f t="shared" si="7"/>
        <v>206</v>
      </c>
      <c r="CQ5" s="85">
        <f t="shared" si="7"/>
        <v>3</v>
      </c>
      <c r="CR5" s="85">
        <f t="shared" si="7"/>
        <v>3</v>
      </c>
      <c r="CS5" s="85">
        <f t="shared" si="7"/>
        <v>3</v>
      </c>
      <c r="CT5" s="85">
        <f t="shared" si="53"/>
        <v>7</v>
      </c>
      <c r="CU5" s="65">
        <f t="shared" si="53"/>
        <v>8</v>
      </c>
      <c r="CV5" s="65">
        <f t="shared" si="53"/>
        <v>9</v>
      </c>
      <c r="CW5" s="85">
        <f t="shared" si="8"/>
        <v>3</v>
      </c>
      <c r="CX5" s="85">
        <f t="shared" si="9"/>
        <v>3</v>
      </c>
      <c r="CY5" s="85">
        <f t="shared" si="10"/>
        <v>1</v>
      </c>
      <c r="CZ5" s="85">
        <f t="shared" si="54"/>
        <v>5</v>
      </c>
      <c r="DA5" s="85">
        <f t="shared" si="55"/>
        <v>32</v>
      </c>
      <c r="DB5" s="85">
        <f t="shared" si="8"/>
        <v>13</v>
      </c>
      <c r="DC5" s="85">
        <f ca="1">IF( OR( AP5 = "", FT5 &lt;&gt; "existe" ), "", LARGE( DC$2:DC4, 1 ) + 1 )</f>
        <v>3</v>
      </c>
      <c r="DD5" s="66">
        <f ca="1">IF( OR( AQ5 = "", FX5 &lt;&gt; "existe" ), "", LARGE( DD$2:DD4, 1 ) + 1 )</f>
        <v>30</v>
      </c>
      <c r="DE5" s="66" t="str">
        <f ca="1">IF( OR( BU5 = "", GB5 &lt;&gt; "existe" ), "", LARGE( DE$2:DE4, 1 ) + 1 )</f>
        <v/>
      </c>
      <c r="DF5" s="67" t="str">
        <f t="shared" si="11"/>
        <v>NUNCA</v>
      </c>
      <c r="DG5" s="67" t="str">
        <f t="shared" si="56"/>
        <v>BELEM</v>
      </c>
      <c r="DH5" s="67">
        <f t="shared" si="12"/>
        <v>1</v>
      </c>
      <c r="DI5" s="67" t="str">
        <f t="shared" si="13"/>
        <v>TV</v>
      </c>
      <c r="DJ5" s="67" t="str">
        <f t="shared" si="14"/>
        <v>ANTONIO JOSE</v>
      </c>
      <c r="DK5" s="67" t="str">
        <f t="shared" si="15"/>
        <v>VILA DOS CABANOS</v>
      </c>
      <c r="DL5" s="67" t="str">
        <f t="shared" si="15"/>
        <v>QUADRA 340 LOTE 03</v>
      </c>
      <c r="DM5" s="67" t="str">
        <f t="shared" si="15"/>
        <v>00000000</v>
      </c>
      <c r="DN5" s="70" t="str">
        <f t="shared" si="16"/>
        <v>0089-1</v>
      </c>
      <c r="DO5" s="70" t="str">
        <f t="shared" si="17"/>
        <v>0</v>
      </c>
      <c r="DP5" s="70" t="str">
        <f t="shared" si="18"/>
        <v>0</v>
      </c>
      <c r="DQ5" s="64" t="str">
        <f t="shared" si="19"/>
        <v/>
      </c>
      <c r="DR5" s="64" t="str">
        <f t="shared" si="20"/>
        <v>9632134</v>
      </c>
      <c r="DS5" s="64" t="str">
        <f t="shared" si="21"/>
        <v>237</v>
      </c>
      <c r="DT5" s="64" t="str">
        <f t="shared" si="22"/>
        <v>15481</v>
      </c>
      <c r="DU5" s="64" t="str">
        <f t="shared" si="23"/>
        <v>00969311</v>
      </c>
      <c r="DV5" s="60" t="str">
        <f t="shared" si="24"/>
        <v>0055</v>
      </c>
      <c r="DW5" s="67" t="str">
        <f t="shared" si="25"/>
        <v>BARCARENA</v>
      </c>
      <c r="DX5" s="60" t="str" cm="1">
        <f t="array" ref="DX5">TEXT( MIG_NORMA.NÚMERICO( J5 ), "00000000000" )</f>
        <v>02498902244</v>
      </c>
      <c r="DY5" s="60" t="str" cm="1">
        <f t="array" ref="DY5">TEXT( MIG_NORMA.NÚMERICO( K5 ), "0000000" )</f>
        <v/>
      </c>
      <c r="DZ5" s="64" t="str">
        <f t="shared" si="26"/>
        <v>12/02/2026</v>
      </c>
      <c r="EA5" s="64" t="str">
        <f t="shared" si="27"/>
        <v>31/12/2027</v>
      </c>
      <c r="EB5" s="64" t="str">
        <f t="shared" si="28"/>
        <v>14/02/2006</v>
      </c>
      <c r="EC5" s="64" t="str">
        <f t="shared" si="29"/>
        <v/>
      </c>
      <c r="ED5" s="64" t="str">
        <f t="shared" si="30"/>
        <v/>
      </c>
      <c r="EE5" s="64" t="str">
        <f t="shared" si="31"/>
        <v/>
      </c>
      <c r="EF5" s="64" t="str">
        <f t="shared" si="32"/>
        <v>05/07/2021</v>
      </c>
      <c r="EG5" s="64" t="str">
        <f t="shared" si="33"/>
        <v/>
      </c>
      <c r="EH5" s="64" t="str">
        <f t="shared" si="34"/>
        <v/>
      </c>
      <c r="EI5" s="68" t="str">
        <f t="shared" si="35"/>
        <v/>
      </c>
      <c r="EJ5" s="64" t="str">
        <f t="shared" si="36"/>
        <v>12/02/2027</v>
      </c>
      <c r="EK5" s="64" t="str">
        <f t="shared" si="37"/>
        <v/>
      </c>
      <c r="EL5" s="64" t="str">
        <f t="shared" si="38"/>
        <v/>
      </c>
      <c r="EM5" s="64" t="str">
        <f t="shared" si="39"/>
        <v>12/02/2026</v>
      </c>
      <c r="EN5" s="64" t="str">
        <f t="shared" si="57"/>
        <v>31/12/2027</v>
      </c>
      <c r="EO5" s="64" t="str">
        <f t="shared" si="40"/>
        <v/>
      </c>
      <c r="EP5" s="64" t="str">
        <f t="shared" si="41"/>
        <v/>
      </c>
      <c r="EQ5" s="63" t="str">
        <f t="shared" si="42"/>
        <v>INSERT INTO PARCNEGOCIO ( NRPARCNEGOCIO, NRORG, NMPRINCIPALPARC, NMSECUNDARIPARC, DTNASCIFUNDPARC, NRINSCRICAOPARC, IDATIVO, DTINCLUSAO, NRORGINCLUSAO, CDOPERINCLUSAO, CDTIPOPARCPRINCIPAL, CDTIPOINSCRICAO, IDPESSOAFISICA, IDINSTITUICAO, IDPARCFUNDIDO ) VALUES ( 206, 5862, 'NATHALY SOARES DA SILVA', 'NATHALY SOARES DA SILVA', '14/02/2006', '02498902244', 'S', SYSDATE, 5862, '000000099991', 'PESSOA', 'CPF', 'S', 'N', 'N' );</v>
      </c>
      <c r="ER5" s="63" t="str">
        <f t="shared" si="43"/>
        <v>INSERT INTO GPE_PESSOA ( NRPESSOA, NRORG, NRPARCNEGOCIO, DTINCLUSAO, NRORGINCLUSAO, CDOPERINCLUSAO ) VALUES ( 3, 5862, 206, SYSDATE, 5862, '000000099991' );</v>
      </c>
      <c r="ES5"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( 3, 3, 5862, '01/01/2000', 'NATHALY SOARES DA SILVA', 'S', '02498902244', '', '', '', '', '', '', '', '', '', '', '', '', (SELECT NRCATMILITARPE FROM GPE_CATMILITARPE WHERE NRCATMILITARPE = ''), '', SYSDATE, 5862, '000000099991', '5', '1058', 'PA', (SELECT MAX(CDMUNICIPIO) FROM MUNICIPIO WHERE NMMUNICIPIO = 'BELEM'), '14/02/2006', 'F', '9632134', 'PC', 'PA', '05/07/2021', '1', '8' , '1');</v>
      </c>
      <c r="ET5"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(3, 3, 5862, '090000-2-E1085', '12/02/2026', '31/12/2027', SYSDATE, 5862, '000000099991', '1', '', '', '', '', '', '', 'NATHALY SOARES DA SILVA', '', '', '', '', '', '12/02/2027', '');</v>
      </c>
      <c r="EU5"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(7, 3, '', (SELECT MAX(NROCUPACAOM) FROM GPE_OCUPACAOH WHERE NRORG = 5862 AND CDINTEGRACAO = '0089-1'), (SELECT MAX(NROCUPACAOM) FROM GPE_OCUPACAOH WHERE NRORG = 5862 AND CDINTEGRACAO = '0089-1'), 5862, '01/01/2000', 'NUNCA', SYSDATE, 5862, '000000099991', '0', '0', '12/02/2026', 'SAL1', 'MENSAL', (SELECT MAX(NRESTRUTURAM) FROM ESTRUTURAM WHERE NRORG = 5862 AND CDINTESTRUTURA = 'est_MATSAUDE'), NVL((SELECT MAX(NRESTRUTURAM) FROM ESTRUTURAM WHERE NRORG = 5862 AND CDINTESTRUTURA = 'dep_090000'), 999992), NVL((SELECT MAX(NRESTRUTURAM) FROM ESTRUTURAM WHERE NRORG = 5862 AND CDINTESTRUTURA = ''), 999993), '1', 'UNICO', '', 2, '', 'N', (SELECT MAX(NRESCALATRABM) FROM GPE_ESCALATRABH WHERE NRORG = 5862 AND NRESCALATRABM = '000009') );</v>
      </c>
      <c r="EV5"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8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v>
      </c>
      <c r="EW5"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9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v>
      </c>
      <c r="EX5" s="63" t="str">
        <f t="shared" si="59"/>
        <v>INSERT INTO GPE_ALTESITUFUNC ( NRALTESITUFUNC, NRORG, NRSITUFUNCM, NRVINCULOM, DTINISITUFUNC, DTINCLUSAO, NRORGINCLUSAO, CDOPERINCLUSAO ) VALUES ( 3, 5862, (CASE WHEN '' IS NOT NULL THEN '' WHEN '31/12/2027' IS NULL THEN '1' ELSE '13' END), 3, '31/12/2027', SYSDATE, 5862, '000000099991' );</v>
      </c>
      <c r="EY5" s="63" t="str">
        <f t="shared" si="48"/>
        <v>INSERT INTO CONTCORRPARC ( NRCONTCORRPARC, NRORG, NRPARCNEGOCIO, CDBANCO, CDAGENCIA, CDCONTCORR, NRTPCONTCORR, DTINCLUSAO, NRORGINCLUSAO, CDOPERINCLUSAO, IDATIVO ) VALUES ( 3, 5862, 206, '237', '15481', '00969311', '2', SYSDATE, 5862, '000000099991', 'S' );</v>
      </c>
      <c r="EZ5" s="63" t="str">
        <f t="shared" si="60"/>
        <v/>
      </c>
      <c r="FA5" s="63" t="str">
        <f t="shared" si="61"/>
        <v>INSERT INTO COMUNICAPARC ( NRCOMUNICAPARC, NRPARCNEGOCIO, CDFORMACOMU, CDPREFIXCOMUPARC, CDCOMUNICAPARC, NRORG, IDATIVO, DTINCLUSAO, NRORGINCLUSAO, CDOPERINCLUSAO ) VALUES ( 5, 206, '02', '91', '991667874', 5862, 'S', SYSDATE, 5862, '000000099991' );</v>
      </c>
      <c r="FB5" s="63" t="str">
        <f t="shared" si="62"/>
        <v>INSERT INTO COMUNICAPARC ( NRCOMUNICAPARC, NRPARCNEGOCIO, CDFORMACOMU, CDCOMUNICAPARC, NRORG, IDATIVO, DTINCLUSAO, NRORGINCLUSAO, CDOPERINCLUSAO ) VALUES ( 32, 206, '05', 'nathalysilva.nutri14@gmail.com', 5862, 'S', SYSDATE, 5862, '000000099991' );</v>
      </c>
      <c r="FC5" s="63" t="str">
        <f t="shared" si="63"/>
        <v>INSERT INTO ENDERECOPARC ( NRENDERECOPARC, NRPARCNEGOCIO, CDTIPOENDERECO, NRORG, IDATIVO, DTINCLUSAO, NRORGINCLUSAO, CDOPERINCLUSAO, CDPAIS, CDMUNICIPIO, CDLOGRADOURO, NMBAIRROENDERECO, DSCOMPLEENDERECO, NRCEPENDERECO, DSENDERECO, NRIMOVELENDERECO, SGESTADO ) VALUES ( 13, 206, 'PRINCIPAL', 5862, 'S', SYSDATE, 5862, '000000099991', '0055', ( SELECT MAX(CDMUNICIPIO) FROM MUNICIPIO WHERE NMMUNICIPIO = 'BARCARENA' AND SGESTADO = 'PA' ), 'TV', 'VILA DOS CABANOS', 'QUADRA 340 LOTE 03', '00000000', 'ANTONIO JOSE', '621', 'PA');</v>
      </c>
      <c r="FD5" s="63" t="str">
        <f t="shared" ca="1" si="49"/>
        <v>INSERT INTO GPE_MOVIMENTACAO ( NRMOVIMENTACAO, NRORG, NRVINCULOM, NRTIPOTRANSFER, NRTPMOVTRANSFM, NRESTRUTURAM, DTINIMOVIMENT, DSOBSERVACAO, DTINCLUSAO, NRORGINCLUSAO, CDOPERINCLUSAO, NRTIPOESTRUTURA ) VALUES ( 3, 5862, 3, 1, 1, (SELECT MAX(NRESTRUTURAM) FROM ESTRUTURAM WHERE NRORG = 5862 AND CDINTESTRUTURA = 'est_MATSAUDE' AND NRTIPOESTRUTURA = (SELECT NRTPESTRUTLEGAL FROM GPE_PARAMORG WHERE NRORG = 5862)), '12/02/2026', 'Movimentacao gerada via migracao ' || SYSDATE, SYSDATE, 5862, '000000099991', ( SELECT NRTPESTRUTLEGAL FROM GPE_PARAMORG WHERE NRORG = 5862 ) );</v>
      </c>
      <c r="FE5" s="63" t="str">
        <f t="shared" ca="1" si="50"/>
        <v>INSERT INTO GPE_MOVIMENTACAO ( NRMOVIMENTACAO, NRORG, NRVINCULOM, NRTIPOTRANSFER, NRTPMOVTRANSFM, NRESTRUTURAM, DTINIMOVIMENT, DSOBSERVACAO, DTINCLUSAO, NRORGINCLUSAO, CDOPERINCLUSAO, NRTIPOESTRUTURA ) VALUES ( 30, 5862, 3, 2, 1, (SELECT MAX(NRESTRUTURAM) FROM ESTRUTURAM WHERE NRORG = 5862 AND CDINTESTRUTURA = 'dep_090000' AND NRTIPOESTRUTURA = (SELECT NRTPESTRUTGEREN FROM GPE_PARAMORG WHERE NRORG = 5862)), '12/02/2026', 'Movimentacao gerada via migracao ' || SYSDATE, SYSDATE, 5862, '000000099991', ( SELECT NRTPESTRUTGEREN FROM GPE_PARAMORG WHERE NRORG = 5862 ) );</v>
      </c>
      <c r="FF5" s="63" t="str">
        <f t="shared" ca="1" si="51"/>
        <v/>
      </c>
      <c r="FG5" s="63" t="str">
        <f t="shared" si="52"/>
        <v>COMMIT;</v>
      </c>
      <c r="FI5" s="21" t="str">
        <f ca="1"/>
        <v>não</v>
      </c>
      <c r="FL5" s="21" t="str">
        <f ca="1"/>
        <v>existe</v>
      </c>
      <c r="FO5" s="18"/>
      <c r="FP5" s="21" t="str">
        <f ca="1"/>
        <v>existe</v>
      </c>
      <c r="FS5" s="18"/>
      <c r="FT5" s="21" t="str">
        <f ca="1"/>
        <v>existe</v>
      </c>
      <c r="FW5" s="18"/>
      <c r="FX5" s="21" t="str">
        <f ca="1"/>
        <v>existe</v>
      </c>
      <c r="GA5" s="18"/>
      <c r="GB5" s="21">
        <f ca="1"/>
        <v>0</v>
      </c>
      <c r="GD5" s="21" t="str">
        <f ca="1"/>
        <v xml:space="preserve">  - Vínculo (matrícula): 100000-2-E1070, estrutura legal </v>
      </c>
      <c r="GF5" s="21" t="s">
        <v>383</v>
      </c>
      <c r="GG5" s="99" t="s">
        <v>2585</v>
      </c>
      <c r="GI5" s="22" t="s">
        <v>239</v>
      </c>
      <c r="GJ5" s="26" t="s">
        <v>240</v>
      </c>
      <c r="GK5" s="26" t="s">
        <v>241</v>
      </c>
      <c r="GL5" s="26" t="s">
        <v>242</v>
      </c>
      <c r="GM5" s="26" t="s">
        <v>243</v>
      </c>
      <c r="GN5" s="26" t="s">
        <v>244</v>
      </c>
      <c r="GO5" s="26" t="s">
        <v>245</v>
      </c>
      <c r="GP5" s="26" t="s">
        <v>246</v>
      </c>
      <c r="GQ5" s="26" t="s">
        <v>247</v>
      </c>
      <c r="GR5" s="26" t="s">
        <v>248</v>
      </c>
      <c r="GS5" s="26" t="s">
        <v>249</v>
      </c>
      <c r="GT5" s="22" t="s">
        <v>239</v>
      </c>
      <c r="GU5" s="25" t="str">
        <f t="shared" si="64"/>
        <v>NRPARCNEGOCIO</v>
      </c>
      <c r="GV5" s="25" t="str">
        <f t="shared" si="65"/>
        <v>NRPESSOA</v>
      </c>
      <c r="GW5" s="25" t="str">
        <f t="shared" si="66"/>
        <v>NRPESSOAH</v>
      </c>
      <c r="GX5" s="25" t="str">
        <f t="shared" si="67"/>
        <v>NRVINCULOM</v>
      </c>
      <c r="GY5" s="25" t="str">
        <f t="shared" si="68"/>
        <v>NRALTESITUFUNC</v>
      </c>
      <c r="GZ5" s="25" t="str">
        <f t="shared" si="69"/>
        <v>NRCONTCORRPARC</v>
      </c>
      <c r="HA5" s="25" t="str">
        <f t="shared" si="70"/>
        <v>NRCOMUNICAPARC</v>
      </c>
      <c r="HB5" s="25" t="str">
        <f t="shared" si="71"/>
        <v>NRENDERECOPARC</v>
      </c>
      <c r="HC5" s="25" t="str">
        <f t="shared" si="72"/>
        <v>NRVINCULOH</v>
      </c>
      <c r="HD5" s="25" t="str">
        <f t="shared" si="73"/>
        <v>NRMOVIMENTACAO</v>
      </c>
      <c r="HE5" s="22" t="s">
        <v>239</v>
      </c>
      <c r="HF5" s="25" t="str">
        <f t="shared" si="74"/>
        <v>NRPARCNEGOCIO</v>
      </c>
      <c r="HG5" s="25" t="str">
        <f t="shared" si="74"/>
        <v>NRPESSOA</v>
      </c>
      <c r="HH5" s="25" t="str">
        <f t="shared" si="74"/>
        <v>NRPESSOAH</v>
      </c>
      <c r="HI5" s="25" t="str">
        <f t="shared" si="74"/>
        <v>NRVINCULOM</v>
      </c>
      <c r="HJ5" s="25" t="str">
        <f t="shared" si="74"/>
        <v>NRALTESITUFUNC</v>
      </c>
      <c r="HK5" s="25" t="str">
        <f t="shared" si="74"/>
        <v>NRCONTCORRPARC</v>
      </c>
      <c r="HL5" s="25" t="str">
        <f t="shared" si="74"/>
        <v>NRCOMUNICAPARC</v>
      </c>
      <c r="HM5" s="25" t="str">
        <f t="shared" si="74"/>
        <v>NRENDERECOPARC</v>
      </c>
      <c r="HN5" s="25" t="str">
        <f t="shared" si="74"/>
        <v>NRVINCULOH</v>
      </c>
      <c r="HO5" s="25" t="str">
        <f t="shared" si="74"/>
        <v>NRMOVIMENTACAO</v>
      </c>
      <c r="HP5" s="18"/>
    </row>
    <row r="6" spans="1:224" x14ac:dyDescent="0.3">
      <c r="A6" s="16" t="s">
        <v>457</v>
      </c>
      <c r="B6"/>
      <c r="C6" s="16" t="s">
        <v>480</v>
      </c>
      <c r="E6" s="16" t="s">
        <v>481</v>
      </c>
      <c r="F6" s="16" t="s">
        <v>391</v>
      </c>
      <c r="G6" s="16" t="s">
        <v>323</v>
      </c>
      <c r="H6" s="16" t="s">
        <v>482</v>
      </c>
      <c r="I6" s="16" t="s">
        <v>224</v>
      </c>
      <c r="J6" s="16" t="s">
        <v>483</v>
      </c>
      <c r="K6" s="16" t="s">
        <v>484</v>
      </c>
      <c r="L6" s="16" t="s">
        <v>485</v>
      </c>
      <c r="M6" s="16" t="s">
        <v>396</v>
      </c>
      <c r="N6" s="16" t="s">
        <v>486</v>
      </c>
      <c r="O6" s="16" t="s">
        <v>487</v>
      </c>
      <c r="Q6" s="16" t="s">
        <v>488</v>
      </c>
      <c r="R6" s="16" t="s">
        <v>439</v>
      </c>
      <c r="S6" s="16" t="s">
        <v>396</v>
      </c>
      <c r="T6" s="16" t="s">
        <v>486</v>
      </c>
      <c r="U6" s="16" t="s">
        <v>489</v>
      </c>
      <c r="V6" s="16" t="s">
        <v>490</v>
      </c>
      <c r="W6" s="16" t="s">
        <v>491</v>
      </c>
      <c r="AC6" s="16" t="s">
        <v>273</v>
      </c>
      <c r="AD6" s="16" t="s">
        <v>403</v>
      </c>
      <c r="AE6" t="s">
        <v>396</v>
      </c>
      <c r="AF6" s="16" t="s">
        <v>404</v>
      </c>
      <c r="AG6" s="16" t="s">
        <v>492</v>
      </c>
      <c r="AH6" s="16" t="s">
        <v>225</v>
      </c>
      <c r="AI6" s="16" t="s">
        <v>303</v>
      </c>
      <c r="AJ6" s="16" t="s">
        <v>406</v>
      </c>
      <c r="AK6" s="16" t="s">
        <v>493</v>
      </c>
      <c r="AL6" s="16" t="s">
        <v>494</v>
      </c>
      <c r="AM6" s="16" t="s">
        <v>271</v>
      </c>
      <c r="AN6" s="16" t="s">
        <v>270</v>
      </c>
      <c r="AO6" s="16" t="s">
        <v>219</v>
      </c>
      <c r="AP6" s="98" t="s">
        <v>2567</v>
      </c>
      <c r="AQ6" s="16" t="s">
        <v>495</v>
      </c>
      <c r="AR6" s="16" t="s">
        <v>1747</v>
      </c>
      <c r="AS6" s="16" t="s">
        <v>396</v>
      </c>
      <c r="AT6" s="16" t="s">
        <v>404</v>
      </c>
      <c r="AU6" s="16" t="s">
        <v>411</v>
      </c>
      <c r="AV6" s="16" t="s">
        <v>496</v>
      </c>
      <c r="AW6" s="16" t="s">
        <v>497</v>
      </c>
      <c r="AX6" s="16" t="s">
        <v>498</v>
      </c>
      <c r="AY6" s="16" t="s">
        <v>499</v>
      </c>
      <c r="AZ6" s="16" t="s">
        <v>500</v>
      </c>
      <c r="BA6" s="16" t="s">
        <v>270</v>
      </c>
      <c r="BB6" t="s">
        <v>1746</v>
      </c>
      <c r="BC6" s="16" t="s">
        <v>457</v>
      </c>
      <c r="BF6" s="16" t="s">
        <v>501</v>
      </c>
      <c r="BG6" s="16" t="s">
        <v>304</v>
      </c>
      <c r="BM6" s="16" t="s">
        <v>502</v>
      </c>
      <c r="BN6" s="16" t="s">
        <v>270</v>
      </c>
      <c r="BO6" s="16" t="s">
        <v>270</v>
      </c>
      <c r="BP6" s="16" t="s">
        <v>457</v>
      </c>
      <c r="BQ6" s="16" t="s">
        <v>419</v>
      </c>
      <c r="BR6" s="16" t="s">
        <v>419</v>
      </c>
      <c r="BS6" s="16" t="s">
        <v>270</v>
      </c>
      <c r="BT6" s="16" t="s">
        <v>311</v>
      </c>
      <c r="BU6" s="16" t="s">
        <v>504</v>
      </c>
      <c r="BV6" s="16" t="s">
        <v>419</v>
      </c>
      <c r="BW6" s="16" t="s">
        <v>419</v>
      </c>
      <c r="BX6" s="16" t="s">
        <v>505</v>
      </c>
      <c r="CC6" s="16" t="s">
        <v>270</v>
      </c>
      <c r="CD6"/>
      <c r="CE6" s="16" t="s">
        <v>506</v>
      </c>
      <c r="CF6" s="16" t="s">
        <v>507</v>
      </c>
      <c r="CG6" s="16" t="s">
        <v>508</v>
      </c>
      <c r="CH6" s="16" t="s">
        <v>509</v>
      </c>
      <c r="CI6"/>
      <c r="CJ6" s="16" t="s">
        <v>428</v>
      </c>
      <c r="CK6" s="16" t="s">
        <v>510</v>
      </c>
      <c r="CM6" s="79" t="s">
        <v>238</v>
      </c>
      <c r="CN6" s="63"/>
      <c r="CO6" s="63"/>
      <c r="CP6" s="85">
        <f t="shared" si="7"/>
        <v>207</v>
      </c>
      <c r="CQ6" s="85">
        <f t="shared" si="7"/>
        <v>4</v>
      </c>
      <c r="CR6" s="85">
        <f t="shared" si="7"/>
        <v>4</v>
      </c>
      <c r="CS6" s="85">
        <f t="shared" si="7"/>
        <v>4</v>
      </c>
      <c r="CT6" s="85">
        <f t="shared" si="53"/>
        <v>10</v>
      </c>
      <c r="CU6" s="65">
        <f t="shared" si="53"/>
        <v>11</v>
      </c>
      <c r="CV6" s="65">
        <f t="shared" si="53"/>
        <v>12</v>
      </c>
      <c r="CW6" s="85">
        <f t="shared" si="8"/>
        <v>4</v>
      </c>
      <c r="CX6" s="85">
        <f t="shared" si="9"/>
        <v>4</v>
      </c>
      <c r="CY6" s="85">
        <f t="shared" si="10"/>
        <v>1</v>
      </c>
      <c r="CZ6" s="85">
        <f t="shared" si="54"/>
        <v>6</v>
      </c>
      <c r="DA6" s="85">
        <f t="shared" si="55"/>
        <v>33</v>
      </c>
      <c r="DB6" s="85">
        <f t="shared" si="8"/>
        <v>14</v>
      </c>
      <c r="DC6" s="85">
        <f ca="1">IF( OR( AP6 = "", FT6 &lt;&gt; "existe" ), "", LARGE( DC$2:DC5, 1 ) + 1 )</f>
        <v>4</v>
      </c>
      <c r="DD6" s="66">
        <f ca="1">IF( OR( AQ6 = "", FX6 &lt;&gt; "existe" ), "", LARGE( DD$2:DD5, 1 ) + 1 )</f>
        <v>31</v>
      </c>
      <c r="DE6" s="66">
        <f ca="1">IF( OR( BU6 = "", GB6 &lt;&gt; "existe" ), "", LARGE( DE$2:DE5, 1 ) + 1 )</f>
        <v>56</v>
      </c>
      <c r="DF6" s="67" t="str">
        <f t="shared" si="11"/>
        <v>NUNCA</v>
      </c>
      <c r="DG6" s="67" t="str">
        <f t="shared" si="56"/>
        <v>BELEM</v>
      </c>
      <c r="DH6" s="67">
        <f t="shared" si="12"/>
        <v>1</v>
      </c>
      <c r="DI6" s="67" t="str">
        <f t="shared" si="13"/>
        <v>R</v>
      </c>
      <c r="DJ6" s="67" t="str">
        <f t="shared" si="14"/>
        <v>JOSE MODESTO</v>
      </c>
      <c r="DK6" s="67" t="str">
        <f t="shared" si="15"/>
        <v>SACRAMENTA</v>
      </c>
      <c r="DL6" s="67" t="str">
        <f t="shared" si="15"/>
        <v>PROX.AO COLEGIO ESTER BANDEIRA</v>
      </c>
      <c r="DM6" s="67" t="str">
        <f t="shared" si="15"/>
        <v>66123600</v>
      </c>
      <c r="DN6" s="70" t="str">
        <f t="shared" si="16"/>
        <v>0074-7</v>
      </c>
      <c r="DO6" s="70" t="str">
        <f t="shared" si="17"/>
        <v>0</v>
      </c>
      <c r="DP6" s="70" t="str">
        <f t="shared" si="18"/>
        <v>0</v>
      </c>
      <c r="DQ6" s="64" t="str">
        <f t="shared" si="19"/>
        <v/>
      </c>
      <c r="DR6" s="64" t="str">
        <f t="shared" si="20"/>
        <v>7888666</v>
      </c>
      <c r="DS6" s="64" t="str">
        <f t="shared" si="21"/>
        <v>237</v>
      </c>
      <c r="DT6" s="64" t="str">
        <f t="shared" si="22"/>
        <v>19399</v>
      </c>
      <c r="DU6" s="64" t="str">
        <f t="shared" si="23"/>
        <v>586161</v>
      </c>
      <c r="DV6" s="60" t="str">
        <f t="shared" si="24"/>
        <v>0055</v>
      </c>
      <c r="DW6" s="67" t="str">
        <f t="shared" si="25"/>
        <v>BELEM</v>
      </c>
      <c r="DX6" s="60" t="str" cm="1">
        <f t="array" ref="DX6">TEXT( MIG_NORMA.NÚMERICO( J6 ), "00000000000" )</f>
        <v>05995953290</v>
      </c>
      <c r="DY6" s="60" t="str" cm="1">
        <f t="array" ref="DY6">TEXT( MIG_NORMA.NÚMERICO( K6 ), "0000000" )</f>
        <v>0059959</v>
      </c>
      <c r="DZ6" s="64" t="str">
        <f t="shared" si="26"/>
        <v>12/02/2026</v>
      </c>
      <c r="EA6" s="64" t="str">
        <f t="shared" si="27"/>
        <v/>
      </c>
      <c r="EB6" s="64" t="str">
        <f t="shared" si="28"/>
        <v>21/11/2008</v>
      </c>
      <c r="EC6" s="64" t="str">
        <f t="shared" si="29"/>
        <v>28/06/2022</v>
      </c>
      <c r="ED6" s="64" t="str">
        <f t="shared" si="30"/>
        <v/>
      </c>
      <c r="EE6" s="64" t="str">
        <f t="shared" si="31"/>
        <v/>
      </c>
      <c r="EF6" s="64" t="str">
        <f t="shared" si="32"/>
        <v>28/06/2022</v>
      </c>
      <c r="EG6" s="64" t="str">
        <f t="shared" si="33"/>
        <v>12/02/2026</v>
      </c>
      <c r="EH6" s="64" t="str">
        <f t="shared" si="34"/>
        <v/>
      </c>
      <c r="EI6" s="68" t="str">
        <f t="shared" si="35"/>
        <v/>
      </c>
      <c r="EJ6" s="64" t="str">
        <f t="shared" si="36"/>
        <v>02/02/2027</v>
      </c>
      <c r="EK6" s="64" t="str">
        <f t="shared" si="37"/>
        <v/>
      </c>
      <c r="EL6" s="64" t="str">
        <f t="shared" si="38"/>
        <v/>
      </c>
      <c r="EM6" s="64" t="str">
        <f t="shared" si="39"/>
        <v>12/02/2026</v>
      </c>
      <c r="EN6" s="64" t="str">
        <f t="shared" si="57"/>
        <v>12/02/2026</v>
      </c>
      <c r="EO6" s="64" t="str">
        <f t="shared" si="40"/>
        <v>19/01/2028</v>
      </c>
      <c r="EP6" s="64" t="str">
        <f t="shared" si="41"/>
        <v/>
      </c>
      <c r="EQ6" s="63" t="str">
        <f t="shared" si="42"/>
        <v>INSERT INTO PARCNEGOCIO ( NRPARCNEGOCIO, NRORG, NMPRINCIPALPARC, NMSECUNDARIPARC, DTNASCIFUNDPARC, NRINSCRICAOPARC, IDATIVO, DTINCLUSAO, NRORGINCLUSAO, CDOPERINCLUSAO, CDTIPOPARCPRINCIPAL, CDTIPOINSCRICAO, IDPESSOAFISICA, IDINSTITUICAO, IDPARCFUNDIDO ) VALUES ( 207, 5862, 'KALVIN KAUA GOMES SILVA', 'KALVIN KAUA GOMES SILVA', '21/11/2008', '05995953290', 'S', SYSDATE, 5862, '000000099991', 'PESSOA', 'CPF', 'S', 'N', 'N' );</v>
      </c>
      <c r="ER6" s="63" t="str">
        <f t="shared" si="43"/>
        <v>INSERT INTO GPE_PESSOA ( NRPESSOA, NRORG, NRPARCNEGOCIO, DTINCLUSAO, NRORGINCLUSAO, CDOPERINCLUSAO ) VALUES ( 4, 5862, 207, SYSDATE, 5862, '000000099991' );</v>
      </c>
      <c r="ES6"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( 4, 4, 5862, '01/01/2000', 'KALVIN KAUA GOMES SILVA', 'S', '05995953290', '0059959', '53290', 'PA', '28/06/2022', '26924322652', '', '087001671350', '81', '95', '', '', '', (SELECT NRCATMILITARPE FROM GPE_CATMILITARPE WHERE NRCATMILITARPE = ''), '', SYSDATE, 5862, '000000099991', '5', '1058', 'PA', (SELECT MAX(CDMUNICIPIO) FROM MUNICIPIO WHERE NMMUNICIPIO = 'BELEM'), '21/11/2008', 'M', '7888666', 'PC', 'PA', '28/06/2022', '1', '6' , '1');</v>
      </c>
      <c r="ET6"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(4, 4, 5862, '790000-0-01641', '12/02/2026', '', SYSDATE, 5862, '000000099991', '1', '1', '1', '', '12/02/2026', '', '', 'KALVIN KAUA GOMES SILVA', '', '', '', '0', '0', '02/02/2027', '');</v>
      </c>
      <c r="EU6"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(10, 4, '', (SELECT MAX(NROCUPACAOM) FROM GPE_OCUPACAOH WHERE NRORG = 5862 AND CDINTEGRACAO = '0074-7'), (SELECT MAX(NROCUPACAOM) FROM GPE_OCUPACAOH WHERE NRORG = 5862 AND CDINTEGRACAO = '0074-7'), 5862, '01/01/2000', 'NUNCA', SYSDATE, 5862, '000000099991', '0', '0', '12/02/2026', 'SAL1', 'MENSAL', (SELECT MAX(NRESTRUTURAM) FROM ESTRUTURAM WHERE NRORG = 5862 AND CDINTESTRUTURA = 'est_MATSAUDE'), NVL((SELECT MAX(NRESTRUTURAM) FROM ESTRUTURAM WHERE NRORG = 5862 AND CDINTESTRUTURA = 'dep_790000'), 999992), NVL((SELECT MAX(NRESTRUTURAM) FROM ESTRUTURAM WHERE NRORG = 5862 AND CDINTESTRUTURA = 'sin_07'), 999993), '1', 'UNICO', '', 2, '19/01/2028', 'N', (SELECT MAX(NRESCALATRABM) FROM GPE_ESCALATRABH WHERE NRORG = 5862 AND NRESCALATRABM = '000008') );</v>
      </c>
      <c r="EV6"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11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10;</v>
      </c>
      <c r="EW6"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12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10;</v>
      </c>
      <c r="EX6" s="63" t="str">
        <f t="shared" si="59"/>
        <v>INSERT INTO GPE_ALTESITUFUNC ( NRALTESITUFUNC, NRORG, NRSITUFUNCM, NRVINCULOM, DTINISITUFUNC, DTINCLUSAO, NRORGINCLUSAO, CDOPERINCLUSAO ) VALUES ( 4, 5862, (CASE WHEN '' IS NOT NULL THEN '' WHEN '' IS NULL THEN '1' ELSE '13' END), 4, '12/02/2026', SYSDATE, 5862, '000000099991' );</v>
      </c>
      <c r="EY6" s="63" t="str">
        <f t="shared" si="48"/>
        <v>INSERT INTO CONTCORRPARC ( NRCONTCORRPARC, NRORG, NRPARCNEGOCIO, CDBANCO, CDAGENCIA, CDCONTCORR, NRTPCONTCORR, DTINCLUSAO, NRORGINCLUSAO, CDOPERINCLUSAO, IDATIVO ) VALUES ( 4, 5862, 207, '237', '19399', '586161', '2', SYSDATE, 5862, '000000099991', 'S' );</v>
      </c>
      <c r="EZ6" s="63" t="str">
        <f t="shared" si="60"/>
        <v/>
      </c>
      <c r="FA6" s="63" t="str">
        <f t="shared" si="61"/>
        <v>INSERT INTO COMUNICAPARC ( NRCOMUNICAPARC, NRPARCNEGOCIO, CDFORMACOMU, CDPREFIXCOMUPARC, CDCOMUNICAPARC, NRORG, IDATIVO, DTINCLUSAO, NRORGINCLUSAO, CDOPERINCLUSAO ) VALUES ( 6, 207, '02', '91', '980835929', 5862, 'S', SYSDATE, 5862, '000000099991' );</v>
      </c>
      <c r="FB6" s="63" t="str">
        <f t="shared" si="62"/>
        <v>INSERT INTO COMUNICAPARC ( NRCOMUNICAPARC, NRPARCNEGOCIO, CDFORMACOMU, CDCOMUNICAPARC, NRORG, IDATIVO, DTINCLUSAO, NRORGINCLUSAO, CDOPERINCLUSAO ) VALUES ( 33, 207, '05', 'kalgms21@gmail.com', 5862, 'S', SYSDATE, 5862, '000000099991' );</v>
      </c>
      <c r="FC6" s="63" t="str">
        <f t="shared" si="63"/>
        <v>INSERT INTO ENDERECOPARC ( NRENDERECOPARC, NRPARCNEGOCIO, CDTIPOENDERECO, NRORG, IDATIVO, DTINCLUSAO, NRORGINCLUSAO, CDOPERINCLUSAO, CDPAIS, CDMUNICIPIO, CDLOGRADOURO, NMBAIRROENDERECO, DSCOMPLEENDERECO, NRCEPENDERECO, DSENDERECO, NRIMOVELENDERECO, SGESTADO ) VALUES ( 14, 207, 'PRINCIPAL', 5862, 'S', SYSDATE, 5862, '000000099991', '0055', ( SELECT MAX(CDMUNICIPIO) FROM MUNICIPIO WHERE NMMUNICIPIO = 'BELEM' AND SGESTADO = 'PA' ), 'R', 'SACRAMENTA', 'PROX.AO COLEGIO ESTER BANDEIRA', '66123600', 'JOSE MODESTO', '24', 'PA');</v>
      </c>
      <c r="FD6" s="63" t="str">
        <f t="shared" ca="1" si="49"/>
        <v>INSERT INTO GPE_MOVIMENTACAO ( NRMOVIMENTACAO, NRORG, NRVINCULOM, NRTIPOTRANSFER, NRTPMOVTRANSFM, NRESTRUTURAM, DTINIMOVIMENT, DSOBSERVACAO, DTINCLUSAO, NRORGINCLUSAO, CDOPERINCLUSAO, NRTIPOESTRUTURA ) VALUES ( 4, 5862, 4, 1, 1, (SELECT MAX(NRESTRUTURAM) FROM ESTRUTURAM WHERE NRORG = 5862 AND CDINTESTRUTURA = 'est_MATSAUDE' AND NRTIPOESTRUTURA = (SELECT NRTPESTRUTLEGAL FROM GPE_PARAMORG WHERE NRORG = 5862)), '12/02/2026', 'Movimentacao gerada via migracao ' || SYSDATE, SYSDATE, 5862, '000000099991', ( SELECT NRTPESTRUTLEGAL FROM GPE_PARAMORG WHERE NRORG = 5862 ) );</v>
      </c>
      <c r="FE6" s="63" t="str">
        <f t="shared" ca="1" si="50"/>
        <v>INSERT INTO GPE_MOVIMENTACAO ( NRMOVIMENTACAO, NRORG, NRVINCULOM, NRTIPOTRANSFER, NRTPMOVTRANSFM, NRESTRUTURAM, DTINIMOVIMENT, DSOBSERVACAO, DTINCLUSAO, NRORGINCLUSAO, CDOPERINCLUSAO, NRTIPOESTRUTURA ) VALUES ( 31, 5862, 4, 2, 1, (SELECT MAX(NRESTRUTURAM) FROM ESTRUTURAM WHERE NRORG = 5862 AND CDINTESTRUTURA = 'dep_790000' AND NRTIPOESTRUTURA = (SELECT NRTPESTRUTGEREN FROM GPE_PARAMORG WHERE NRORG = 5862)), '12/02/2026', 'Movimentacao gerada via migracao ' || SYSDATE, SYSDATE, 5862, '000000099991', ( SELECT NRTPESTRUTGEREN FROM GPE_PARAMORG WHERE NRORG = 5862 ) );</v>
      </c>
      <c r="FF6" s="63" t="str">
        <f t="shared" ca="1" si="51"/>
        <v>INSERT INTO GPE_MOVIMENTACAO ( NRMOVIMENTACAO, NRORG, NRVINCULOM, NRTIPOTRANSFER, NRTPMOVTRANSFM, NRESTRUTURAM, DTINIMOVIMENT, DSOBSERVACAO, DTINCLUSAO, NRORGINCLUSAO, CDOPERINCLUSAO, NRTIPOESTRUTURA ) VALUES ( 56, 5862, 4, 1, 1, (SELECT MAX(NRESTRUTURAM) FROM ESTRUTURAM WHERE NRORG = 5862 AND CDINTESTRUTURA = 'sin_07' AND NRTIPOESTRUTURA = 10), '12/02/2026', 'Movimentacao gerada via migracao ' || SYSDATE, SYSDATE, 5862, '000000099991', 10 );</v>
      </c>
      <c r="FG6" s="63" t="str">
        <f t="shared" si="52"/>
        <v>COMMIT;</v>
      </c>
      <c r="FI6" s="21" t="str">
        <f ca="1"/>
        <v>não</v>
      </c>
      <c r="FL6" s="21" t="str">
        <f ca="1"/>
        <v>existe</v>
      </c>
      <c r="FO6" s="18"/>
      <c r="FP6" s="21" t="str">
        <f ca="1"/>
        <v>existe</v>
      </c>
      <c r="FS6" s="18"/>
      <c r="FT6" s="21" t="str">
        <f ca="1"/>
        <v>existe</v>
      </c>
      <c r="FW6" s="18"/>
      <c r="FX6" s="21" t="str">
        <f ca="1"/>
        <v>existe</v>
      </c>
      <c r="GA6" s="18"/>
      <c r="GB6" s="21" t="str">
        <f ca="1"/>
        <v>existe</v>
      </c>
      <c r="GD6" s="21" t="str">
        <f ca="1"/>
        <v xml:space="preserve">  - Vínculo (matrícula): 100000-2-E1074, estrutura legal </v>
      </c>
      <c r="GF6" s="21">
        <v>999992</v>
      </c>
      <c r="GI6" s="22" t="s">
        <v>250</v>
      </c>
      <c r="GJ6" s="27">
        <f t="shared" ref="GJ6:GQ6" ca="1" si="75">MIN(OFFSET($A$1,2,MATCH(GJ$3,$1:$1,0)-1,1048574,1))</f>
        <v>204</v>
      </c>
      <c r="GK6" s="27">
        <f t="shared" ca="1" si="75"/>
        <v>1</v>
      </c>
      <c r="GL6" s="27">
        <f t="shared" ca="1" si="75"/>
        <v>1</v>
      </c>
      <c r="GM6" s="27">
        <f t="shared" ca="1" si="75"/>
        <v>1</v>
      </c>
      <c r="GN6" s="27">
        <f t="shared" ca="1" si="75"/>
        <v>1</v>
      </c>
      <c r="GO6" s="27">
        <f t="shared" ca="1" si="75"/>
        <v>1</v>
      </c>
      <c r="GP6" s="27">
        <f t="shared" ca="1" si="75"/>
        <v>1</v>
      </c>
      <c r="GQ6" s="27">
        <f t="shared" ca="1" si="75"/>
        <v>11</v>
      </c>
      <c r="GR6" s="28">
        <f ca="1">MIN(OFFSET($A$1,2,MATCH(GR$3,$1:$1,0)-1,1048574,3))</f>
        <v>1</v>
      </c>
      <c r="GS6" s="28">
        <f ca="1">MIN(OFFSET($A$1,2,MATCH(GS$3,$1:$1,0)-1,1048574,3))</f>
        <v>1</v>
      </c>
      <c r="GT6" s="22" t="s">
        <v>250</v>
      </c>
      <c r="GU6" s="25">
        <f t="shared" ca="1" si="64"/>
        <v>204</v>
      </c>
      <c r="GV6" s="25">
        <f t="shared" ca="1" si="65"/>
        <v>1</v>
      </c>
      <c r="GW6" s="25">
        <f t="shared" ca="1" si="66"/>
        <v>1</v>
      </c>
      <c r="GX6" s="25">
        <f t="shared" ca="1" si="67"/>
        <v>1</v>
      </c>
      <c r="GY6" s="25">
        <f t="shared" ca="1" si="68"/>
        <v>1</v>
      </c>
      <c r="GZ6" s="25">
        <f t="shared" ca="1" si="69"/>
        <v>1</v>
      </c>
      <c r="HA6" s="25">
        <f t="shared" ca="1" si="70"/>
        <v>1</v>
      </c>
      <c r="HB6" s="25">
        <f t="shared" ca="1" si="71"/>
        <v>11</v>
      </c>
      <c r="HC6" s="25">
        <f t="shared" ca="1" si="72"/>
        <v>1</v>
      </c>
      <c r="HD6" s="25">
        <f t="shared" ca="1" si="73"/>
        <v>1</v>
      </c>
      <c r="HE6" s="22"/>
      <c r="HF6" s="25"/>
      <c r="HG6" s="25"/>
      <c r="HH6" s="25"/>
      <c r="HI6" s="25"/>
      <c r="HJ6" s="25"/>
      <c r="HK6" s="25"/>
      <c r="HL6" s="25"/>
      <c r="HM6" s="25"/>
      <c r="HN6" s="25"/>
      <c r="HO6" s="25"/>
      <c r="HP6" s="18"/>
    </row>
    <row r="7" spans="1:224" x14ac:dyDescent="0.3">
      <c r="A7" s="16" t="s">
        <v>457</v>
      </c>
      <c r="B7"/>
      <c r="C7" s="16" t="s">
        <v>511</v>
      </c>
      <c r="E7" s="16" t="s">
        <v>512</v>
      </c>
      <c r="F7" s="16" t="s">
        <v>391</v>
      </c>
      <c r="G7" s="16" t="s">
        <v>323</v>
      </c>
      <c r="H7" s="16" t="s">
        <v>513</v>
      </c>
      <c r="I7" s="16" t="s">
        <v>224</v>
      </c>
      <c r="J7" s="16" t="s">
        <v>514</v>
      </c>
      <c r="K7" s="16" t="s">
        <v>515</v>
      </c>
      <c r="L7" s="16" t="s">
        <v>516</v>
      </c>
      <c r="M7" s="16" t="s">
        <v>396</v>
      </c>
      <c r="N7" s="16" t="s">
        <v>517</v>
      </c>
      <c r="O7" s="16" t="s">
        <v>518</v>
      </c>
      <c r="Q7" s="16" t="s">
        <v>519</v>
      </c>
      <c r="R7" s="16" t="s">
        <v>439</v>
      </c>
      <c r="S7" s="16" t="s">
        <v>396</v>
      </c>
      <c r="T7" s="16" t="s">
        <v>517</v>
      </c>
      <c r="U7" s="16" t="s">
        <v>520</v>
      </c>
      <c r="V7" s="16" t="s">
        <v>521</v>
      </c>
      <c r="W7" s="16" t="s">
        <v>522</v>
      </c>
      <c r="AC7" s="16" t="s">
        <v>273</v>
      </c>
      <c r="AD7" s="16" t="s">
        <v>403</v>
      </c>
      <c r="AE7" t="s">
        <v>396</v>
      </c>
      <c r="AF7" s="16" t="s">
        <v>523</v>
      </c>
      <c r="AG7" s="16" t="s">
        <v>524</v>
      </c>
      <c r="AH7" s="16" t="s">
        <v>218</v>
      </c>
      <c r="AI7" s="16" t="s">
        <v>303</v>
      </c>
      <c r="AJ7" s="16" t="s">
        <v>406</v>
      </c>
      <c r="AK7" s="16" t="s">
        <v>525</v>
      </c>
      <c r="AL7" s="16" t="s">
        <v>526</v>
      </c>
      <c r="AM7" s="16" t="s">
        <v>271</v>
      </c>
      <c r="AN7" s="16" t="s">
        <v>270</v>
      </c>
      <c r="AO7" s="16" t="s">
        <v>219</v>
      </c>
      <c r="AP7" s="98" t="s">
        <v>2567</v>
      </c>
      <c r="AQ7" s="16" t="s">
        <v>495</v>
      </c>
      <c r="AR7" s="16" t="s">
        <v>1747</v>
      </c>
      <c r="AS7" s="16" t="s">
        <v>396</v>
      </c>
      <c r="AT7" s="16" t="s">
        <v>441</v>
      </c>
      <c r="AU7" s="16" t="s">
        <v>411</v>
      </c>
      <c r="AV7" s="16" t="s">
        <v>527</v>
      </c>
      <c r="AW7" s="16" t="s">
        <v>528</v>
      </c>
      <c r="AX7" s="16" t="s">
        <v>529</v>
      </c>
      <c r="AY7" s="16" t="s">
        <v>530</v>
      </c>
      <c r="AZ7" s="16" t="s">
        <v>531</v>
      </c>
      <c r="BA7" s="16" t="s">
        <v>270</v>
      </c>
      <c r="BB7" t="s">
        <v>1746</v>
      </c>
      <c r="BC7" s="16" t="s">
        <v>457</v>
      </c>
      <c r="BF7" s="16" t="s">
        <v>501</v>
      </c>
      <c r="BG7" s="16" t="s">
        <v>304</v>
      </c>
      <c r="BM7" s="16" t="s">
        <v>502</v>
      </c>
      <c r="BN7" s="16" t="s">
        <v>270</v>
      </c>
      <c r="BO7" s="16" t="s">
        <v>270</v>
      </c>
      <c r="BP7" s="16" t="s">
        <v>457</v>
      </c>
      <c r="BQ7" s="16" t="s">
        <v>419</v>
      </c>
      <c r="BR7" s="16" t="s">
        <v>419</v>
      </c>
      <c r="BS7" s="16" t="s">
        <v>270</v>
      </c>
      <c r="BT7" s="16" t="s">
        <v>312</v>
      </c>
      <c r="BU7" s="16" t="s">
        <v>532</v>
      </c>
      <c r="BV7" s="16" t="s">
        <v>419</v>
      </c>
      <c r="BW7" s="16" t="s">
        <v>419</v>
      </c>
      <c r="BX7" s="16" t="s">
        <v>475</v>
      </c>
      <c r="CC7" s="16" t="s">
        <v>270</v>
      </c>
      <c r="CD7"/>
      <c r="CE7" s="16" t="s">
        <v>533</v>
      </c>
      <c r="CF7" s="16" t="s">
        <v>507</v>
      </c>
      <c r="CG7" s="16" t="s">
        <v>534</v>
      </c>
      <c r="CH7" s="16" t="s">
        <v>535</v>
      </c>
      <c r="CI7"/>
      <c r="CJ7" s="16" t="s">
        <v>428</v>
      </c>
      <c r="CK7" s="16" t="s">
        <v>536</v>
      </c>
      <c r="CM7" s="79" t="s">
        <v>238</v>
      </c>
      <c r="CN7" s="63"/>
      <c r="CO7" s="63"/>
      <c r="CP7" s="85">
        <f t="shared" si="7"/>
        <v>208</v>
      </c>
      <c r="CQ7" s="85">
        <f t="shared" si="7"/>
        <v>5</v>
      </c>
      <c r="CR7" s="85">
        <f t="shared" si="7"/>
        <v>5</v>
      </c>
      <c r="CS7" s="85">
        <f t="shared" si="7"/>
        <v>5</v>
      </c>
      <c r="CT7" s="85">
        <f t="shared" si="53"/>
        <v>13</v>
      </c>
      <c r="CU7" s="65">
        <f t="shared" si="53"/>
        <v>14</v>
      </c>
      <c r="CV7" s="65">
        <f t="shared" si="53"/>
        <v>15</v>
      </c>
      <c r="CW7" s="85">
        <f t="shared" si="8"/>
        <v>5</v>
      </c>
      <c r="CX7" s="85">
        <f t="shared" si="9"/>
        <v>5</v>
      </c>
      <c r="CY7" s="85">
        <f t="shared" si="10"/>
        <v>1</v>
      </c>
      <c r="CZ7" s="85">
        <f t="shared" si="54"/>
        <v>7</v>
      </c>
      <c r="DA7" s="85">
        <f t="shared" si="55"/>
        <v>34</v>
      </c>
      <c r="DB7" s="85">
        <f t="shared" si="8"/>
        <v>15</v>
      </c>
      <c r="DC7" s="85">
        <f ca="1">IF( OR( AP7 = "", FT7 &lt;&gt; "existe" ), "", LARGE( DC$2:DC6, 1 ) + 1 )</f>
        <v>5</v>
      </c>
      <c r="DD7" s="66">
        <f ca="1">IF( OR( AQ7 = "", FX7 &lt;&gt; "existe" ), "", LARGE( DD$2:DD6, 1 ) + 1 )</f>
        <v>32</v>
      </c>
      <c r="DE7" s="66">
        <f ca="1">IF( OR( BU7 = "", GB7 &lt;&gt; "existe" ), "", LARGE( DE$2:DE6, 1 ) + 1 )</f>
        <v>57</v>
      </c>
      <c r="DF7" s="67" t="str">
        <f t="shared" si="11"/>
        <v>NUNCA</v>
      </c>
      <c r="DG7" s="67" t="str">
        <f t="shared" si="56"/>
        <v>MOCAJUBA</v>
      </c>
      <c r="DH7" s="67">
        <f t="shared" si="12"/>
        <v>1</v>
      </c>
      <c r="DI7" s="67" t="str">
        <f t="shared" si="13"/>
        <v>R</v>
      </c>
      <c r="DJ7" s="67" t="str">
        <f t="shared" si="14"/>
        <v>DR. OSVALDO CRUZ</v>
      </c>
      <c r="DK7" s="67" t="str">
        <f t="shared" si="15"/>
        <v>ICUI GUAJARA</v>
      </c>
      <c r="DL7" s="67" t="str">
        <f t="shared" si="15"/>
        <v>PX. PSS PRINCESA DIANA 02</v>
      </c>
      <c r="DM7" s="67" t="str">
        <f t="shared" si="15"/>
        <v>67125780</v>
      </c>
      <c r="DN7" s="70" t="str">
        <f t="shared" si="16"/>
        <v>0074-7</v>
      </c>
      <c r="DO7" s="70" t="str">
        <f t="shared" si="17"/>
        <v>0</v>
      </c>
      <c r="DP7" s="70" t="str">
        <f t="shared" si="18"/>
        <v>0</v>
      </c>
      <c r="DQ7" s="64" t="str">
        <f t="shared" si="19"/>
        <v/>
      </c>
      <c r="DR7" s="64" t="str">
        <f t="shared" si="20"/>
        <v>8752750</v>
      </c>
      <c r="DS7" s="64" t="str">
        <f t="shared" si="21"/>
        <v>237</v>
      </c>
      <c r="DT7" s="64" t="str">
        <f t="shared" si="22"/>
        <v>57371</v>
      </c>
      <c r="DU7" s="64" t="str">
        <f t="shared" si="23"/>
        <v>227390</v>
      </c>
      <c r="DV7" s="60" t="str">
        <f t="shared" si="24"/>
        <v>0055</v>
      </c>
      <c r="DW7" s="67" t="str">
        <f t="shared" si="25"/>
        <v>ANANINDEUA</v>
      </c>
      <c r="DX7" s="60" t="str" cm="1">
        <f t="array" ref="DX7">TEXT( MIG_NORMA.NÚMERICO( J7 ), "00000000000" )</f>
        <v>06359714299</v>
      </c>
      <c r="DY7" s="60" t="str" cm="1">
        <f t="array" ref="DY7">TEXT( MIG_NORMA.NÚMERICO( K7 ), "0000000" )</f>
        <v>0063597</v>
      </c>
      <c r="DZ7" s="64" t="str">
        <f t="shared" si="26"/>
        <v>12/02/2026</v>
      </c>
      <c r="EA7" s="64" t="str">
        <f t="shared" si="27"/>
        <v/>
      </c>
      <c r="EB7" s="64" t="str">
        <f t="shared" si="28"/>
        <v>12/03/2008</v>
      </c>
      <c r="EC7" s="64" t="str">
        <f t="shared" si="29"/>
        <v>18/09/2025</v>
      </c>
      <c r="ED7" s="64" t="str">
        <f t="shared" si="30"/>
        <v/>
      </c>
      <c r="EE7" s="64" t="str">
        <f t="shared" si="31"/>
        <v/>
      </c>
      <c r="EF7" s="64" t="str">
        <f t="shared" si="32"/>
        <v>18/09/2025</v>
      </c>
      <c r="EG7" s="64" t="str">
        <f t="shared" si="33"/>
        <v>12/02/2026</v>
      </c>
      <c r="EH7" s="64" t="str">
        <f t="shared" si="34"/>
        <v/>
      </c>
      <c r="EI7" s="68" t="str">
        <f t="shared" si="35"/>
        <v/>
      </c>
      <c r="EJ7" s="64" t="str">
        <f t="shared" si="36"/>
        <v>12/02/2027</v>
      </c>
      <c r="EK7" s="64" t="str">
        <f t="shared" si="37"/>
        <v/>
      </c>
      <c r="EL7" s="64" t="str">
        <f t="shared" si="38"/>
        <v/>
      </c>
      <c r="EM7" s="64" t="str">
        <f t="shared" si="39"/>
        <v>12/02/2026</v>
      </c>
      <c r="EN7" s="64" t="str">
        <f t="shared" si="57"/>
        <v>12/02/2026</v>
      </c>
      <c r="EO7" s="64" t="str">
        <f t="shared" si="40"/>
        <v>19/01/2028</v>
      </c>
      <c r="EP7" s="64" t="str">
        <f t="shared" si="41"/>
        <v/>
      </c>
      <c r="EQ7" s="63" t="str">
        <f t="shared" si="42"/>
        <v>INSERT INTO PARCNEGOCIO ( NRPARCNEGOCIO, NRORG, NMPRINCIPALPARC, NMSECUNDARIPARC, DTNASCIFUNDPARC, NRINSCRICAOPARC, IDATIVO, DTINCLUSAO, NRORGINCLUSAO, CDOPERINCLUSAO, CDTIPOPARCPRINCIPAL, CDTIPOINSCRICAO, IDPESSOAFISICA, IDINSTITUICAO, IDPARCFUNDIDO ) VALUES ( 208, 5862, 'SABRINA PANTOJA ESTUMANO', 'SABRINA PANTOJA ESTUMANO', '12/03/2008', '06359714299', 'S', SYSDATE, 5862, '000000099991', 'PESSOA', 'CPF', 'S', 'N', 'N' );</v>
      </c>
      <c r="ER7" s="63" t="str">
        <f t="shared" si="43"/>
        <v>INSERT INTO GPE_PESSOA ( NRPESSOA, NRORG, NRPARCNEGOCIO, DTINCLUSAO, NRORGINCLUSAO, CDOPERINCLUSAO ) VALUES ( 5, 5862, 208, SYSDATE, 5862, '000000099991' );</v>
      </c>
      <c r="ES7"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( 5, 5, 5862, '01/01/2000', 'SABRINA PANTOJA ESTUMANO', 'S', '06359714299', '0063597', '14299', 'PA', '18/09/2025', '16682656263', '', '088286931325', '304', '107', '', '', '', (SELECT NRCATMILITARPE FROM GPE_CATMILITARPE WHERE NRCATMILITARPE = ''), '', SYSDATE, 5862, '000000099991', '5', '1058', 'PA', (SELECT MAX(CDMUNICIPIO) FROM MUNICIPIO WHERE NMMUNICIPIO = 'MOCAJUBA'), '12/03/2008', 'F', '8752750', 'PC', 'PA', '18/09/2025', '1', '7' , '1');</v>
      </c>
      <c r="ET7"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(5, 5, 5862, '790000-0-01642', '12/02/2026', '', SYSDATE, 5862, '000000099991', '1', '1', '1', '', '12/02/2026', '', '', 'SABRINA PANTOJA ESTUMANO', '', '', '', '0', '0', '12/02/2027', '');</v>
      </c>
      <c r="EU7"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(13, 5, '', (SELECT MAX(NROCUPACAOM) FROM GPE_OCUPACAOH WHERE NRORG = 5862 AND CDINTEGRACAO = '0074-7'), (SELECT MAX(NROCUPACAOM) FROM GPE_OCUPACAOH WHERE NRORG = 5862 AND CDINTEGRACAO = '0074-7'), 5862, '01/01/2000', 'NUNCA', SYSDATE, 5862, '000000099991', '0', '0', '12/02/2026', 'SAL1', 'MENSAL', (SELECT MAX(NRESTRUTURAM) FROM ESTRUTURAM WHERE NRORG = 5862 AND CDINTESTRUTURA = 'est_MATSAUDE'), NVL((SELECT MAX(NRESTRUTURAM) FROM ESTRUTURAM WHERE NRORG = 5862 AND CDINTESTRUTURA = 'dep_790000'), 999992), NVL((SELECT MAX(NRESTRUTURAM) FROM ESTRUTURAM WHERE NRORG = 5862 AND CDINTESTRUTURA = 'sin_01'), 999993), '1', 'UNICO', '', 2, '19/01/2028', 'N', (SELECT MAX(NRESCALATRABM) FROM GPE_ESCALATRABH WHERE NRORG = 5862 AND NRESCALATRABM = '000012') );</v>
      </c>
      <c r="EV7"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14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13;</v>
      </c>
      <c r="EW7"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15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13;</v>
      </c>
      <c r="EX7" s="63" t="str">
        <f t="shared" si="59"/>
        <v>INSERT INTO GPE_ALTESITUFUNC ( NRALTESITUFUNC, NRORG, NRSITUFUNCM, NRVINCULOM, DTINISITUFUNC, DTINCLUSAO, NRORGINCLUSAO, CDOPERINCLUSAO ) VALUES ( 5, 5862, (CASE WHEN '' IS NOT NULL THEN '' WHEN '' IS NULL THEN '1' ELSE '13' END), 5, '12/02/2026', SYSDATE, 5862, '000000099991' );</v>
      </c>
      <c r="EY7" s="63" t="str">
        <f t="shared" si="48"/>
        <v>INSERT INTO CONTCORRPARC ( NRCONTCORRPARC, NRORG, NRPARCNEGOCIO, CDBANCO, CDAGENCIA, CDCONTCORR, NRTPCONTCORR, DTINCLUSAO, NRORGINCLUSAO, CDOPERINCLUSAO, IDATIVO ) VALUES ( 5, 5862, 208, '237', '57371', '227390', '2', SYSDATE, 5862, '000000099991', 'S' );</v>
      </c>
      <c r="EZ7" s="63" t="str">
        <f t="shared" si="60"/>
        <v/>
      </c>
      <c r="FA7" s="63" t="str">
        <f t="shared" si="61"/>
        <v>INSERT INTO COMUNICAPARC ( NRCOMUNICAPARC, NRPARCNEGOCIO, CDFORMACOMU, CDPREFIXCOMUPARC, CDCOMUNICAPARC, NRORG, IDATIVO, DTINCLUSAO, NRORGINCLUSAO, CDOPERINCLUSAO ) VALUES ( 7, 208, '02', '91', '981418317', 5862, 'S', SYSDATE, 5862, '000000099991' );</v>
      </c>
      <c r="FB7" s="63" t="str">
        <f t="shared" si="62"/>
        <v>INSERT INTO COMUNICAPARC ( NRCOMUNICAPARC, NRPARCNEGOCIO, CDFORMACOMU, CDCOMUNICAPARC, NRORG, IDATIVO, DTINCLUSAO, NRORGINCLUSAO, CDOPERINCLUSAO ) VALUES ( 34, 208, '05', 'sabrinaestumano738@gmail.com', 5862, 'S', SYSDATE, 5862, '000000099991' );</v>
      </c>
      <c r="FC7" s="63" t="str">
        <f t="shared" si="63"/>
        <v>INSERT INTO ENDERECOPARC ( NRENDERECOPARC, NRPARCNEGOCIO, CDTIPOENDERECO, NRORG, IDATIVO, DTINCLUSAO, NRORGINCLUSAO, CDOPERINCLUSAO, CDPAIS, CDMUNICIPIO, CDLOGRADOURO, NMBAIRROENDERECO, DSCOMPLEENDERECO, NRCEPENDERECO, DSENDERECO, NRIMOVELENDERECO, SGESTADO ) VALUES ( 15, 208, 'PRINCIPAL', 5862, 'S', SYSDATE, 5862, '000000099991', '0055', ( SELECT MAX(CDMUNICIPIO) FROM MUNICIPIO WHERE NMMUNICIPIO = 'ANANINDEUA' AND SGESTADO = 'PA' ), 'R', 'ICUI GUAJARA', 'PX. PSS PRINCESA DIANA 02', '67125780', 'DR. OSVALDO CRUZ', '02', 'PA');</v>
      </c>
      <c r="FD7" s="63" t="str">
        <f t="shared" ca="1" si="49"/>
        <v>INSERT INTO GPE_MOVIMENTACAO ( NRMOVIMENTACAO, NRORG, NRVINCULOM, NRTIPOTRANSFER, NRTPMOVTRANSFM, NRESTRUTURAM, DTINIMOVIMENT, DSOBSERVACAO, DTINCLUSAO, NRORGINCLUSAO, CDOPERINCLUSAO, NRTIPOESTRUTURA ) VALUES ( 5, 5862, 5, 1, 1, (SELECT MAX(NRESTRUTURAM) FROM ESTRUTURAM WHERE NRORG = 5862 AND CDINTESTRUTURA = 'est_MATSAUDE' AND NRTIPOESTRUTURA = (SELECT NRTPESTRUTLEGAL FROM GPE_PARAMORG WHERE NRORG = 5862)), '12/02/2026', 'Movimentacao gerada via migracao ' || SYSDATE, SYSDATE, 5862, '000000099991', ( SELECT NRTPESTRUTLEGAL FROM GPE_PARAMORG WHERE NRORG = 5862 ) );</v>
      </c>
      <c r="FE7" s="63" t="str">
        <f t="shared" ca="1" si="50"/>
        <v>INSERT INTO GPE_MOVIMENTACAO ( NRMOVIMENTACAO, NRORG, NRVINCULOM, NRTIPOTRANSFER, NRTPMOVTRANSFM, NRESTRUTURAM, DTINIMOVIMENT, DSOBSERVACAO, DTINCLUSAO, NRORGINCLUSAO, CDOPERINCLUSAO, NRTIPOESTRUTURA ) VALUES ( 32, 5862, 5, 2, 1, (SELECT MAX(NRESTRUTURAM) FROM ESTRUTURAM WHERE NRORG = 5862 AND CDINTESTRUTURA = 'dep_790000' AND NRTIPOESTRUTURA = (SELECT NRTPESTRUTGEREN FROM GPE_PARAMORG WHERE NRORG = 5862)), '12/02/2026', 'Movimentacao gerada via migracao ' || SYSDATE, SYSDATE, 5862, '000000099991', ( SELECT NRTPESTRUTGEREN FROM GPE_PARAMORG WHERE NRORG = 5862 ) );</v>
      </c>
      <c r="FF7" s="63" t="str">
        <f t="shared" ca="1" si="51"/>
        <v>INSERT INTO GPE_MOVIMENTACAO ( NRMOVIMENTACAO, NRORG, NRVINCULOM, NRTIPOTRANSFER, NRTPMOVTRANSFM, NRESTRUTURAM, DTINIMOVIMENT, DSOBSERVACAO, DTINCLUSAO, NRORGINCLUSAO, CDOPERINCLUSAO, NRTIPOESTRUTURA ) VALUES ( 57, 5862, 5, 1, 1, (SELECT MAX(NRESTRUTURAM) FROM ESTRUTURAM WHERE NRORG = 5862 AND CDINTESTRUTURA = 'sin_01' AND NRTIPOESTRUTURA = 10), '12/02/2026', 'Movimentacao gerada via migracao ' || SYSDATE, SYSDATE, 5862, '000000099991', 10 );</v>
      </c>
      <c r="FG7" s="63" t="str">
        <f t="shared" si="52"/>
        <v>COMMIT;</v>
      </c>
      <c r="FI7" s="21" t="str">
        <f ca="1"/>
        <v>não</v>
      </c>
      <c r="FL7" s="21" t="str">
        <f ca="1"/>
        <v>existe</v>
      </c>
      <c r="FO7" s="18"/>
      <c r="FP7" s="21" t="str">
        <f ca="1"/>
        <v>não</v>
      </c>
      <c r="FS7" s="18"/>
      <c r="FT7" s="21" t="str">
        <f ca="1"/>
        <v>existe</v>
      </c>
      <c r="FW7" s="18"/>
      <c r="FX7" s="21" t="str">
        <f ca="1"/>
        <v>existe</v>
      </c>
      <c r="GA7" s="18"/>
      <c r="GB7" s="21" t="str">
        <f ca="1"/>
        <v>existe</v>
      </c>
      <c r="GD7" s="21" t="str">
        <f ca="1"/>
        <v xml:space="preserve">  - Vínculo (matrícula): 100000-2-E1079, estrutura legal </v>
      </c>
      <c r="GF7" s="21" t="s">
        <v>384</v>
      </c>
      <c r="GG7" s="97" t="str">
        <f>"INSERT INTO ESTRUTURAM ( NRESTRUTURAM, NRORG, NRTIPOESTRUTURA, DTINIVIGENCIA, CDINTESTRUTURA, DTINCLUSAO, NRORGINCLUSAO, CDOPERINCLUSAO, IDATIVO ) VALUES (" &amp; GF6 &amp; ", " &amp; $CM$2 &amp; ", 5, '01/01/2000', 'AA_TMP_GEREN', SYSDATE, 1038, '000000099991', 'S' );	INSERT INTO ESTRUTURAH ( NRESTRUTURAH, NRORG, NRESTRUTURAM, DTMESCOMPETENC, IDOPTSIMPLES, DTINCLUSAO, NRORGINCLUSAO, CDOPERINCLUSAO ) VALUES ( " &amp; GF6 &amp; ", " &amp; $CM$2 &amp; ", " &amp; GF6 &amp; ", '01/01/2000', 'N', SYSDATE, 1038, '000000099991' );"</f>
        <v>INSERT INTO ESTRUTURAM ( NRESTRUTURAM, NRORG, NRTIPOESTRUTURA, DTINIVIGENCIA, CDINTESTRUTURA, DTINCLUSAO, NRORGINCLUSAO, CDOPERINCLUSAO, IDATIVO ) VALUES (999992, 5862, 5, '01/01/2000', 'AA_TMP_GEREN', SYSDATE, 1038, '000000099991', 'S' );	INSERT INTO ESTRUTURAH ( NRESTRUTURAH, NRORG, NRESTRUTURAM, DTMESCOMPETENC, IDOPTSIMPLES, DTINCLUSAO, NRORGINCLUSAO, CDOPERINCLUSAO ) VALUES ( 999992, 5862, 999992, '01/01/2000', 'N', SYSDATE, 1038, '000000099991' );</v>
      </c>
      <c r="GI7" s="22" t="s">
        <v>251</v>
      </c>
      <c r="GJ7" s="27">
        <f t="shared" ref="GJ7:GQ7" ca="1" si="76">MAX(OFFSET($A$1,2,MATCH(GJ$3,$1:$1,0)-1,1048574,1))</f>
        <v>230</v>
      </c>
      <c r="GK7" s="27">
        <f t="shared" ca="1" si="76"/>
        <v>27</v>
      </c>
      <c r="GL7" s="27">
        <f t="shared" ca="1" si="76"/>
        <v>27</v>
      </c>
      <c r="GM7" s="27">
        <f t="shared" ca="1" si="76"/>
        <v>27</v>
      </c>
      <c r="GN7" s="27">
        <f t="shared" ca="1" si="76"/>
        <v>27</v>
      </c>
      <c r="GO7" s="27">
        <f t="shared" ca="1" si="76"/>
        <v>13</v>
      </c>
      <c r="GP7" s="27">
        <f t="shared" ca="1" si="76"/>
        <v>2</v>
      </c>
      <c r="GQ7" s="27">
        <f t="shared" ca="1" si="76"/>
        <v>37</v>
      </c>
      <c r="GR7" s="28">
        <f ca="1">MAX(OFFSET($A$1,2,MATCH(GR$3,$1:$1,0)-1,1048574,3))</f>
        <v>81</v>
      </c>
      <c r="GS7" s="28">
        <f ca="1">MAX(OFFSET($A$1,2,MATCH(GS$3,$1:$1,0)-1,1048574,3))</f>
        <v>63</v>
      </c>
      <c r="GT7" s="22" t="s">
        <v>251</v>
      </c>
      <c r="GU7" s="25">
        <f t="shared" ca="1" si="64"/>
        <v>230</v>
      </c>
      <c r="GV7" s="25">
        <f t="shared" ca="1" si="65"/>
        <v>27</v>
      </c>
      <c r="GW7" s="25">
        <f t="shared" ca="1" si="66"/>
        <v>27</v>
      </c>
      <c r="GX7" s="25">
        <f t="shared" ca="1" si="67"/>
        <v>27</v>
      </c>
      <c r="GY7" s="25">
        <f t="shared" ca="1" si="68"/>
        <v>27</v>
      </c>
      <c r="GZ7" s="25">
        <f t="shared" ca="1" si="69"/>
        <v>13</v>
      </c>
      <c r="HA7" s="25">
        <f t="shared" ca="1" si="70"/>
        <v>2</v>
      </c>
      <c r="HB7" s="25">
        <f t="shared" ca="1" si="71"/>
        <v>37</v>
      </c>
      <c r="HC7" s="25">
        <f t="shared" ca="1" si="72"/>
        <v>81</v>
      </c>
      <c r="HD7" s="25">
        <f t="shared" ca="1" si="73"/>
        <v>63</v>
      </c>
      <c r="HE7" s="22"/>
      <c r="HF7" s="25"/>
      <c r="HG7" s="25"/>
      <c r="HH7" s="25"/>
      <c r="HI7" s="25"/>
      <c r="HJ7" s="25"/>
      <c r="HK7" s="25"/>
      <c r="HL7" s="25"/>
      <c r="HM7" s="25"/>
      <c r="HN7" s="25"/>
      <c r="HO7" s="25"/>
      <c r="HP7" s="18"/>
    </row>
    <row r="8" spans="1:224" x14ac:dyDescent="0.3">
      <c r="A8" s="16" t="s">
        <v>537</v>
      </c>
      <c r="B8"/>
      <c r="C8" s="16" t="s">
        <v>538</v>
      </c>
      <c r="E8" s="16" t="s">
        <v>539</v>
      </c>
      <c r="F8" s="16" t="s">
        <v>391</v>
      </c>
      <c r="G8" s="16" t="s">
        <v>323</v>
      </c>
      <c r="H8" s="16" t="s">
        <v>540</v>
      </c>
      <c r="I8" s="16" t="s">
        <v>224</v>
      </c>
      <c r="J8" s="16" t="s">
        <v>541</v>
      </c>
      <c r="K8" s="16" t="s">
        <v>542</v>
      </c>
      <c r="L8" s="16" t="s">
        <v>543</v>
      </c>
      <c r="M8" s="16" t="s">
        <v>396</v>
      </c>
      <c r="N8" s="16" t="s">
        <v>544</v>
      </c>
      <c r="O8" s="16" t="s">
        <v>545</v>
      </c>
      <c r="Q8" s="16" t="s">
        <v>546</v>
      </c>
      <c r="R8" s="16" t="s">
        <v>439</v>
      </c>
      <c r="S8" s="16" t="s">
        <v>396</v>
      </c>
      <c r="T8" s="16" t="s">
        <v>547</v>
      </c>
      <c r="U8" s="16" t="s">
        <v>548</v>
      </c>
      <c r="V8" s="16" t="s">
        <v>549</v>
      </c>
      <c r="W8" s="16" t="s">
        <v>436</v>
      </c>
      <c r="AC8" s="16" t="s">
        <v>273</v>
      </c>
      <c r="AD8" s="16" t="s">
        <v>403</v>
      </c>
      <c r="AE8" s="16" t="s">
        <v>396</v>
      </c>
      <c r="AF8" s="16" t="s">
        <v>404</v>
      </c>
      <c r="AG8" s="16" t="s">
        <v>550</v>
      </c>
      <c r="AH8" s="16" t="s">
        <v>225</v>
      </c>
      <c r="AI8" s="16" t="s">
        <v>303</v>
      </c>
      <c r="AJ8" s="16" t="s">
        <v>406</v>
      </c>
      <c r="AK8" s="16" t="s">
        <v>551</v>
      </c>
      <c r="AL8" s="16" t="s">
        <v>552</v>
      </c>
      <c r="AM8" s="16" t="s">
        <v>271</v>
      </c>
      <c r="AN8" s="16" t="s">
        <v>270</v>
      </c>
      <c r="AO8" s="16" t="s">
        <v>219</v>
      </c>
      <c r="AP8" s="98" t="s">
        <v>2567</v>
      </c>
      <c r="AQ8" s="16" t="s">
        <v>553</v>
      </c>
      <c r="AR8" s="16" t="s">
        <v>1747</v>
      </c>
      <c r="AS8" s="16" t="s">
        <v>396</v>
      </c>
      <c r="AT8" s="16" t="s">
        <v>404</v>
      </c>
      <c r="AU8" s="16" t="s">
        <v>554</v>
      </c>
      <c r="AV8" s="16" t="s">
        <v>555</v>
      </c>
      <c r="AW8" s="16" t="s">
        <v>321</v>
      </c>
      <c r="AX8" s="16" t="s">
        <v>556</v>
      </c>
      <c r="AZ8" s="16" t="s">
        <v>557</v>
      </c>
      <c r="BA8" s="16" t="s">
        <v>270</v>
      </c>
      <c r="BB8" t="s">
        <v>1746</v>
      </c>
      <c r="BC8" s="16" t="s">
        <v>537</v>
      </c>
      <c r="BF8" s="16" t="s">
        <v>558</v>
      </c>
      <c r="BG8" s="16" t="s">
        <v>304</v>
      </c>
      <c r="BM8" s="16" t="s">
        <v>559</v>
      </c>
      <c r="BN8" s="16" t="s">
        <v>270</v>
      </c>
      <c r="BO8" s="16" t="s">
        <v>270</v>
      </c>
      <c r="BP8" s="16" t="s">
        <v>537</v>
      </c>
      <c r="BQ8" s="16" t="s">
        <v>419</v>
      </c>
      <c r="BR8" s="16" t="s">
        <v>419</v>
      </c>
      <c r="BS8" s="16" t="s">
        <v>270</v>
      </c>
      <c r="BT8" s="16" t="s">
        <v>314</v>
      </c>
      <c r="BU8" s="16" t="s">
        <v>532</v>
      </c>
      <c r="BV8" s="16" t="s">
        <v>334</v>
      </c>
      <c r="BW8" s="16" t="s">
        <v>334</v>
      </c>
      <c r="BX8" s="16" t="s">
        <v>560</v>
      </c>
      <c r="BZ8" s="16" t="s">
        <v>422</v>
      </c>
      <c r="CC8" s="16" t="s">
        <v>270</v>
      </c>
      <c r="CD8"/>
      <c r="CE8" s="16" t="s">
        <v>561</v>
      </c>
      <c r="CF8" s="16" t="s">
        <v>562</v>
      </c>
      <c r="CG8" s="16" t="s">
        <v>563</v>
      </c>
      <c r="CH8" s="16" t="s">
        <v>564</v>
      </c>
      <c r="CI8"/>
      <c r="CJ8" s="16" t="s">
        <v>428</v>
      </c>
      <c r="CK8" s="16" t="s">
        <v>565</v>
      </c>
      <c r="CM8" s="79" t="s">
        <v>238</v>
      </c>
      <c r="CN8" s="63"/>
      <c r="CO8" s="63"/>
      <c r="CP8" s="85">
        <f t="shared" ref="CP8:CS8" si="77">CP7+1</f>
        <v>209</v>
      </c>
      <c r="CQ8" s="85">
        <f t="shared" si="77"/>
        <v>6</v>
      </c>
      <c r="CR8" s="85">
        <f t="shared" si="77"/>
        <v>6</v>
      </c>
      <c r="CS8" s="85">
        <f t="shared" si="77"/>
        <v>6</v>
      </c>
      <c r="CT8" s="85">
        <f t="shared" ref="CT8:CV8" si="78">CT7+3</f>
        <v>16</v>
      </c>
      <c r="CU8" s="65">
        <f t="shared" si="78"/>
        <v>17</v>
      </c>
      <c r="CV8" s="65">
        <f t="shared" si="78"/>
        <v>18</v>
      </c>
      <c r="CW8" s="85">
        <f t="shared" ref="CW8:DB8" si="79">CW7+1</f>
        <v>6</v>
      </c>
      <c r="CX8" s="85">
        <f t="shared" si="9"/>
        <v>6</v>
      </c>
      <c r="CY8" s="85">
        <f t="shared" si="10"/>
        <v>1</v>
      </c>
      <c r="CZ8" s="85">
        <f t="shared" si="54"/>
        <v>8</v>
      </c>
      <c r="DA8" s="85">
        <f t="shared" si="55"/>
        <v>35</v>
      </c>
      <c r="DB8" s="85">
        <f t="shared" si="79"/>
        <v>16</v>
      </c>
      <c r="DC8" s="85">
        <f ca="1">IF( OR( AP8 = "", FT8 &lt;&gt; "existe" ), "", LARGE( DC$2:DC7, 1 ) + 1 )</f>
        <v>6</v>
      </c>
      <c r="DD8" s="66">
        <f ca="1">IF( OR( AQ8 = "", FX8 &lt;&gt; "existe" ), "", LARGE( DD$2:DD7, 1 ) + 1 )</f>
        <v>33</v>
      </c>
      <c r="DE8" s="66">
        <f ca="1">IF( OR( BU8 = "", GB8 &lt;&gt; "existe" ), "", LARGE( DE$2:DE7, 1 ) + 1 )</f>
        <v>58</v>
      </c>
      <c r="DF8" s="67" t="str">
        <f t="shared" si="11"/>
        <v>NUNCA</v>
      </c>
      <c r="DG8" s="67" t="str">
        <f t="shared" si="56"/>
        <v>BELEM</v>
      </c>
      <c r="DH8" s="67">
        <f t="shared" si="12"/>
        <v>1</v>
      </c>
      <c r="DI8" s="67" t="str">
        <f t="shared" si="13"/>
        <v>AL</v>
      </c>
      <c r="DJ8" s="67" t="str">
        <f t="shared" si="14"/>
        <v>APOLINARIO MOREIRA</v>
      </c>
      <c r="DK8" s="67" t="str">
        <f t="shared" si="15"/>
        <v>MARCO</v>
      </c>
      <c r="DL8" s="67" t="str">
        <f t="shared" si="15"/>
        <v/>
      </c>
      <c r="DM8" s="67" t="str">
        <f t="shared" si="15"/>
        <v>66093620</v>
      </c>
      <c r="DN8" s="70" t="str">
        <f t="shared" si="16"/>
        <v>0120-1</v>
      </c>
      <c r="DO8" s="70" t="str">
        <f t="shared" si="17"/>
        <v>0</v>
      </c>
      <c r="DP8" s="70" t="str">
        <f t="shared" si="18"/>
        <v>0</v>
      </c>
      <c r="DQ8" s="64" t="str">
        <f t="shared" si="19"/>
        <v/>
      </c>
      <c r="DR8" s="64" t="str">
        <f t="shared" si="20"/>
        <v>6946092</v>
      </c>
      <c r="DS8" s="64" t="str">
        <f t="shared" si="21"/>
        <v>237</v>
      </c>
      <c r="DT8" s="64" t="str">
        <f t="shared" si="22"/>
        <v>04871</v>
      </c>
      <c r="DU8" s="64" t="str">
        <f t="shared" si="23"/>
        <v>346543</v>
      </c>
      <c r="DV8" s="60" t="str">
        <f t="shared" si="24"/>
        <v>0055</v>
      </c>
      <c r="DW8" s="67" t="str">
        <f t="shared" si="25"/>
        <v>BELEM</v>
      </c>
      <c r="DX8" s="60" t="str" cm="1">
        <f t="array" ref="DX8">TEXT( MIG_NORMA.NÚMERICO( J8 ), "00000000000" )</f>
        <v>02019052210</v>
      </c>
      <c r="DY8" s="60" t="str" cm="1">
        <f t="array" ref="DY8">TEXT( MIG_NORMA.NÚMERICO( K8 ), "0000000" )</f>
        <v>0201905</v>
      </c>
      <c r="DZ8" s="64" t="str">
        <f t="shared" si="26"/>
        <v>09/02/2026</v>
      </c>
      <c r="EA8" s="64" t="str">
        <f t="shared" si="27"/>
        <v/>
      </c>
      <c r="EB8" s="64" t="str">
        <f t="shared" si="28"/>
        <v>12/04/2006</v>
      </c>
      <c r="EC8" s="64" t="str">
        <f t="shared" si="29"/>
        <v>27/12/2024</v>
      </c>
      <c r="ED8" s="64" t="str">
        <f t="shared" si="30"/>
        <v/>
      </c>
      <c r="EE8" s="64" t="str">
        <f t="shared" si="31"/>
        <v/>
      </c>
      <c r="EF8" s="64" t="str">
        <f t="shared" si="32"/>
        <v>26/06/2020</v>
      </c>
      <c r="EG8" s="64" t="str">
        <f t="shared" si="33"/>
        <v>09/02/2026</v>
      </c>
      <c r="EH8" s="64" t="str">
        <f t="shared" si="34"/>
        <v/>
      </c>
      <c r="EI8" s="68" t="str">
        <f t="shared" si="35"/>
        <v/>
      </c>
      <c r="EJ8" s="64" t="str">
        <f t="shared" si="36"/>
        <v>26/01/2027</v>
      </c>
      <c r="EK8" s="64" t="str">
        <f t="shared" si="37"/>
        <v/>
      </c>
      <c r="EL8" s="64" t="str">
        <f t="shared" si="38"/>
        <v/>
      </c>
      <c r="EM8" s="64" t="str">
        <f t="shared" si="39"/>
        <v>09/02/2026</v>
      </c>
      <c r="EN8" s="64" t="str">
        <f t="shared" si="57"/>
        <v>09/02/2026</v>
      </c>
      <c r="EO8" s="64" t="str">
        <f t="shared" si="40"/>
        <v>25/03/2026</v>
      </c>
      <c r="EP8" s="64" t="str">
        <f t="shared" si="41"/>
        <v/>
      </c>
      <c r="EQ8" s="63" t="str">
        <f t="shared" si="42"/>
        <v>INSERT INTO PARCNEGOCIO ( NRPARCNEGOCIO, NRORG, NMPRINCIPALPARC, NMSECUNDARIPARC, DTNASCIFUNDPARC, NRINSCRICAOPARC, IDATIVO, DTINCLUSAO, NRORGINCLUSAO, CDOPERINCLUSAO, CDTIPOPARCPRINCIPAL, CDTIPOINSCRICAO, IDPESSOAFISICA, IDINSTITUICAO, IDPARCFUNDIDO ) VALUES ( 209, 5862, 'RENAN RIBEIRO FERRO', 'RENAN RIBEIRO FERRO', '12/04/2006', '02019052210', 'S', SYSDATE, 5862, '000000099991', 'PESSOA', 'CPF', 'S', 'N', 'N' );</v>
      </c>
      <c r="ER8" s="63" t="str">
        <f t="shared" si="43"/>
        <v>INSERT INTO GPE_PESSOA ( NRPESSOA, NRORG, NRPARCNEGOCIO, DTINCLUSAO, NRORGINCLUSAO, CDOPERINCLUSAO ) VALUES ( 6, 5862, 209, SYSDATE, 5862, '000000099991' );</v>
      </c>
      <c r="ES8"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( 6, 6, 5862, '01/01/2000', 'RENAN RIBEIRO FERRO', 'S', '02019052210', '0201905', '2210', 'PA', '27/12/2024', '26999637081', '', '085272081368', '387', '76', '', '', '', (SELECT NRCATMILITARPE FROM GPE_CATMILITARPE WHERE NRCATMILITARPE = ''), '', SYSDATE, 5862, '000000099991', '5', '1058', 'PA', (SELECT MAX(CDMUNICIPIO) FROM MUNICIPIO WHERE NMMUNICIPIO = 'BELEM'), '12/04/2006', 'M', '6946092', 'PC', 'PA', '26/06/2020', '1', '9' , '1');</v>
      </c>
      <c r="ET8"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(6, 6, 5862, '520000-0-01640', '09/02/2026', '', SYSDATE, 5862, '000000099991', '1', '1', '1', '', '09/02/2026', '', '', 'RENAN RIBEIRO FERRO', '', '', '', '45', '45', '26/01/2027', '');</v>
      </c>
      <c r="EU8"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(16, 6, '', (SELECT MAX(NROCUPACAOM) FROM GPE_OCUPACAOH WHERE NRORG = 5862 AND CDINTEGRACAO = '0120-1'), (SELECT MAX(NROCUPACAOM) FROM GPE_OCUPACAOH WHERE NRORG = 5862 AND CDINTEGRACAO = '0120-1'), 5862, '01/01/2000', 'NUNCA', SYSDATE, 5862, '000000099991', '0', '0', '09/02/2026', 'SAL1', 'MENSAL', (SELECT MAX(NRESTRUTURAM) FROM ESTRUTURAM WHERE NRORG = 5862 AND CDINTESTRUTURA = 'est_MATSAUDE'), NVL((SELECT MAX(NRESTRUTURAM) FROM ESTRUTURAM WHERE NRORG = 5862 AND CDINTESTRUTURA = 'dep_520000'), 999992), NVL((SELECT MAX(NRESTRUTURAM) FROM ESTRUTURAM WHERE NRORG = 5862 AND CDINTESTRUTURA = 'sin_01'), 999993), '1', 'UNICO', '', 2, '25/03/2026', 'N', (SELECT MAX(NRESCALATRABM) FROM GPE_ESCALATRABH WHERE NRORG = 5862 AND NRESCALATRABM = '000003') );</v>
      </c>
      <c r="EV8"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17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16;</v>
      </c>
      <c r="EW8"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18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16;</v>
      </c>
      <c r="EX8" s="63" t="str">
        <f t="shared" si="59"/>
        <v>INSERT INTO GPE_ALTESITUFUNC ( NRALTESITUFUNC, NRORG, NRSITUFUNCM, NRVINCULOM, DTINISITUFUNC, DTINCLUSAO, NRORGINCLUSAO, CDOPERINCLUSAO ) VALUES ( 6, 5862, (CASE WHEN '' IS NOT NULL THEN '' WHEN '' IS NULL THEN '1' ELSE '13' END), 6, '09/02/2026', SYSDATE, 5862, '000000099991' );</v>
      </c>
      <c r="EY8" s="63" t="str">
        <f t="shared" si="48"/>
        <v>INSERT INTO CONTCORRPARC ( NRCONTCORRPARC, NRORG, NRPARCNEGOCIO, CDBANCO, CDAGENCIA, CDCONTCORR, NRTPCONTCORR, DTINCLUSAO, NRORGINCLUSAO, CDOPERINCLUSAO, IDATIVO ) VALUES ( 6, 5862, 209, '237', '04871', '346543', '2', SYSDATE, 5862, '000000099991', 'S' );</v>
      </c>
      <c r="EZ8" s="63" t="str">
        <f t="shared" si="60"/>
        <v/>
      </c>
      <c r="FA8" s="63" t="str">
        <f t="shared" si="61"/>
        <v>INSERT INTO COMUNICAPARC ( NRCOMUNICAPARC, NRPARCNEGOCIO, CDFORMACOMU, CDPREFIXCOMUPARC, CDCOMUNICAPARC, NRORG, IDATIVO, DTINCLUSAO, NRORGINCLUSAO, CDOPERINCLUSAO ) VALUES ( 8, 209, '02', '91', '983739937', 5862, 'S', SYSDATE, 5862, '000000099991' );</v>
      </c>
      <c r="FB8" s="63" t="str">
        <f t="shared" si="62"/>
        <v>INSERT INTO COMUNICAPARC ( NRCOMUNICAPARC, NRPARCNEGOCIO, CDFORMACOMU, CDCOMUNICAPARC, NRORG, IDATIVO, DTINCLUSAO, NRORGINCLUSAO, CDOPERINCLUSAO ) VALUES ( 35, 209, '05', 'rickferro505@gmail.com', 5862, 'S', SYSDATE, 5862, '000000099991' );</v>
      </c>
      <c r="FC8" s="63" t="str">
        <f t="shared" si="63"/>
        <v>INSERT INTO ENDERECOPARC ( NRENDERECOPARC, NRPARCNEGOCIO, CDTIPOENDERECO, NRORG, IDATIVO, DTINCLUSAO, NRORGINCLUSAO, CDOPERINCLUSAO, CDPAIS, CDMUNICIPIO, CDLOGRADOURO, NMBAIRROENDERECO, DSCOMPLEENDERECO, NRCEPENDERECO, DSENDERECO, NRIMOVELENDERECO, SGESTADO ) VALUES ( 16, 209, 'PRINCIPAL', 5862, 'S', SYSDATE, 5862, '000000099991', '0055', ( SELECT MAX(CDMUNICIPIO) FROM MUNICIPIO WHERE NMMUNICIPIO = 'BELEM' AND SGESTADO = 'PA' ), 'AL', 'MARCO', '', '66093620', 'APOLINARIO MOREIRA', '44', 'PA');</v>
      </c>
      <c r="FD8" s="63" t="str">
        <f t="shared" ca="1" si="49"/>
        <v>INSERT INTO GPE_MOVIMENTACAO ( NRMOVIMENTACAO, NRORG, NRVINCULOM, NRTIPOTRANSFER, NRTPMOVTRANSFM, NRESTRUTURAM, DTINIMOVIMENT, DSOBSERVACAO, DTINCLUSAO, NRORGINCLUSAO, CDOPERINCLUSAO, NRTIPOESTRUTURA ) VALUES ( 6, 5862, 6, 1, 1, (SELECT MAX(NRESTRUTURAM) FROM ESTRUTURAM WHERE NRORG = 5862 AND CDINTESTRUTURA = 'est_MATSAUDE' AND NRTIPOESTRUTURA = (SELECT NRTPESTRUTLEGAL FROM GPE_PARAMORG WHERE NRORG = 5862)), '09/02/2026', 'Movimentacao gerada via migracao ' || SYSDATE, SYSDATE, 5862, '000000099991', ( SELECT NRTPESTRUTLEGAL FROM GPE_PARAMORG WHERE NRORG = 5862 ) );</v>
      </c>
      <c r="FE8" s="63" t="str">
        <f t="shared" ca="1" si="50"/>
        <v>INSERT INTO GPE_MOVIMENTACAO ( NRMOVIMENTACAO, NRORG, NRVINCULOM, NRTIPOTRANSFER, NRTPMOVTRANSFM, NRESTRUTURAM, DTINIMOVIMENT, DSOBSERVACAO, DTINCLUSAO, NRORGINCLUSAO, CDOPERINCLUSAO, NRTIPOESTRUTURA ) VALUES ( 33, 5862, 6, 2, 1, (SELECT MAX(NRESTRUTURAM) FROM ESTRUTURAM WHERE NRORG = 5862 AND CDINTESTRUTURA = 'dep_520000' AND NRTIPOESTRUTURA = (SELECT NRTPESTRUTGEREN FROM GPE_PARAMORG WHERE NRORG = 5862)), '09/02/2026', 'Movimentacao gerada via migracao ' || SYSDATE, SYSDATE, 5862, '000000099991', ( SELECT NRTPESTRUTGEREN FROM GPE_PARAMORG WHERE NRORG = 5862 ) );</v>
      </c>
      <c r="FF8" s="63" t="str">
        <f t="shared" ca="1" si="51"/>
        <v>INSERT INTO GPE_MOVIMENTACAO ( NRMOVIMENTACAO, NRORG, NRVINCULOM, NRTIPOTRANSFER, NRTPMOVTRANSFM, NRESTRUTURAM, DTINIMOVIMENT, DSOBSERVACAO, DTINCLUSAO, NRORGINCLUSAO, CDOPERINCLUSAO, NRTIPOESTRUTURA ) VALUES ( 58, 5862, 6, 1, 1, (SELECT MAX(NRESTRUTURAM) FROM ESTRUTURAM WHERE NRORG = 5862 AND CDINTESTRUTURA = 'sin_01' AND NRTIPOESTRUTURA = 10), '09/02/2026', 'Movimentacao gerada via migracao ' || SYSDATE, SYSDATE, 5862, '000000099991', 10 );</v>
      </c>
      <c r="FG8" s="63" t="str">
        <f t="shared" si="52"/>
        <v>COMMIT;</v>
      </c>
      <c r="FI8" s="21" t="str">
        <f ca="1"/>
        <v>não</v>
      </c>
      <c r="FL8" s="21" t="str">
        <f ca="1"/>
        <v>existe</v>
      </c>
      <c r="FO8" s="18"/>
      <c r="FP8" s="21" t="str">
        <f ca="1"/>
        <v>existe</v>
      </c>
      <c r="FS8" s="18"/>
      <c r="FT8" s="21" t="str">
        <f ca="1"/>
        <v>existe</v>
      </c>
      <c r="FW8" s="18"/>
      <c r="FX8" s="21" t="str">
        <f ca="1"/>
        <v>existe</v>
      </c>
      <c r="GA8" s="18"/>
      <c r="GB8" s="21" t="str">
        <f ca="1"/>
        <v>existe</v>
      </c>
      <c r="GD8" s="21" t="str">
        <f ca="1"/>
        <v xml:space="preserve">  - Vínculo (matrícula): 270000-2-E1071, estrutura legal </v>
      </c>
      <c r="GF8" s="21">
        <v>999993</v>
      </c>
      <c r="GG8" s="97" t="str">
        <f>"INSERT INTO ESTRUTURAM ( NRESTRUTURAM, NRORG, NRTIPOESTRUTURA, DTINIVIGENCIA, CDINTESTRUTURA, DTINCLUSAO, NRORGINCLUSAO, CDOPERINCLUSAO, IDATIVO ) VALUES (" &amp; GF8 &amp; ", " &amp; $CM$2 &amp; ", 10, '01/01/2000', 'AA_TMP_SIND', SYSDATE, 1038, '000000099991', 'S' ); INSERT INTO ESTRUTURAH ( NRESTRUTURAH, NRORG, NRESTRUTURAM, DTMESCOMPETENC, IDOPTSIMPLES, DTINCLUSAO, NRORGINCLUSAO, CDOPERINCLUSAO ) VALUES ( " &amp; GF8 &amp; ", " &amp; $CM$2 &amp; ", " &amp; GF8 &amp; ", '01/01/2000', 'N', SYSDATE, 1038, '000000099991' );"</f>
        <v>INSERT INTO ESTRUTURAM ( NRESTRUTURAM, NRORG, NRTIPOESTRUTURA, DTINIVIGENCIA, CDINTESTRUTURA, DTINCLUSAO, NRORGINCLUSAO, CDOPERINCLUSAO, IDATIVO ) VALUES (999993, 5862, 10, '01/01/2000', 'AA_TMP_SIND', SYSDATE, 1038, '000000099991', 'S' ); INSERT INTO ESTRUTURAH ( NRESTRUTURAH, NRORG, NRESTRUTURAM, DTMESCOMPETENC, IDOPTSIMPLES, DTINCLUSAO, NRORGINCLUSAO, CDOPERINCLUSAO ) VALUES ( 999993, 5862, 999993, '01/01/2000', 'N', SYSDATE, 1038, '000000099991' );</v>
      </c>
      <c r="GI8" s="22" t="s">
        <v>252</v>
      </c>
      <c r="GJ8" s="27">
        <f t="shared" ref="GJ8:GR8" ca="1" si="80">GJ7-GJ6+1</f>
        <v>27</v>
      </c>
      <c r="GK8" s="27">
        <f t="shared" ca="1" si="80"/>
        <v>27</v>
      </c>
      <c r="GL8" s="27">
        <f t="shared" ca="1" si="80"/>
        <v>27</v>
      </c>
      <c r="GM8" s="27">
        <f t="shared" ca="1" si="80"/>
        <v>27</v>
      </c>
      <c r="GN8" s="27">
        <f t="shared" ca="1" si="80"/>
        <v>27</v>
      </c>
      <c r="GO8" s="27">
        <f t="shared" ca="1" si="80"/>
        <v>13</v>
      </c>
      <c r="GP8" s="27">
        <f t="shared" ca="1" si="80"/>
        <v>2</v>
      </c>
      <c r="GQ8" s="27">
        <f t="shared" ca="1" si="80"/>
        <v>27</v>
      </c>
      <c r="GR8" s="27">
        <f t="shared" ca="1" si="80"/>
        <v>81</v>
      </c>
      <c r="GS8" s="27">
        <f ca="1">GS7-GS6+1</f>
        <v>63</v>
      </c>
      <c r="GT8" s="22" t="s">
        <v>252</v>
      </c>
      <c r="GU8" s="25">
        <f ca="1">GJ8</f>
        <v>27</v>
      </c>
      <c r="GV8" s="25">
        <f t="shared" ca="1" si="65"/>
        <v>27</v>
      </c>
      <c r="GW8" s="25">
        <f t="shared" ca="1" si="66"/>
        <v>27</v>
      </c>
      <c r="GX8" s="25">
        <f t="shared" ca="1" si="67"/>
        <v>27</v>
      </c>
      <c r="GY8" s="25">
        <f t="shared" ca="1" si="68"/>
        <v>27</v>
      </c>
      <c r="GZ8" s="25">
        <f t="shared" ca="1" si="69"/>
        <v>13</v>
      </c>
      <c r="HA8" s="25">
        <f t="shared" ca="1" si="70"/>
        <v>2</v>
      </c>
      <c r="HB8" s="25">
        <f t="shared" ca="1" si="71"/>
        <v>27</v>
      </c>
      <c r="HC8" s="25">
        <f t="shared" ca="1" si="72"/>
        <v>81</v>
      </c>
      <c r="HD8" s="25">
        <f t="shared" ca="1" si="73"/>
        <v>63</v>
      </c>
      <c r="HE8" s="22"/>
      <c r="HF8" s="25"/>
      <c r="HG8" s="25"/>
      <c r="HH8" s="25"/>
      <c r="HI8" s="25"/>
      <c r="HJ8" s="25"/>
      <c r="HK8" s="25"/>
      <c r="HL8" s="25"/>
      <c r="HM8" s="25"/>
      <c r="HN8" s="25"/>
      <c r="HO8" s="25"/>
      <c r="HP8" s="18"/>
    </row>
    <row r="9" spans="1:224" x14ac:dyDescent="0.3">
      <c r="A9" s="16" t="s">
        <v>566</v>
      </c>
      <c r="B9" s="16" t="s">
        <v>567</v>
      </c>
      <c r="C9" s="16" t="s">
        <v>568</v>
      </c>
      <c r="E9" s="16" t="s">
        <v>432</v>
      </c>
      <c r="F9" s="16" t="s">
        <v>391</v>
      </c>
      <c r="G9" s="16" t="s">
        <v>323</v>
      </c>
      <c r="H9" s="16" t="s">
        <v>569</v>
      </c>
      <c r="I9" s="16" t="s">
        <v>224</v>
      </c>
      <c r="J9" s="16" t="s">
        <v>570</v>
      </c>
      <c r="Q9" s="16" t="s">
        <v>571</v>
      </c>
      <c r="R9" s="16" t="s">
        <v>324</v>
      </c>
      <c r="S9" s="16" t="s">
        <v>396</v>
      </c>
      <c r="T9" s="16" t="s">
        <v>572</v>
      </c>
      <c r="AC9" s="16" t="s">
        <v>273</v>
      </c>
      <c r="AD9" s="16" t="s">
        <v>403</v>
      </c>
      <c r="AE9" t="s">
        <v>396</v>
      </c>
      <c r="AF9" s="16" t="s">
        <v>404</v>
      </c>
      <c r="AG9" s="16" t="s">
        <v>573</v>
      </c>
      <c r="AH9" s="16" t="s">
        <v>218</v>
      </c>
      <c r="AI9" s="16" t="s">
        <v>303</v>
      </c>
      <c r="AM9" s="16" t="s">
        <v>271</v>
      </c>
      <c r="AN9" s="16" t="s">
        <v>270</v>
      </c>
      <c r="AO9" t="s">
        <v>1746</v>
      </c>
      <c r="AP9" s="98" t="s">
        <v>2567</v>
      </c>
      <c r="AQ9" s="16" t="s">
        <v>574</v>
      </c>
      <c r="AR9" s="16" t="s">
        <v>1747</v>
      </c>
      <c r="AS9" s="16" t="s">
        <v>396</v>
      </c>
      <c r="AT9" s="16" t="s">
        <v>404</v>
      </c>
      <c r="AU9" s="16" t="s">
        <v>411</v>
      </c>
      <c r="AV9" s="16" t="s">
        <v>575</v>
      </c>
      <c r="AW9" s="16" t="s">
        <v>333</v>
      </c>
      <c r="AX9" s="16" t="s">
        <v>576</v>
      </c>
      <c r="AY9" s="16" t="s">
        <v>577</v>
      </c>
      <c r="AZ9" s="16" t="s">
        <v>578</v>
      </c>
      <c r="BA9" s="16" t="s">
        <v>270</v>
      </c>
      <c r="BB9" t="s">
        <v>1746</v>
      </c>
      <c r="BF9" s="16" t="s">
        <v>579</v>
      </c>
      <c r="BG9" s="16" t="s">
        <v>304</v>
      </c>
      <c r="BN9" t="s">
        <v>1746</v>
      </c>
      <c r="BP9" s="16" t="s">
        <v>566</v>
      </c>
      <c r="BQ9" s="16" t="s">
        <v>419</v>
      </c>
      <c r="BR9" s="16" t="s">
        <v>419</v>
      </c>
      <c r="BS9" s="16" t="s">
        <v>270</v>
      </c>
      <c r="BT9" s="16" t="s">
        <v>312</v>
      </c>
      <c r="BX9" s="16" t="s">
        <v>505</v>
      </c>
      <c r="CC9" s="16" t="s">
        <v>270</v>
      </c>
      <c r="CD9"/>
      <c r="CE9" s="16" t="s">
        <v>580</v>
      </c>
      <c r="CF9" s="16" t="s">
        <v>419</v>
      </c>
      <c r="CG9" s="16" t="s">
        <v>581</v>
      </c>
      <c r="CH9" s="16" t="s">
        <v>582</v>
      </c>
      <c r="CI9"/>
      <c r="CJ9" s="16" t="s">
        <v>428</v>
      </c>
      <c r="CK9" s="16" t="s">
        <v>583</v>
      </c>
      <c r="CM9" s="79" t="s">
        <v>238</v>
      </c>
      <c r="CN9" s="63"/>
      <c r="CO9" s="63"/>
      <c r="CP9" s="85">
        <f t="shared" ref="CP9:CS9" si="81">CP8+1</f>
        <v>210</v>
      </c>
      <c r="CQ9" s="85">
        <f t="shared" si="81"/>
        <v>7</v>
      </c>
      <c r="CR9" s="85">
        <f t="shared" si="81"/>
        <v>7</v>
      </c>
      <c r="CS9" s="85">
        <f t="shared" si="81"/>
        <v>7</v>
      </c>
      <c r="CT9" s="85">
        <f t="shared" ref="CT9:CV9" si="82">CT8+3</f>
        <v>19</v>
      </c>
      <c r="CU9" s="65">
        <f t="shared" si="82"/>
        <v>20</v>
      </c>
      <c r="CV9" s="65">
        <f t="shared" si="82"/>
        <v>21</v>
      </c>
      <c r="CW9" s="85">
        <f t="shared" ref="CW9:DB9" si="83">CW8+1</f>
        <v>7</v>
      </c>
      <c r="CX9" s="85">
        <f t="shared" si="9"/>
        <v>6</v>
      </c>
      <c r="CY9" s="85">
        <f t="shared" si="10"/>
        <v>1</v>
      </c>
      <c r="CZ9" s="85">
        <f t="shared" si="54"/>
        <v>9</v>
      </c>
      <c r="DA9" s="85">
        <f t="shared" si="55"/>
        <v>36</v>
      </c>
      <c r="DB9" s="85">
        <f t="shared" si="83"/>
        <v>17</v>
      </c>
      <c r="DC9" s="85">
        <f ca="1">IF( OR( AP9 = "", FT9 &lt;&gt; "existe" ), "", LARGE( DC$2:DC8, 1 ) + 1 )</f>
        <v>7</v>
      </c>
      <c r="DD9" s="66">
        <f ca="1">IF( OR( AQ9 = "", FX9 &lt;&gt; "existe" ), "", LARGE( DD$2:DD8, 1 ) + 1 )</f>
        <v>34</v>
      </c>
      <c r="DE9" s="66" t="str">
        <f ca="1">IF( OR( BU9 = "", GB9 &lt;&gt; "existe" ), "", LARGE( DE$2:DE8, 1 ) + 1 )</f>
        <v/>
      </c>
      <c r="DF9" s="67" t="str">
        <f t="shared" si="11"/>
        <v>NUNCA</v>
      </c>
      <c r="DG9" s="67" t="str">
        <f t="shared" si="56"/>
        <v>BELEM</v>
      </c>
      <c r="DH9" s="67">
        <f t="shared" si="12"/>
        <v>1</v>
      </c>
      <c r="DI9" s="67" t="str">
        <f t="shared" si="13"/>
        <v>R</v>
      </c>
      <c r="DJ9" s="67" t="str">
        <f t="shared" si="14"/>
        <v>K2</v>
      </c>
      <c r="DK9" s="67" t="str">
        <f t="shared" si="15"/>
        <v>CURIO UTINGA</v>
      </c>
      <c r="DL9" s="67" t="str">
        <f t="shared" si="15"/>
        <v>FINAL DA RUA</v>
      </c>
      <c r="DM9" s="67" t="str">
        <f t="shared" si="15"/>
        <v>66610325</v>
      </c>
      <c r="DN9" s="70" t="str">
        <f t="shared" si="16"/>
        <v>0089-7</v>
      </c>
      <c r="DO9" s="70" t="str">
        <f t="shared" si="17"/>
        <v>0</v>
      </c>
      <c r="DP9" s="70" t="str">
        <f t="shared" si="18"/>
        <v>0</v>
      </c>
      <c r="DQ9" s="64" t="str">
        <f t="shared" si="19"/>
        <v/>
      </c>
      <c r="DR9" s="64" t="str">
        <f t="shared" si="20"/>
        <v>11014270</v>
      </c>
      <c r="DS9" s="64" t="str">
        <f t="shared" si="21"/>
        <v>000</v>
      </c>
      <c r="DT9" s="64" t="str">
        <f t="shared" si="22"/>
        <v/>
      </c>
      <c r="DU9" s="64" t="str">
        <f t="shared" si="23"/>
        <v/>
      </c>
      <c r="DV9" s="60" t="str">
        <f t="shared" si="24"/>
        <v>0055</v>
      </c>
      <c r="DW9" s="67" t="str">
        <f t="shared" si="25"/>
        <v>BELEM</v>
      </c>
      <c r="DX9" s="60" t="str" cm="1">
        <f t="array" ref="DX9">TEXT( MIG_NORMA.NÚMERICO( J9 ), "00000000000" )</f>
        <v>63563795371</v>
      </c>
      <c r="DY9" s="60" t="str" cm="1">
        <f t="array" ref="DY9">TEXT( MIG_NORMA.NÚMERICO( K9 ), "0000000" )</f>
        <v/>
      </c>
      <c r="DZ9" s="64" t="str">
        <f t="shared" si="26"/>
        <v>02/02/2026</v>
      </c>
      <c r="EA9" s="64" t="str">
        <f t="shared" si="27"/>
        <v>02/06/2026</v>
      </c>
      <c r="EB9" s="64" t="str">
        <f t="shared" si="28"/>
        <v>26/05/2003</v>
      </c>
      <c r="EC9" s="64" t="str">
        <f t="shared" si="29"/>
        <v/>
      </c>
      <c r="ED9" s="64" t="str">
        <f t="shared" si="30"/>
        <v/>
      </c>
      <c r="EE9" s="64" t="str">
        <f t="shared" si="31"/>
        <v/>
      </c>
      <c r="EF9" s="64" t="str">
        <f t="shared" si="32"/>
        <v>15/09/2025</v>
      </c>
      <c r="EG9" s="64" t="str">
        <f t="shared" si="33"/>
        <v/>
      </c>
      <c r="EH9" s="64" t="str">
        <f t="shared" si="34"/>
        <v/>
      </c>
      <c r="EI9" s="68" t="str">
        <f t="shared" si="35"/>
        <v/>
      </c>
      <c r="EJ9" s="64" t="str">
        <f t="shared" si="36"/>
        <v>02/02/2027</v>
      </c>
      <c r="EK9" s="64" t="str">
        <f t="shared" si="37"/>
        <v/>
      </c>
      <c r="EL9" s="64" t="str">
        <f t="shared" si="38"/>
        <v/>
      </c>
      <c r="EM9" s="64" t="str">
        <f t="shared" si="39"/>
        <v>02/02/2026</v>
      </c>
      <c r="EN9" s="64" t="str">
        <f t="shared" si="57"/>
        <v>02/06/2026</v>
      </c>
      <c r="EO9" s="64" t="str">
        <f t="shared" si="40"/>
        <v/>
      </c>
      <c r="EP9" s="64" t="str">
        <f t="shared" si="41"/>
        <v/>
      </c>
      <c r="EQ9" s="63" t="str">
        <f t="shared" si="42"/>
        <v>INSERT INTO PARCNEGOCIO ( NRPARCNEGOCIO, NRORG, NMPRINCIPALPARC, NMSECUNDARIPARC, DTNASCIFUNDPARC, NRINSCRICAOPARC, IDATIVO, DTINCLUSAO, NRORGINCLUSAO, CDOPERINCLUSAO, CDTIPOPARCPRINCIPAL, CDTIPOINSCRICAO, IDPESSOAFISICA, IDINSTITUICAO, IDPARCFUNDIDO ) VALUES ( 210, 5862, 'LUZIETY DOS SANTOS CORREA', 'LUZIETY DOS SANTOS CORREA', '26/05/2003', '63563795371', 'S', SYSDATE, 5862, '000000099991', 'PESSOA', 'CPF', 'S', 'N', 'N' );</v>
      </c>
      <c r="ER9" s="63" t="str">
        <f t="shared" si="43"/>
        <v>INSERT INTO GPE_PESSOA ( NRPESSOA, NRORG, NRPARCNEGOCIO, DTINCLUSAO, NRORGINCLUSAO, CDOPERINCLUSAO ) VALUES ( 7, 5862, 210, SYSDATE, 5862, '000000099991' );</v>
      </c>
      <c r="ES9"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( 7, 7, 5862, '01/01/2000', 'LUZIETY DOS SANTOS CORREA', 'S', '63563795371', '', '', '', '', '', '', '', '', '', '', '', '', (SELECT NRCATMILITARPE FROM GPE_CATMILITARPE WHERE NRCATMILITARPE = ''), '', SYSDATE, 5862, '000000099991', '5', '1058', 'PA', (SELECT MAX(CDMUNICIPIO) FROM MUNICIPIO WHERE NMMUNICIPIO = 'BELEM'), '26/05/2003', 'F', '11014270', 'SSP', 'PA', '15/09/2025', '1', '7' , '1');</v>
      </c>
      <c r="ET9"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(7, 7, 5862, '100000-2-E1079', '02/02/2026', '02/06/2026', SYSDATE, 5862, '000000099991', '1', '', '', '', '', '', '', 'LUZIETY DOS SANTOS CORREA', '', '', '', '', '', '02/02/2027', '');</v>
      </c>
      <c r="EU9"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(19, 7,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'dep_100000'), 999992), NVL((SELECT MAX(NRESTRUTURAM) FROM ESTRUTURAM WHERE NRORG = 5862 AND CDINTESTRUTURA = ''), 999993), '1', 'UNICO', '', 2, '', 'N', (SELECT MAX(NRESCALATRABM) FROM GPE_ESCALATRABH WHERE NRORG = 5862 AND NRESCALATRABM = '000007') );</v>
      </c>
      <c r="EV9"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20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19;</v>
      </c>
      <c r="EW9"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21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19;</v>
      </c>
      <c r="EX9" s="63" t="str">
        <f t="shared" si="59"/>
        <v>INSERT INTO GPE_ALTESITUFUNC ( NRALTESITUFUNC, NRORG, NRSITUFUNCM, NRVINCULOM, DTINISITUFUNC, DTINCLUSAO, NRORGINCLUSAO, CDOPERINCLUSAO ) VALUES ( 7, 5862, (CASE WHEN '' IS NOT NULL THEN '' WHEN '02/06/2026' IS NULL THEN '1' ELSE '13' END), 7, '02/06/2026', SYSDATE, 5862, '000000099991' );</v>
      </c>
      <c r="EY9" s="63" t="str">
        <f t="shared" si="48"/>
        <v/>
      </c>
      <c r="EZ9" s="63" t="str">
        <f t="shared" si="60"/>
        <v/>
      </c>
      <c r="FA9" s="63" t="str">
        <f t="shared" si="61"/>
        <v>INSERT INTO COMUNICAPARC ( NRCOMUNICAPARC, NRPARCNEGOCIO, CDFORMACOMU, CDPREFIXCOMUPARC, CDCOMUNICAPARC, NRORG, IDATIVO, DTINCLUSAO, NRORGINCLUSAO, CDOPERINCLUSAO ) VALUES ( 9, 210, '02', '91', '984345293', 5862, 'S', SYSDATE, 5862, '000000099991' );</v>
      </c>
      <c r="FB9" s="63" t="str">
        <f t="shared" si="62"/>
        <v>INSERT INTO COMUNICAPARC ( NRCOMUNICAPARC, NRPARCNEGOCIO, CDFORMACOMU, CDCOMUNICAPARC, NRORG, IDATIVO, DTINCLUSAO, NRORGINCLUSAO, CDOPERINCLUSAO ) VALUES ( 36, 210, '05', 'luziethsanttos123@gmail.com', 5862, 'S', SYSDATE, 5862, '000000099991' );</v>
      </c>
      <c r="FC9" s="63" t="str">
        <f t="shared" si="63"/>
        <v>INSERT INTO ENDERECOPARC ( NRENDERECOPARC, NRPARCNEGOCIO, CDTIPOENDERECO, NRORG, IDATIVO, DTINCLUSAO, NRORGINCLUSAO, CDOPERINCLUSAO, CDPAIS, CDMUNICIPIO, CDLOGRADOURO, NMBAIRROENDERECO, DSCOMPLEENDERECO, NRCEPENDERECO, DSENDERECO, NRIMOVELENDERECO, SGESTADO ) VALUES ( 17, 210, 'PRINCIPAL', 5862, 'S', SYSDATE, 5862, '000000099991', '0055', ( SELECT MAX(CDMUNICIPIO) FROM MUNICIPIO WHERE NMMUNICIPIO = 'BELEM' AND SGESTADO = 'PA' ), 'R', 'CURIO UTINGA', 'FINAL DA RUA', '66610325', 'K2', '42', 'PA');</v>
      </c>
      <c r="FD9" s="63" t="str">
        <f t="shared" ca="1" si="49"/>
        <v>INSERT INTO GPE_MOVIMENTACAO ( NRMOVIMENTACAO, NRORG, NRVINCULOM, NRTIPOTRANSFER, NRTPMOVTRANSFM, NRESTRUTURAM, DTINIMOVIMENT, DSOBSERVACAO, DTINCLUSAO, NRORGINCLUSAO, CDOPERINCLUSAO, NRTIPOESTRUTURA ) VALUES ( 7, 5862, 7,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9" s="63" t="str">
        <f t="shared" ca="1" si="50"/>
        <v>INSERT INTO GPE_MOVIMENTACAO ( NRMOVIMENTACAO, NRORG, NRVINCULOM, NRTIPOTRANSFER, NRTPMOVTRANSFM, NRESTRUTURAM, DTINIMOVIMENT, DSOBSERVACAO, DTINCLUSAO, NRORGINCLUSAO, CDOPERINCLUSAO, NRTIPOESTRUTURA ) VALUES ( 34, 5862, 7, 2, 1, (SELECT MAX(NRESTRUTURAM) FROM ESTRUTURAM WHERE NRORG = 5862 AND CDINTESTRUTURA = 'dep_100000' AND NRTIPOESTRUTURA = (SELECT NRTPESTRUTGEREN FROM GPE_PARAMORG WHERE NRORG = 5862)), '02/02/2026', 'Movimentacao gerada via migracao ' || SYSDATE, SYSDATE, 5862, '000000099991', ( SELECT NRTPESTRUTGEREN FROM GPE_PARAMORG WHERE NRORG = 5862 ) );</v>
      </c>
      <c r="FF9" s="63" t="str">
        <f t="shared" ca="1" si="51"/>
        <v/>
      </c>
      <c r="FG9" s="63" t="str">
        <f t="shared" si="52"/>
        <v>COMMIT;</v>
      </c>
      <c r="FI9" s="21" t="str">
        <f ca="1"/>
        <v>não</v>
      </c>
      <c r="FL9" s="21" t="str">
        <f ca="1"/>
        <v>existe</v>
      </c>
      <c r="FO9" s="18"/>
      <c r="FP9" s="21" t="str">
        <f ca="1"/>
        <v>existe</v>
      </c>
      <c r="FS9" s="18"/>
      <c r="FT9" s="21" t="str">
        <f ca="1"/>
        <v>existe</v>
      </c>
      <c r="FW9" s="18"/>
      <c r="FX9" s="21" t="str">
        <f ca="1"/>
        <v>existe</v>
      </c>
      <c r="GA9" s="18"/>
      <c r="GB9" s="21">
        <f ca="1"/>
        <v>0</v>
      </c>
      <c r="GD9" s="21" t="str">
        <f ca="1"/>
        <v xml:space="preserve">  - Vínculo (matrícula): 270000-2-E1075, estrutura legal </v>
      </c>
      <c r="GG9" s="97" t="s">
        <v>209</v>
      </c>
      <c r="GI9" s="22" t="s">
        <v>253</v>
      </c>
      <c r="GJ9" s="27">
        <f ca="1">OFFSET($A$1,1,MATCH(GI9,$1:$1,0)-1)</f>
        <v>5862</v>
      </c>
      <c r="GK9" s="27">
        <f t="shared" ref="GK9:GQ9" ca="1" si="84">GJ9</f>
        <v>5862</v>
      </c>
      <c r="GL9" s="27">
        <f t="shared" ca="1" si="84"/>
        <v>5862</v>
      </c>
      <c r="GM9" s="27">
        <f ca="1">GL9</f>
        <v>5862</v>
      </c>
      <c r="GN9" s="27">
        <f t="shared" ca="1" si="84"/>
        <v>5862</v>
      </c>
      <c r="GO9" s="27">
        <f t="shared" ca="1" si="84"/>
        <v>5862</v>
      </c>
      <c r="GP9" s="27">
        <f t="shared" ca="1" si="84"/>
        <v>5862</v>
      </c>
      <c r="GQ9" s="27">
        <f t="shared" ca="1" si="84"/>
        <v>5862</v>
      </c>
      <c r="GR9" s="27">
        <f ca="1">GQ9</f>
        <v>5862</v>
      </c>
      <c r="GS9" s="27">
        <f ca="1">GR9</f>
        <v>5862</v>
      </c>
      <c r="GT9" s="22" t="s">
        <v>253</v>
      </c>
      <c r="GU9" s="25">
        <f ca="1">GJ9</f>
        <v>5862</v>
      </c>
      <c r="GV9" s="25">
        <f t="shared" ca="1" si="65"/>
        <v>5862</v>
      </c>
      <c r="GW9" s="25">
        <f t="shared" ca="1" si="66"/>
        <v>5862</v>
      </c>
      <c r="GX9" s="25">
        <f t="shared" ca="1" si="67"/>
        <v>5862</v>
      </c>
      <c r="GY9" s="25">
        <f t="shared" ca="1" si="68"/>
        <v>5862</v>
      </c>
      <c r="GZ9" s="25">
        <f t="shared" ca="1" si="69"/>
        <v>5862</v>
      </c>
      <c r="HA9" s="25">
        <f t="shared" ca="1" si="70"/>
        <v>5862</v>
      </c>
      <c r="HB9" s="25">
        <f t="shared" ca="1" si="71"/>
        <v>5862</v>
      </c>
      <c r="HC9" s="25">
        <f t="shared" ca="1" si="72"/>
        <v>5862</v>
      </c>
      <c r="HD9" s="25">
        <f t="shared" ca="1" si="73"/>
        <v>5862</v>
      </c>
      <c r="HE9" s="22" t="s">
        <v>253</v>
      </c>
      <c r="HF9" s="25">
        <f t="shared" ref="HF9:HO9" ca="1" si="85">GU9</f>
        <v>5862</v>
      </c>
      <c r="HG9" s="25">
        <f t="shared" ca="1" si="85"/>
        <v>5862</v>
      </c>
      <c r="HH9" s="25">
        <f t="shared" ca="1" si="85"/>
        <v>5862</v>
      </c>
      <c r="HI9" s="25">
        <f t="shared" ca="1" si="85"/>
        <v>5862</v>
      </c>
      <c r="HJ9" s="25">
        <f t="shared" ca="1" si="85"/>
        <v>5862</v>
      </c>
      <c r="HK9" s="25">
        <f t="shared" ca="1" si="85"/>
        <v>5862</v>
      </c>
      <c r="HL9" s="25">
        <f t="shared" ca="1" si="85"/>
        <v>5862</v>
      </c>
      <c r="HM9" s="25">
        <f t="shared" ca="1" si="85"/>
        <v>5862</v>
      </c>
      <c r="HN9" s="25">
        <f t="shared" ca="1" si="85"/>
        <v>5862</v>
      </c>
      <c r="HO9" s="25">
        <f t="shared" ca="1" si="85"/>
        <v>5862</v>
      </c>
      <c r="HP9" s="18"/>
    </row>
    <row r="10" spans="1:224" x14ac:dyDescent="0.3">
      <c r="A10" s="16" t="s">
        <v>566</v>
      </c>
      <c r="B10" s="16" t="s">
        <v>567</v>
      </c>
      <c r="C10" s="16" t="s">
        <v>584</v>
      </c>
      <c r="E10" s="16" t="s">
        <v>432</v>
      </c>
      <c r="F10" s="16" t="s">
        <v>391</v>
      </c>
      <c r="G10" s="16" t="s">
        <v>323</v>
      </c>
      <c r="H10" s="16" t="s">
        <v>585</v>
      </c>
      <c r="I10" s="16" t="s">
        <v>224</v>
      </c>
      <c r="J10" s="16" t="s">
        <v>586</v>
      </c>
      <c r="Q10" s="16" t="s">
        <v>587</v>
      </c>
      <c r="R10" s="16" t="s">
        <v>439</v>
      </c>
      <c r="S10" s="16" t="s">
        <v>396</v>
      </c>
      <c r="T10" s="16" t="s">
        <v>588</v>
      </c>
      <c r="AC10" s="16" t="s">
        <v>273</v>
      </c>
      <c r="AD10" s="16" t="s">
        <v>403</v>
      </c>
      <c r="AE10" t="s">
        <v>396</v>
      </c>
      <c r="AF10" s="16" t="s">
        <v>404</v>
      </c>
      <c r="AG10" s="16" t="s">
        <v>589</v>
      </c>
      <c r="AH10" s="16" t="s">
        <v>218</v>
      </c>
      <c r="AI10" s="16" t="s">
        <v>303</v>
      </c>
      <c r="AM10" s="16" t="s">
        <v>271</v>
      </c>
      <c r="AN10" s="16" t="s">
        <v>270</v>
      </c>
      <c r="AO10" t="s">
        <v>1746</v>
      </c>
      <c r="AP10" s="98" t="s">
        <v>2567</v>
      </c>
      <c r="AQ10" s="16" t="s">
        <v>590</v>
      </c>
      <c r="AR10" s="16" t="s">
        <v>1747</v>
      </c>
      <c r="AS10" s="16" t="s">
        <v>396</v>
      </c>
      <c r="AT10" s="16" t="s">
        <v>441</v>
      </c>
      <c r="AU10" s="16" t="s">
        <v>554</v>
      </c>
      <c r="AV10" s="16" t="s">
        <v>591</v>
      </c>
      <c r="AW10" s="16" t="s">
        <v>313</v>
      </c>
      <c r="AX10" s="16" t="s">
        <v>592</v>
      </c>
      <c r="AY10" s="16" t="s">
        <v>593</v>
      </c>
      <c r="AZ10" s="16" t="s">
        <v>594</v>
      </c>
      <c r="BA10" s="16" t="s">
        <v>270</v>
      </c>
      <c r="BB10" t="s">
        <v>1746</v>
      </c>
      <c r="BF10" s="16" t="s">
        <v>579</v>
      </c>
      <c r="BG10" s="16" t="s">
        <v>304</v>
      </c>
      <c r="BN10" t="s">
        <v>1746</v>
      </c>
      <c r="BP10" s="16" t="s">
        <v>566</v>
      </c>
      <c r="BQ10" s="16" t="s">
        <v>419</v>
      </c>
      <c r="BR10" s="16" t="s">
        <v>419</v>
      </c>
      <c r="BS10" s="16" t="s">
        <v>270</v>
      </c>
      <c r="BT10" s="16" t="s">
        <v>312</v>
      </c>
      <c r="BX10" s="16" t="s">
        <v>505</v>
      </c>
      <c r="CC10" s="16" t="s">
        <v>270</v>
      </c>
      <c r="CD10"/>
      <c r="CE10" s="16" t="s">
        <v>595</v>
      </c>
      <c r="CF10" s="16" t="s">
        <v>419</v>
      </c>
      <c r="CG10"/>
      <c r="CH10" s="16" t="s">
        <v>596</v>
      </c>
      <c r="CI10"/>
      <c r="CJ10" s="16" t="s">
        <v>428</v>
      </c>
      <c r="CK10" s="16" t="s">
        <v>597</v>
      </c>
      <c r="CM10" s="79"/>
      <c r="CN10" s="63"/>
      <c r="CO10" s="63"/>
      <c r="CP10" s="85">
        <f t="shared" ref="CP10:CS10" si="86">CP9+1</f>
        <v>211</v>
      </c>
      <c r="CQ10" s="85">
        <f t="shared" si="86"/>
        <v>8</v>
      </c>
      <c r="CR10" s="85">
        <f t="shared" si="86"/>
        <v>8</v>
      </c>
      <c r="CS10" s="85">
        <f t="shared" si="86"/>
        <v>8</v>
      </c>
      <c r="CT10" s="85">
        <f t="shared" ref="CT10:CV10" si="87">CT9+3</f>
        <v>22</v>
      </c>
      <c r="CU10" s="65">
        <f t="shared" si="87"/>
        <v>23</v>
      </c>
      <c r="CV10" s="65">
        <f t="shared" si="87"/>
        <v>24</v>
      </c>
      <c r="CW10" s="85">
        <f t="shared" ref="CW10:DB10" si="88">CW9+1</f>
        <v>8</v>
      </c>
      <c r="CX10" s="85">
        <f t="shared" si="9"/>
        <v>6</v>
      </c>
      <c r="CY10" s="85">
        <f t="shared" si="10"/>
        <v>1</v>
      </c>
      <c r="CZ10" s="85">
        <f t="shared" si="54"/>
        <v>10</v>
      </c>
      <c r="DA10" s="85">
        <f t="shared" si="55"/>
        <v>37</v>
      </c>
      <c r="DB10" s="85">
        <f t="shared" si="88"/>
        <v>18</v>
      </c>
      <c r="DC10" s="85">
        <f ca="1">IF( OR( AP10 = "", FT10 &lt;&gt; "existe" ), "", LARGE( DC$2:DC9, 1 ) + 1 )</f>
        <v>8</v>
      </c>
      <c r="DD10" s="66">
        <f ca="1">IF( OR( AQ10 = "", FX10 &lt;&gt; "existe" ), "", LARGE( DD$2:DD9, 1 ) + 1 )</f>
        <v>35</v>
      </c>
      <c r="DE10" s="66" t="str">
        <f ca="1">IF( OR( BU10 = "", GB10 &lt;&gt; "existe" ), "", LARGE( DE$2:DE9, 1 ) + 1 )</f>
        <v/>
      </c>
      <c r="DF10" s="67" t="str">
        <f t="shared" si="11"/>
        <v>NUNCA</v>
      </c>
      <c r="DG10" s="67" t="str">
        <f t="shared" si="56"/>
        <v>BELEM</v>
      </c>
      <c r="DH10" s="67">
        <f t="shared" si="12"/>
        <v>1</v>
      </c>
      <c r="DI10" s="67" t="str">
        <f t="shared" si="13"/>
        <v>AL</v>
      </c>
      <c r="DJ10" s="67" t="str">
        <f t="shared" si="14"/>
        <v>VIDA NOVA</v>
      </c>
      <c r="DK10" s="67" t="str">
        <f t="shared" si="15"/>
        <v>COQUEIRO</v>
      </c>
      <c r="DL10" s="67" t="str">
        <f t="shared" si="15"/>
        <v>NOVA REPUBLICA</v>
      </c>
      <c r="DM10" s="67" t="str">
        <f t="shared" si="15"/>
        <v>67000001</v>
      </c>
      <c r="DN10" s="70" t="str">
        <f t="shared" si="16"/>
        <v>0089-7</v>
      </c>
      <c r="DO10" s="70" t="str">
        <f t="shared" si="17"/>
        <v>0</v>
      </c>
      <c r="DP10" s="70" t="str">
        <f t="shared" si="18"/>
        <v>0</v>
      </c>
      <c r="DQ10" s="64" t="str">
        <f t="shared" si="19"/>
        <v/>
      </c>
      <c r="DR10" s="64" t="str">
        <f t="shared" si="20"/>
        <v>9477706</v>
      </c>
      <c r="DS10" s="64" t="str">
        <f t="shared" si="21"/>
        <v>000</v>
      </c>
      <c r="DT10" s="64" t="str">
        <f t="shared" si="22"/>
        <v/>
      </c>
      <c r="DU10" s="64" t="str">
        <f t="shared" si="23"/>
        <v/>
      </c>
      <c r="DV10" s="60" t="str">
        <f t="shared" si="24"/>
        <v>0055</v>
      </c>
      <c r="DW10" s="67" t="str">
        <f t="shared" si="25"/>
        <v>ANANINDEUA</v>
      </c>
      <c r="DX10" s="60" t="str" cm="1">
        <f t="array" ref="DX10">TEXT( MIG_NORMA.NÚMERICO( J10 ), "00000000000" )</f>
        <v>09326164292</v>
      </c>
      <c r="DY10" s="60" t="str" cm="1">
        <f t="array" ref="DY10">TEXT( MIG_NORMA.NÚMERICO( K10 ), "0000000" )</f>
        <v/>
      </c>
      <c r="DZ10" s="64" t="str">
        <f t="shared" si="26"/>
        <v>02/02/2026</v>
      </c>
      <c r="EA10" s="64" t="str">
        <f t="shared" si="27"/>
        <v>02/06/2026</v>
      </c>
      <c r="EB10" s="64" t="str">
        <f t="shared" si="28"/>
        <v>23/08/2002</v>
      </c>
      <c r="EC10" s="64" t="str">
        <f t="shared" si="29"/>
        <v/>
      </c>
      <c r="ED10" s="64" t="str">
        <f t="shared" si="30"/>
        <v/>
      </c>
      <c r="EE10" s="64" t="str">
        <f t="shared" si="31"/>
        <v/>
      </c>
      <c r="EF10" s="64" t="str">
        <f t="shared" si="32"/>
        <v>29/09/2020</v>
      </c>
      <c r="EG10" s="64" t="str">
        <f t="shared" si="33"/>
        <v/>
      </c>
      <c r="EH10" s="64" t="str">
        <f t="shared" si="34"/>
        <v/>
      </c>
      <c r="EI10" s="68" t="str">
        <f t="shared" si="35"/>
        <v/>
      </c>
      <c r="EJ10" s="64" t="str">
        <f t="shared" si="36"/>
        <v>02/02/2027</v>
      </c>
      <c r="EK10" s="64" t="str">
        <f t="shared" si="37"/>
        <v/>
      </c>
      <c r="EL10" s="64" t="str">
        <f t="shared" si="38"/>
        <v/>
      </c>
      <c r="EM10" s="64" t="str">
        <f t="shared" si="39"/>
        <v>02/02/2026</v>
      </c>
      <c r="EN10" s="64" t="str">
        <f t="shared" si="57"/>
        <v>02/06/2026</v>
      </c>
      <c r="EO10" s="64" t="str">
        <f t="shared" si="40"/>
        <v/>
      </c>
      <c r="EP10" s="64" t="str">
        <f t="shared" si="41"/>
        <v/>
      </c>
      <c r="EQ10" s="63" t="str">
        <f t="shared" si="42"/>
        <v>INSERT INTO PARCNEGOCIO ( NRPARCNEGOCIO, NRORG, NMPRINCIPALPARC, NMSECUNDARIPARC, DTNASCIFUNDPARC, NRINSCRICAOPARC, IDATIVO, DTINCLUSAO, NRORGINCLUSAO, CDOPERINCLUSAO, CDTIPOPARCPRINCIPAL, CDTIPOINSCRICAO, IDPESSOAFISICA, IDINSTITUICAO, IDPARCFUNDIDO ) VALUES ( 211, 5862, 'ANA KAROLINE LIMA DOS SANTOS', 'ANA KAROLINE LIMA DOS SANTOS', '23/08/2002', '09326164292', 'S', SYSDATE, 5862, '000000099991', 'PESSOA', 'CPF', 'S', 'N', 'N' );</v>
      </c>
      <c r="ER10" s="63" t="str">
        <f t="shared" si="43"/>
        <v>INSERT INTO GPE_PESSOA ( NRPESSOA, NRORG, NRPARCNEGOCIO, DTINCLUSAO, NRORGINCLUSAO, CDOPERINCLUSAO ) VALUES ( 8, 5862, 211, SYSDATE, 5862, '000000099991' );</v>
      </c>
      <c r="ES10"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( 8, 8, 5862, '01/01/2000', 'ANA KAROLINE LIMA DOS SANTOS', 'S', '09326164292', '', '', '', '', '', '', '', '', '', '', '', '', (SELECT NRCATMILITARPE FROM GPE_CATMILITARPE WHERE NRCATMILITARPE = ''), '', SYSDATE, 5862, '000000099991', '5', '1058', 'PA', (SELECT MAX(CDMUNICIPIO) FROM MUNICIPIO WHERE NMMUNICIPIO = 'BELEM'), '23/08/2002', 'F', '9477706', 'PC', 'PA', '29/09/2020', '1', '7' , '1');</v>
      </c>
      <c r="ET10"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(8, 8, 5862, '270000-2-E1082', '02/02/2026', '02/06/2026', SYSDATE, 5862, '000000099991', '1', '', '', '', '', '', '', 'ANA KAROLINE LIMA DOS SANTOS', '', '', '', '', '', '02/02/2027', '');</v>
      </c>
      <c r="EU10"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(22, 8,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'000007') );</v>
      </c>
      <c r="EV10"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23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22;</v>
      </c>
      <c r="EW10"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24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22;</v>
      </c>
      <c r="EX10" s="63" t="str">
        <f t="shared" si="59"/>
        <v>INSERT INTO GPE_ALTESITUFUNC ( NRALTESITUFUNC, NRORG, NRSITUFUNCM, NRVINCULOM, DTINISITUFUNC, DTINCLUSAO, NRORGINCLUSAO, CDOPERINCLUSAO ) VALUES ( 8, 5862, (CASE WHEN '' IS NOT NULL THEN '' WHEN '02/06/2026' IS NULL THEN '1' ELSE '13' END), 8, '02/06/2026', SYSDATE, 5862, '000000099991' );</v>
      </c>
      <c r="EY10" s="63" t="str">
        <f t="shared" si="48"/>
        <v/>
      </c>
      <c r="EZ10" s="63" t="str">
        <f t="shared" si="60"/>
        <v/>
      </c>
      <c r="FA10" s="63" t="str">
        <f t="shared" si="61"/>
        <v>INSERT INTO COMUNICAPARC ( NRCOMUNICAPARC, NRPARCNEGOCIO, CDFORMACOMU, CDPREFIXCOMUPARC, CDCOMUNICAPARC, NRORG, IDATIVO, DTINCLUSAO, NRORGINCLUSAO, CDOPERINCLUSAO ) VALUES ( 10, 211, '02', '91', '991011529', 5862, 'S', SYSDATE, 5862, '000000099991' );</v>
      </c>
      <c r="FB10" s="63" t="str">
        <f t="shared" si="62"/>
        <v>INSERT INTO COMUNICAPARC ( NRCOMUNICAPARC, NRPARCNEGOCIO, CDFORMACOMU, CDCOMUNICAPARC, NRORG, IDATIVO, DTINCLUSAO, NRORGINCLUSAO, CDOPERINCLUSAO ) VALUES ( 37, 211, '05', 'anakarolinee335@gmail.acom', 5862, 'S', SYSDATE, 5862, '000000099991' );</v>
      </c>
      <c r="FC10" s="63" t="str">
        <f t="shared" si="63"/>
        <v>INSERT INTO ENDERECOPARC ( NRENDERECOPARC, NRPARCNEGOCIO, CDTIPOENDERECO, NRORG, IDATIVO, DTINCLUSAO, NRORGINCLUSAO, CDOPERINCLUSAO, CDPAIS, CDMUNICIPIO, CDLOGRADOURO, NMBAIRROENDERECO, DSCOMPLEENDERECO, NRCEPENDERECO, DSENDERECO, NRIMOVELENDERECO, SGESTADO ) VALUES ( 18, 211, 'PRINCIPAL', 5862, 'S', SYSDATE, 5862, '000000099991', '0055', ( SELECT MAX(CDMUNICIPIO) FROM MUNICIPIO WHERE NMMUNICIPIO = 'ANANINDEUA' AND SGESTADO = 'PA' ), 'AL', 'COQUEIRO', 'NOVA REPUBLICA', '67000001', 'VIDA NOVA', '8', 'PA');</v>
      </c>
      <c r="FD10" s="63" t="str">
        <f t="shared" ca="1" si="49"/>
        <v>INSERT INTO GPE_MOVIMENTACAO ( NRMOVIMENTACAO, NRORG, NRVINCULOM, NRTIPOTRANSFER, NRTPMOVTRANSFM, NRESTRUTURAM, DTINIMOVIMENT, DSOBSERVACAO, DTINCLUSAO, NRORGINCLUSAO, CDOPERINCLUSAO, NRTIPOESTRUTURA ) VALUES ( 8, 5862, 8,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0" s="63" t="str">
        <f t="shared" ca="1" si="50"/>
        <v>INSERT INTO GPE_MOVIMENTACAO ( NRMOVIMENTACAO, NRORG, NRVINCULOM, NRTIPOTRANSFER, NRTPMOVTRANSFM, NRESTRUTURAM, DTINIMOVIMENT, DSOBSERVACAO, DTINCLUSAO, NRORGINCLUSAO, CDOPERINCLUSAO, NRTIPOESTRUTURA ) VALUES ( 35, 5862, 8, 2, 1, (SELECT MAX(NRESTRUTURAM) FROM ESTRUTURAM WHERE NRORG = 5862 AND CDINTESTRUTURA = 'dep_270000' AND NRTIPOESTRUTURA = (SELECT NRTPESTRUTGEREN FROM GPE_PARAMORG WHERE NRORG = 5862)), '02/02/2026', 'Movimentacao gerada via migracao ' || SYSDATE, SYSDATE, 5862, '000000099991', ( SELECT NRTPESTRUTGEREN FROM GPE_PARAMORG WHERE NRORG = 5862 ) );</v>
      </c>
      <c r="FF10" s="63" t="str">
        <f t="shared" ca="1" si="51"/>
        <v/>
      </c>
      <c r="FG10" s="63" t="str">
        <f t="shared" si="52"/>
        <v>COMMIT;</v>
      </c>
      <c r="FI10" s="21" t="str">
        <f ca="1"/>
        <v>não</v>
      </c>
      <c r="FL10" s="21" t="str">
        <f ca="1"/>
        <v>existe</v>
      </c>
      <c r="FP10" s="21" t="str">
        <f ca="1"/>
        <v>existe</v>
      </c>
      <c r="FT10" s="21" t="str">
        <f ca="1"/>
        <v>existe</v>
      </c>
      <c r="FX10" s="21" t="str">
        <f ca="1"/>
        <v>existe</v>
      </c>
      <c r="GB10" s="21">
        <f ca="1"/>
        <v>0</v>
      </c>
      <c r="GD10" s="21" t="str">
        <f ca="1"/>
        <v xml:space="preserve">  - Vínculo (matrícula): 270000-2-E1077, estrutura legal </v>
      </c>
    </row>
    <row r="11" spans="1:224" x14ac:dyDescent="0.3">
      <c r="A11" s="16" t="s">
        <v>566</v>
      </c>
      <c r="B11" s="16" t="s">
        <v>567</v>
      </c>
      <c r="C11" s="16" t="s">
        <v>598</v>
      </c>
      <c r="E11" s="16" t="s">
        <v>432</v>
      </c>
      <c r="F11" s="16" t="s">
        <v>391</v>
      </c>
      <c r="G11" s="16" t="s">
        <v>323</v>
      </c>
      <c r="H11" s="16" t="s">
        <v>599</v>
      </c>
      <c r="I11" s="16" t="s">
        <v>224</v>
      </c>
      <c r="J11" s="16" t="s">
        <v>600</v>
      </c>
      <c r="Q11" s="16" t="s">
        <v>601</v>
      </c>
      <c r="R11" s="16" t="s">
        <v>439</v>
      </c>
      <c r="S11" s="16" t="s">
        <v>396</v>
      </c>
      <c r="T11" s="16" t="s">
        <v>602</v>
      </c>
      <c r="AC11" s="16" t="s">
        <v>273</v>
      </c>
      <c r="AD11" s="16" t="s">
        <v>403</v>
      </c>
      <c r="AE11" t="s">
        <v>396</v>
      </c>
      <c r="AF11" s="16" t="s">
        <v>404</v>
      </c>
      <c r="AG11" s="16" t="s">
        <v>603</v>
      </c>
      <c r="AH11" s="16" t="s">
        <v>218</v>
      </c>
      <c r="AI11" s="16" t="s">
        <v>303</v>
      </c>
      <c r="AM11" s="16" t="s">
        <v>271</v>
      </c>
      <c r="AN11" s="16" t="s">
        <v>270</v>
      </c>
      <c r="AO11" t="s">
        <v>1746</v>
      </c>
      <c r="AP11" s="98" t="s">
        <v>2567</v>
      </c>
      <c r="AQ11" s="16" t="s">
        <v>590</v>
      </c>
      <c r="AR11" s="16" t="s">
        <v>1747</v>
      </c>
      <c r="AS11" s="16" t="s">
        <v>396</v>
      </c>
      <c r="AT11" s="16" t="s">
        <v>404</v>
      </c>
      <c r="AU11" s="16" t="s">
        <v>604</v>
      </c>
      <c r="AV11" s="16" t="s">
        <v>605</v>
      </c>
      <c r="AW11" s="16" t="s">
        <v>606</v>
      </c>
      <c r="AX11" s="16" t="s">
        <v>607</v>
      </c>
      <c r="AY11" s="16" t="s">
        <v>608</v>
      </c>
      <c r="AZ11" s="16" t="s">
        <v>609</v>
      </c>
      <c r="BA11" s="16" t="s">
        <v>270</v>
      </c>
      <c r="BB11" t="s">
        <v>1746</v>
      </c>
      <c r="BF11" s="16" t="s">
        <v>579</v>
      </c>
      <c r="BG11" s="16" t="s">
        <v>304</v>
      </c>
      <c r="BN11" t="s">
        <v>1746</v>
      </c>
      <c r="BP11" s="16" t="s">
        <v>566</v>
      </c>
      <c r="BQ11" s="16" t="s">
        <v>419</v>
      </c>
      <c r="BR11" s="16" t="s">
        <v>419</v>
      </c>
      <c r="BS11" s="16" t="s">
        <v>270</v>
      </c>
      <c r="BT11" s="16" t="s">
        <v>312</v>
      </c>
      <c r="BX11" s="16" t="s">
        <v>505</v>
      </c>
      <c r="CC11" s="16" t="s">
        <v>270</v>
      </c>
      <c r="CD11"/>
      <c r="CE11" s="16" t="s">
        <v>610</v>
      </c>
      <c r="CF11" s="16" t="s">
        <v>419</v>
      </c>
      <c r="CG11" s="16" t="s">
        <v>611</v>
      </c>
      <c r="CH11" s="16" t="s">
        <v>612</v>
      </c>
      <c r="CI11"/>
      <c r="CJ11" s="16" t="s">
        <v>428</v>
      </c>
      <c r="CK11" s="16" t="s">
        <v>613</v>
      </c>
      <c r="CM11" s="79"/>
      <c r="CN11" s="63"/>
      <c r="CO11" s="63"/>
      <c r="CP11" s="85">
        <f t="shared" ref="CP11:CS11" si="89">CP10+1</f>
        <v>212</v>
      </c>
      <c r="CQ11" s="85">
        <f t="shared" si="89"/>
        <v>9</v>
      </c>
      <c r="CR11" s="85">
        <f t="shared" si="89"/>
        <v>9</v>
      </c>
      <c r="CS11" s="85">
        <f t="shared" si="89"/>
        <v>9</v>
      </c>
      <c r="CT11" s="85">
        <f t="shared" ref="CT11:CV11" si="90">CT10+3</f>
        <v>25</v>
      </c>
      <c r="CU11" s="65">
        <f t="shared" si="90"/>
        <v>26</v>
      </c>
      <c r="CV11" s="65">
        <f t="shared" si="90"/>
        <v>27</v>
      </c>
      <c r="CW11" s="85">
        <f t="shared" ref="CW11" si="91">CW10+1</f>
        <v>9</v>
      </c>
      <c r="CX11" s="85">
        <f t="shared" ref="CX11:CX19" si="92">IF( COUNTA( AJ11:AL11 ) &lt;&gt; 3, CX10, CX10 + 1 )</f>
        <v>6</v>
      </c>
      <c r="CY11" s="85">
        <f t="shared" ref="CY11:CY19" si="93">IF( TRIM( CD11 ) = "", CY10, CY10 + 1 )</f>
        <v>1</v>
      </c>
      <c r="CZ11" s="85">
        <f t="shared" si="54"/>
        <v>11</v>
      </c>
      <c r="DA11" s="85">
        <f t="shared" si="55"/>
        <v>38</v>
      </c>
      <c r="DB11" s="85">
        <f t="shared" ref="DB11" si="94">DB10+1</f>
        <v>19</v>
      </c>
      <c r="DC11" s="85">
        <f ca="1">IF( OR( AP11 = "", FT11 &lt;&gt; "existe" ), "", LARGE( DC$2:DC10, 1 ) + 1 )</f>
        <v>9</v>
      </c>
      <c r="DD11" s="66">
        <f ca="1">IF( OR( AQ11 = "", FX11 &lt;&gt; "existe" ), "", LARGE( DD$2:DD10, 1 ) + 1 )</f>
        <v>36</v>
      </c>
      <c r="DE11" s="66" t="str">
        <f ca="1">IF( OR( BU11 = "", GB11 &lt;&gt; "existe" ), "", LARGE( DE$2:DE10, 1 ) + 1 )</f>
        <v/>
      </c>
      <c r="DF11" s="67" t="str">
        <f t="shared" ref="DF11:DF19" si="95">TRIM(UPPER(G11))</f>
        <v>NUNCA</v>
      </c>
      <c r="DG11" s="67" t="str">
        <f t="shared" ref="DG11:DG19" si="96">UPPER( TRIM(SUBSTITUTE(SUBSTITUTE(AF11,"'",""),"&amp;","")) )</f>
        <v>BELEM</v>
      </c>
      <c r="DH11" s="67">
        <f t="shared" si="12"/>
        <v>1</v>
      </c>
      <c r="DI11" s="67" t="str">
        <f t="shared" si="13"/>
        <v>PSG</v>
      </c>
      <c r="DJ11" s="67" t="str">
        <f t="shared" ref="DJ11:DJ19" si="97">TRIM(SUBSTITUTE(SUBSTITUTE(AV11,"'",""),"&amp;",""))</f>
        <v>SANTA CLARA</v>
      </c>
      <c r="DK11" s="67" t="str">
        <f t="shared" ref="DK11:DK19" si="98">TRIM(SUBSTITUTE(SUBSTITUTE(AX11,"'",""),"&amp;",""))</f>
        <v>GUAMA</v>
      </c>
      <c r="DL11" s="67" t="str">
        <f t="shared" ref="DL11:DL19" si="99">TRIM(SUBSTITUTE(SUBSTITUTE(AY11,"'",""),"&amp;",""))</f>
        <v>FUNDOS CASA 03 ALTOS</v>
      </c>
      <c r="DM11" s="67" t="str">
        <f t="shared" ref="DM11:DM19" si="100">TRIM(SUBSTITUTE(SUBSTITUTE(AZ11,"'",""),"&amp;",""))</f>
        <v>66075590</v>
      </c>
      <c r="DN11" s="70" t="str">
        <f t="shared" si="16"/>
        <v>0089-7</v>
      </c>
      <c r="DO11" s="70" t="str">
        <f t="shared" si="17"/>
        <v>0</v>
      </c>
      <c r="DP11" s="70" t="str">
        <f t="shared" si="18"/>
        <v>0</v>
      </c>
      <c r="DQ11" s="64" t="str">
        <f t="shared" si="19"/>
        <v/>
      </c>
      <c r="DR11" s="64" t="str">
        <f t="shared" si="20"/>
        <v>7675403</v>
      </c>
      <c r="DS11" s="64" t="str">
        <f t="shared" si="21"/>
        <v>000</v>
      </c>
      <c r="DT11" s="64" t="str">
        <f t="shared" si="22"/>
        <v/>
      </c>
      <c r="DU11" s="64" t="str">
        <f t="shared" si="23"/>
        <v/>
      </c>
      <c r="DV11" s="60" t="str">
        <f t="shared" si="24"/>
        <v>0055</v>
      </c>
      <c r="DW11" s="67" t="str">
        <f t="shared" si="25"/>
        <v>BELEM</v>
      </c>
      <c r="DX11" s="60" t="str" cm="1">
        <f t="array" ref="DX11">TEXT( MIG_NORMA.NÚMERICO( J11 ), "00000000000" )</f>
        <v>03859026208</v>
      </c>
      <c r="DY11" s="60" t="str" cm="1">
        <f t="array" ref="DY11">TEXT( MIG_NORMA.NÚMERICO( K11 ), "0000000" )</f>
        <v/>
      </c>
      <c r="DZ11" s="64" t="str">
        <f t="shared" si="26"/>
        <v>02/02/2026</v>
      </c>
      <c r="EA11" s="64" t="str">
        <f t="shared" si="27"/>
        <v>02/06/2026</v>
      </c>
      <c r="EB11" s="64" t="str">
        <f t="shared" si="28"/>
        <v>13/05/2001</v>
      </c>
      <c r="EC11" s="64" t="str">
        <f t="shared" si="29"/>
        <v/>
      </c>
      <c r="ED11" s="64" t="str">
        <f t="shared" si="30"/>
        <v/>
      </c>
      <c r="EE11" s="64" t="str">
        <f t="shared" si="31"/>
        <v/>
      </c>
      <c r="EF11" s="64" t="str">
        <f t="shared" si="32"/>
        <v>25/02/2021</v>
      </c>
      <c r="EG11" s="64" t="str">
        <f t="shared" si="33"/>
        <v/>
      </c>
      <c r="EH11" s="64" t="str">
        <f t="shared" si="34"/>
        <v/>
      </c>
      <c r="EI11" s="68" t="str">
        <f t="shared" si="35"/>
        <v/>
      </c>
      <c r="EJ11" s="64" t="str">
        <f t="shared" si="36"/>
        <v>02/02/2027</v>
      </c>
      <c r="EK11" s="64" t="str">
        <f t="shared" si="37"/>
        <v/>
      </c>
      <c r="EL11" s="64" t="str">
        <f t="shared" si="38"/>
        <v/>
      </c>
      <c r="EM11" s="64" t="str">
        <f t="shared" si="39"/>
        <v>02/02/2026</v>
      </c>
      <c r="EN11" s="64" t="str">
        <f t="shared" si="57"/>
        <v>02/06/2026</v>
      </c>
      <c r="EO11" s="64" t="str">
        <f t="shared" si="40"/>
        <v/>
      </c>
      <c r="EP11" s="64" t="str">
        <f t="shared" si="41"/>
        <v/>
      </c>
      <c r="EQ11" s="63" t="str">
        <f t="shared" si="42"/>
        <v>INSERT INTO PARCNEGOCIO ( NRPARCNEGOCIO, NRORG, NMPRINCIPALPARC, NMSECUNDARIPARC, DTNASCIFUNDPARC, NRINSCRICAOPARC, IDATIVO, DTINCLUSAO, NRORGINCLUSAO, CDOPERINCLUSAO, CDTIPOPARCPRINCIPAL, CDTIPOINSCRICAO, IDPESSOAFISICA, IDINSTITUICAO, IDPARCFUNDIDO ) VALUES ( 212, 5862, 'ARIELLY DA SILVA CASTRO', 'ARIELLY DA SILVA CASTRO', '13/05/2001', '03859026208', 'S', SYSDATE, 5862, '000000099991', 'PESSOA', 'CPF', 'S', 'N', 'N' );</v>
      </c>
      <c r="ER11" s="63" t="str">
        <f t="shared" si="43"/>
        <v>INSERT INTO GPE_PESSOA ( NRPESSOA, NRORG, NRPARCNEGOCIO, DTINCLUSAO, NRORGINCLUSAO, CDOPERINCLUSAO ) VALUES ( 9, 5862, 212, SYSDATE, 5862, '000000099991' );</v>
      </c>
      <c r="ES11"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( 9, 9, 5862, '01/01/2000', 'ARIELLY DA SILVA CASTRO', 'S', '03859026208', '', '', '', '', '', '', '', '', '', '', '', '', (SELECT NRCATMILITARPE FROM GPE_CATMILITARPE WHERE NRCATMILITARPE = ''), '', SYSDATE, 5862, '000000099991', '5', '1058', 'PA', (SELECT MAX(CDMUNICIPIO) FROM MUNICIPIO WHERE NMMUNICIPIO = 'BELEM'), '13/05/2001', 'F', '7675403', 'PC', 'PA', '25/02/2021', '1', '7' , '1');</v>
      </c>
      <c r="ET11"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(9, 9, 5862, '270000-2-E1083', '02/02/2026', '02/06/2026', SYSDATE, 5862, '000000099991', '1', '', '', '', '', '', '', 'ARIELLY DA SILVA CASTRO', '', '', '', '', '', '02/02/2027', '');</v>
      </c>
      <c r="EU11"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(25, 9,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'000007') );</v>
      </c>
      <c r="EV11"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26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25;</v>
      </c>
      <c r="EW11"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27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25;</v>
      </c>
      <c r="EX11" s="63" t="str">
        <f t="shared" si="59"/>
        <v>INSERT INTO GPE_ALTESITUFUNC ( NRALTESITUFUNC, NRORG, NRSITUFUNCM, NRVINCULOM, DTINISITUFUNC, DTINCLUSAO, NRORGINCLUSAO, CDOPERINCLUSAO ) VALUES ( 9, 5862, (CASE WHEN '' IS NOT NULL THEN '' WHEN '02/06/2026' IS NULL THEN '1' ELSE '13' END), 9, '02/06/2026', SYSDATE, 5862, '000000099991' );</v>
      </c>
      <c r="EY11" s="63" t="str">
        <f t="shared" si="48"/>
        <v/>
      </c>
      <c r="EZ11" s="63" t="str">
        <f t="shared" si="60"/>
        <v/>
      </c>
      <c r="FA11" s="63" t="str">
        <f t="shared" si="61"/>
        <v>INSERT INTO COMUNICAPARC ( NRCOMUNICAPARC, NRPARCNEGOCIO, CDFORMACOMU, CDPREFIXCOMUPARC, CDCOMUNICAPARC, NRORG, IDATIVO, DTINCLUSAO, NRORGINCLUSAO, CDOPERINCLUSAO ) VALUES ( 11, 212, '02', '91', '991698003', 5862, 'S', SYSDATE, 5862, '000000099991' );</v>
      </c>
      <c r="FB11" s="63" t="str">
        <f t="shared" si="62"/>
        <v>INSERT INTO COMUNICAPARC ( NRCOMUNICAPARC, NRPARCNEGOCIO, CDFORMACOMU, CDCOMUNICAPARC, NRORG, IDATIVO, DTINCLUSAO, NRORGINCLUSAO, CDOPERINCLUSAO ) VALUES ( 38, 212, '05', 'castroarielly5@gamil.com', 5862, 'S', SYSDATE, 5862, '000000099991' );</v>
      </c>
      <c r="FC11" s="63" t="str">
        <f t="shared" si="63"/>
        <v>INSERT INTO ENDERECOPARC ( NRENDERECOPARC, NRPARCNEGOCIO, CDTIPOENDERECO, NRORG, IDATIVO, DTINCLUSAO, NRORGINCLUSAO, CDOPERINCLUSAO, CDPAIS, CDMUNICIPIO, CDLOGRADOURO, NMBAIRROENDERECO, DSCOMPLEENDERECO, NRCEPENDERECO, DSENDERECO, NRIMOVELENDERECO, SGESTADO ) VALUES ( 19, 212, 'PRINCIPAL', 5862, 'S', SYSDATE, 5862, '000000099991', '0055', ( SELECT MAX(CDMUNICIPIO) FROM MUNICIPIO WHERE NMMUNICIPIO = 'BELEM' AND SGESTADO = 'PA' ), 'PSG', 'GUAMA', 'FUNDOS CASA 03 ALTOS', '66075590', 'SANTA CLARA', '85', 'PA');</v>
      </c>
      <c r="FD11" s="63" t="str">
        <f t="shared" ca="1" si="49"/>
        <v>INSERT INTO GPE_MOVIMENTACAO ( NRMOVIMENTACAO, NRORG, NRVINCULOM, NRTIPOTRANSFER, NRTPMOVTRANSFM, NRESTRUTURAM, DTINIMOVIMENT, DSOBSERVACAO, DTINCLUSAO, NRORGINCLUSAO, CDOPERINCLUSAO, NRTIPOESTRUTURA ) VALUES ( 9, 5862, 9,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1" s="63" t="str">
        <f t="shared" ca="1" si="50"/>
        <v>INSERT INTO GPE_MOVIMENTACAO ( NRMOVIMENTACAO, NRORG, NRVINCULOM, NRTIPOTRANSFER, NRTPMOVTRANSFM, NRESTRUTURAM, DTINIMOVIMENT, DSOBSERVACAO, DTINCLUSAO, NRORGINCLUSAO, CDOPERINCLUSAO, NRTIPOESTRUTURA ) VALUES ( 36, 5862, 9, 2, 1, (SELECT MAX(NRESTRUTURAM) FROM ESTRUTURAM WHERE NRORG = 5862 AND CDINTESTRUTURA = 'dep_270000' AND NRTIPOESTRUTURA = (SELECT NRTPESTRUTGEREN FROM GPE_PARAMORG WHERE NRORG = 5862)), '02/02/2026', 'Movimentacao gerada via migracao ' || SYSDATE, SYSDATE, 5862, '000000099991', ( SELECT NRTPESTRUTGEREN FROM GPE_PARAMORG WHERE NRORG = 5862 ) );</v>
      </c>
      <c r="FF11" s="63" t="str">
        <f t="shared" ca="1" si="51"/>
        <v/>
      </c>
      <c r="FG11" s="63" t="str">
        <f t="shared" si="52"/>
        <v>COMMIT;</v>
      </c>
      <c r="FI11" s="21" t="str">
        <f ca="1"/>
        <v>não</v>
      </c>
      <c r="FL11" s="21" t="str">
        <f ca="1"/>
        <v>existe</v>
      </c>
      <c r="FP11" s="21" t="str">
        <f ca="1"/>
        <v>existe</v>
      </c>
      <c r="FT11" s="21" t="str">
        <f ca="1"/>
        <v>existe</v>
      </c>
      <c r="FX11" s="21" t="str">
        <f ca="1"/>
        <v>existe</v>
      </c>
      <c r="GB11" s="21">
        <f ca="1"/>
        <v>0</v>
      </c>
      <c r="GD11" s="21" t="str">
        <f ca="1"/>
        <v xml:space="preserve">  - Vínculo (matrícula): 270000-2-E1082, estrutura legal </v>
      </c>
    </row>
    <row r="12" spans="1:224" x14ac:dyDescent="0.3">
      <c r="A12" s="16" t="s">
        <v>566</v>
      </c>
      <c r="B12" s="16" t="s">
        <v>614</v>
      </c>
      <c r="C12" s="16" t="s">
        <v>615</v>
      </c>
      <c r="E12" s="16" t="s">
        <v>432</v>
      </c>
      <c r="F12" s="16" t="s">
        <v>391</v>
      </c>
      <c r="G12" s="16" t="s">
        <v>323</v>
      </c>
      <c r="H12" s="16" t="s">
        <v>616</v>
      </c>
      <c r="I12" s="16" t="s">
        <v>217</v>
      </c>
      <c r="J12" s="16" t="s">
        <v>617</v>
      </c>
      <c r="Q12" s="16" t="s">
        <v>618</v>
      </c>
      <c r="R12" s="16" t="s">
        <v>439</v>
      </c>
      <c r="S12" s="16" t="s">
        <v>396</v>
      </c>
      <c r="T12" s="16" t="s">
        <v>619</v>
      </c>
      <c r="AC12" s="16" t="s">
        <v>273</v>
      </c>
      <c r="AD12" s="16" t="s">
        <v>403</v>
      </c>
      <c r="AE12" t="s">
        <v>396</v>
      </c>
      <c r="AF12" s="16" t="s">
        <v>404</v>
      </c>
      <c r="AG12" s="16" t="s">
        <v>620</v>
      </c>
      <c r="AH12" s="16" t="s">
        <v>218</v>
      </c>
      <c r="AI12" s="16" t="s">
        <v>303</v>
      </c>
      <c r="AM12" s="16" t="s">
        <v>271</v>
      </c>
      <c r="AN12" s="16" t="s">
        <v>270</v>
      </c>
      <c r="AO12" t="s">
        <v>1746</v>
      </c>
      <c r="AP12" s="98" t="s">
        <v>2567</v>
      </c>
      <c r="AQ12" s="16" t="s">
        <v>590</v>
      </c>
      <c r="AR12" s="16" t="s">
        <v>1747</v>
      </c>
      <c r="AS12" s="16" t="s">
        <v>396</v>
      </c>
      <c r="AT12" s="16" t="s">
        <v>404</v>
      </c>
      <c r="AU12" s="16" t="s">
        <v>554</v>
      </c>
      <c r="AV12" s="16" t="s">
        <v>621</v>
      </c>
      <c r="AW12" s="16" t="s">
        <v>622</v>
      </c>
      <c r="AX12" s="16" t="s">
        <v>623</v>
      </c>
      <c r="AZ12" s="16" t="s">
        <v>624</v>
      </c>
      <c r="BA12" s="16" t="s">
        <v>270</v>
      </c>
      <c r="BB12" t="s">
        <v>1746</v>
      </c>
      <c r="BF12" s="16" t="s">
        <v>579</v>
      </c>
      <c r="BG12" s="16" t="s">
        <v>304</v>
      </c>
      <c r="BN12" t="s">
        <v>1746</v>
      </c>
      <c r="BP12" s="16" t="s">
        <v>566</v>
      </c>
      <c r="BQ12" s="16" t="s">
        <v>419</v>
      </c>
      <c r="BR12" s="16" t="s">
        <v>419</v>
      </c>
      <c r="BS12" s="16" t="s">
        <v>270</v>
      </c>
      <c r="BT12" s="16" t="s">
        <v>312</v>
      </c>
      <c r="BX12" s="16" t="s">
        <v>505</v>
      </c>
      <c r="CC12" s="16" t="s">
        <v>270</v>
      </c>
      <c r="CD12"/>
      <c r="CE12" s="16" t="s">
        <v>625</v>
      </c>
      <c r="CF12" s="16" t="s">
        <v>419</v>
      </c>
      <c r="CG12" s="16" t="s">
        <v>626</v>
      </c>
      <c r="CH12" s="16" t="s">
        <v>627</v>
      </c>
      <c r="CI12"/>
      <c r="CJ12" s="16" t="s">
        <v>428</v>
      </c>
      <c r="CK12" s="16" t="s">
        <v>628</v>
      </c>
      <c r="CM12" s="79"/>
      <c r="CN12" s="63"/>
      <c r="CO12" s="63"/>
      <c r="CP12" s="85">
        <f t="shared" ref="CP12:CS12" si="101">CP11+1</f>
        <v>213</v>
      </c>
      <c r="CQ12" s="85">
        <f t="shared" si="101"/>
        <v>10</v>
      </c>
      <c r="CR12" s="85">
        <f t="shared" si="101"/>
        <v>10</v>
      </c>
      <c r="CS12" s="85">
        <f t="shared" si="101"/>
        <v>10</v>
      </c>
      <c r="CT12" s="85">
        <f t="shared" ref="CT12:CV12" si="102">CT11+3</f>
        <v>28</v>
      </c>
      <c r="CU12" s="65">
        <f t="shared" si="102"/>
        <v>29</v>
      </c>
      <c r="CV12" s="65">
        <f t="shared" si="102"/>
        <v>30</v>
      </c>
      <c r="CW12" s="85">
        <f t="shared" ref="CW12" si="103">CW11+1</f>
        <v>10</v>
      </c>
      <c r="CX12" s="85">
        <f t="shared" si="92"/>
        <v>6</v>
      </c>
      <c r="CY12" s="85">
        <f t="shared" si="93"/>
        <v>1</v>
      </c>
      <c r="CZ12" s="85">
        <f>IF( TRIM( CK12 ) = "", CZ11, CZ11 + 1 )</f>
        <v>12</v>
      </c>
      <c r="DA12" s="85">
        <f t="shared" si="55"/>
        <v>39</v>
      </c>
      <c r="DB12" s="85">
        <f t="shared" ref="DB12" si="104">DB11+1</f>
        <v>20</v>
      </c>
      <c r="DC12" s="85">
        <f ca="1">IF( OR( AP12 = "", FT12 &lt;&gt; "existe" ), "", LARGE( DC$2:DC11, 1 ) + 1 )</f>
        <v>10</v>
      </c>
      <c r="DD12" s="66">
        <f ca="1">IF( OR( AQ12 = "", FX12 &lt;&gt; "existe" ), "", LARGE( DD$2:DD11, 1 ) + 1 )</f>
        <v>37</v>
      </c>
      <c r="DE12" s="66" t="str">
        <f ca="1">IF( OR( BU12 = "", GB12 &lt;&gt; "existe" ), "", LARGE( DE$2:DE11, 1 ) + 1 )</f>
        <v/>
      </c>
      <c r="DF12" s="67" t="str">
        <f t="shared" si="95"/>
        <v>NUNCA</v>
      </c>
      <c r="DG12" s="67" t="str">
        <f t="shared" si="96"/>
        <v>BELEM</v>
      </c>
      <c r="DH12" s="67">
        <f t="shared" si="12"/>
        <v>1</v>
      </c>
      <c r="DI12" s="67" t="str">
        <f t="shared" si="13"/>
        <v>AL</v>
      </c>
      <c r="DJ12" s="67" t="str">
        <f t="shared" si="97"/>
        <v>UNIAO</v>
      </c>
      <c r="DK12" s="67" t="str">
        <f t="shared" si="98"/>
        <v>TAPANA</v>
      </c>
      <c r="DL12" s="67" t="str">
        <f t="shared" si="99"/>
        <v/>
      </c>
      <c r="DM12" s="67" t="str">
        <f t="shared" si="100"/>
        <v>66830040</v>
      </c>
      <c r="DN12" s="70" t="str">
        <f t="shared" si="16"/>
        <v>0089-7</v>
      </c>
      <c r="DO12" s="70" t="str">
        <f t="shared" si="17"/>
        <v>0</v>
      </c>
      <c r="DP12" s="70" t="str">
        <f t="shared" si="18"/>
        <v>0</v>
      </c>
      <c r="DQ12" s="64" t="str">
        <f t="shared" si="19"/>
        <v/>
      </c>
      <c r="DR12" s="64" t="str">
        <f t="shared" si="20"/>
        <v>6657871</v>
      </c>
      <c r="DS12" s="64" t="str">
        <f t="shared" si="21"/>
        <v>000</v>
      </c>
      <c r="DT12" s="64" t="str">
        <f t="shared" si="22"/>
        <v/>
      </c>
      <c r="DU12" s="64" t="str">
        <f t="shared" si="23"/>
        <v/>
      </c>
      <c r="DV12" s="60" t="str">
        <f t="shared" si="24"/>
        <v>0055</v>
      </c>
      <c r="DW12" s="67" t="str">
        <f t="shared" si="25"/>
        <v>BELEM</v>
      </c>
      <c r="DX12" s="60" t="str" cm="1">
        <f t="array" ref="DX12">TEXT( MIG_NORMA.NÚMERICO( J12 ), "00000000000" )</f>
        <v>79708870234</v>
      </c>
      <c r="DY12" s="60" t="str" cm="1">
        <f t="array" ref="DY12">TEXT( MIG_NORMA.NÚMERICO( K12 ), "0000000" )</f>
        <v/>
      </c>
      <c r="DZ12" s="64" t="str">
        <f t="shared" si="26"/>
        <v>02/02/2026</v>
      </c>
      <c r="EA12" s="64" t="str">
        <f t="shared" si="27"/>
        <v>20/02/2026</v>
      </c>
      <c r="EB12" s="64" t="str">
        <f t="shared" si="28"/>
        <v>20/01/1983</v>
      </c>
      <c r="EC12" s="64" t="str">
        <f t="shared" si="29"/>
        <v/>
      </c>
      <c r="ED12" s="64" t="str">
        <f t="shared" si="30"/>
        <v/>
      </c>
      <c r="EE12" s="64" t="str">
        <f t="shared" si="31"/>
        <v/>
      </c>
      <c r="EF12" s="64" t="str">
        <f t="shared" si="32"/>
        <v>08/07/2022</v>
      </c>
      <c r="EG12" s="64" t="str">
        <f t="shared" si="33"/>
        <v/>
      </c>
      <c r="EH12" s="64" t="str">
        <f t="shared" si="34"/>
        <v/>
      </c>
      <c r="EI12" s="68" t="str">
        <f t="shared" si="35"/>
        <v/>
      </c>
      <c r="EJ12" s="64" t="str">
        <f t="shared" si="36"/>
        <v>02/02/2027</v>
      </c>
      <c r="EK12" s="64" t="str">
        <f t="shared" si="37"/>
        <v/>
      </c>
      <c r="EL12" s="64" t="str">
        <f t="shared" si="38"/>
        <v/>
      </c>
      <c r="EM12" s="64" t="str">
        <f t="shared" si="39"/>
        <v>02/02/2026</v>
      </c>
      <c r="EN12" s="64" t="str">
        <f t="shared" si="57"/>
        <v>20/02/2026</v>
      </c>
      <c r="EO12" s="64" t="str">
        <f t="shared" si="40"/>
        <v/>
      </c>
      <c r="EP12" s="64" t="str">
        <f t="shared" si="41"/>
        <v/>
      </c>
      <c r="EQ12" s="63" t="str">
        <f t="shared" si="42"/>
        <v>INSERT INTO PARCNEGOCIO ( NRPARCNEGOCIO, NRORG, NMPRINCIPALPARC, NMSECUNDARIPARC, DTNASCIFUNDPARC, NRINSCRICAOPARC, IDATIVO, DTINCLUSAO, NRORGINCLUSAO, CDOPERINCLUSAO, CDTIPOPARCPRINCIPAL, CDTIPOINSCRICAO, IDPESSOAFISICA, IDINSTITUICAO, IDPARCFUNDIDO ) VALUES ( 213, 5862, 'MICHELE DA COSTA DIAS', 'MICHELE DA COSTA DIAS', '20/01/1983', '79708870234', 'S', SYSDATE, 5862, '000000099991', 'PESSOA', 'CPF', 'S', 'N', 'N' );</v>
      </c>
      <c r="ER12" s="63" t="str">
        <f t="shared" si="43"/>
        <v>INSERT INTO GPE_PESSOA ( NRPESSOA, NRORG, NRPARCNEGOCIO, DTINCLUSAO, NRORGINCLUSAO, CDOPERINCLUSAO ) VALUES ( 10, 5862, 213, SYSDATE, 5862, '000000099991' );</v>
      </c>
      <c r="ES12"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( 10, 10, 5862, '01/01/2000', 'MICHELE DA COSTA DIAS', 'C', '79708870234', '', '', '', '', '', '', '', '', '', '', '', '', (SELECT NRCATMILITARPE FROM GPE_CATMILITARPE WHERE NRCATMILITARPE = ''), '', SYSDATE, 5862, '000000099991', '5', '1058', 'PA', (SELECT MAX(CDMUNICIPIO) FROM MUNICIPIO WHERE NMMUNICIPIO = 'BELEM'), '20/01/1983', 'F', '6657871', 'PC', 'PA', '08/07/2022', '1', '7' , '1');</v>
      </c>
      <c r="ET12"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(10, 10, 5862, '270000-2-E1084', '02/02/2026', '20/02/2026', SYSDATE, 5862, '000000099991', '1', '', '', '', '', '', '', 'MICHELE DA COSTA DIAS', '', '', '', '', '', '02/02/2027', '');</v>
      </c>
      <c r="EU12"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(28, 10,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'000007') );</v>
      </c>
      <c r="EV12"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29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28;</v>
      </c>
      <c r="EW12"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30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28;</v>
      </c>
      <c r="EX12" s="63" t="str">
        <f t="shared" si="59"/>
        <v>INSERT INTO GPE_ALTESITUFUNC ( NRALTESITUFUNC, NRORG, NRSITUFUNCM, NRVINCULOM, DTINISITUFUNC, DTINCLUSAO, NRORGINCLUSAO, CDOPERINCLUSAO ) VALUES ( 10, 5862, (CASE WHEN '' IS NOT NULL THEN '' WHEN '20/02/2026' IS NULL THEN '1' ELSE '13' END), 10, '20/02/2026', SYSDATE, 5862, '000000099991' );</v>
      </c>
      <c r="EY12" s="63" t="str">
        <f t="shared" si="48"/>
        <v/>
      </c>
      <c r="EZ12" s="63" t="str">
        <f>IF(CD12="","",SUBSTITUTE(SUBSTITUTE(SUBSTITUTE(SUBSTITUTE(SUBSTITUTE($EZ$2,"@NRORG@",$CM$2),$CY$1,CY12),$CP$1,CP12),$CD$1,CD12),$CI$1,TRIM(CI12)))</f>
        <v/>
      </c>
      <c r="FA12" s="63" t="str">
        <f t="shared" si="61"/>
        <v>INSERT INTO COMUNICAPARC ( NRCOMUNICAPARC, NRPARCNEGOCIO, CDFORMACOMU, CDPREFIXCOMUPARC, CDCOMUNICAPARC, NRORG, IDATIVO, DTINCLUSAO, NRORGINCLUSAO, CDOPERINCLUSAO ) VALUES ( 12, 213, '02', '91', '998192535', 5862, 'S', SYSDATE, 5862, '000000099991' );</v>
      </c>
      <c r="FB12" s="63" t="str">
        <f t="shared" si="62"/>
        <v>INSERT INTO COMUNICAPARC ( NRCOMUNICAPARC, NRPARCNEGOCIO, CDFORMACOMU, CDCOMUNICAPARC, NRORG, IDATIVO, DTINCLUSAO, NRORGINCLUSAO, CDOPERINCLUSAO ) VALUES ( 39, 213, '05', 'michellydias0921@gmail.com', 5862, 'S', SYSDATE, 5862, '000000099991' );</v>
      </c>
      <c r="FC12" s="63" t="str">
        <f t="shared" si="63"/>
        <v>INSERT INTO ENDERECOPARC ( NRENDERECOPARC, NRPARCNEGOCIO, CDTIPOENDERECO, NRORG, IDATIVO, DTINCLUSAO, NRORGINCLUSAO, CDOPERINCLUSAO, CDPAIS, CDMUNICIPIO, CDLOGRADOURO, NMBAIRROENDERECO, DSCOMPLEENDERECO, NRCEPENDERECO, DSENDERECO, NRIMOVELENDERECO, SGESTADO ) VALUES ( 20, 213, 'PRINCIPAL', 5862, 'S', SYSDATE, 5862, '000000099991', '0055', ( SELECT MAX(CDMUNICIPIO) FROM MUNICIPIO WHERE NMMUNICIPIO = 'BELEM' AND SGESTADO = 'PA' ), 'AL', 'TAPANA', '', '66830040', 'UNIAO', '49', 'PA');</v>
      </c>
      <c r="FD12" s="63" t="str">
        <f t="shared" ca="1" si="49"/>
        <v>INSERT INTO GPE_MOVIMENTACAO ( NRMOVIMENTACAO, NRORG, NRVINCULOM, NRTIPOTRANSFER, NRTPMOVTRANSFM, NRESTRUTURAM, DTINIMOVIMENT, DSOBSERVACAO, DTINCLUSAO, NRORGINCLUSAO, CDOPERINCLUSAO, NRTIPOESTRUTURA ) VALUES ( 10, 5862, 10,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2" s="63" t="str">
        <f t="shared" ca="1" si="50"/>
        <v>INSERT INTO GPE_MOVIMENTACAO ( NRMOVIMENTACAO, NRORG, NRVINCULOM, NRTIPOTRANSFER, NRTPMOVTRANSFM, NRESTRUTURAM, DTINIMOVIMENT, DSOBSERVACAO, DTINCLUSAO, NRORGINCLUSAO, CDOPERINCLUSAO, NRTIPOESTRUTURA ) VALUES ( 37, 5862, 10, 2, 1, (SELECT MAX(NRESTRUTURAM) FROM ESTRUTURAM WHERE NRORG = 5862 AND CDINTESTRUTURA = 'dep_270000' AND NRTIPOESTRUTURA = (SELECT NRTPESTRUTGEREN FROM GPE_PARAMORG WHERE NRORG = 5862)), '02/02/2026', 'Movimentacao gerada via migracao ' || SYSDATE, SYSDATE, 5862, '000000099991', ( SELECT NRTPESTRUTGEREN FROM GPE_PARAMORG WHERE NRORG = 5862 ) );</v>
      </c>
      <c r="FF12" s="63" t="str">
        <f t="shared" ca="1" si="51"/>
        <v/>
      </c>
      <c r="FG12" s="63" t="str">
        <f t="shared" si="52"/>
        <v>COMMIT;</v>
      </c>
      <c r="FI12" s="21" t="str">
        <f ca="1"/>
        <v>não</v>
      </c>
      <c r="FL12" s="21" t="str">
        <f ca="1"/>
        <v>existe</v>
      </c>
      <c r="FP12" s="21" t="str">
        <f ca="1"/>
        <v>existe</v>
      </c>
      <c r="FT12" s="21" t="str">
        <f ca="1"/>
        <v>existe</v>
      </c>
      <c r="FX12" s="21" t="str">
        <f ca="1"/>
        <v>existe</v>
      </c>
      <c r="GB12" s="21">
        <f ca="1"/>
        <v>0</v>
      </c>
      <c r="GD12" s="21" t="str">
        <f ca="1"/>
        <v xml:space="preserve">  - Vínculo (matrícula): 270000-2-E1083, estrutura legal </v>
      </c>
    </row>
    <row r="13" spans="1:224" x14ac:dyDescent="0.3">
      <c r="A13" s="16" t="s">
        <v>566</v>
      </c>
      <c r="B13" s="16" t="s">
        <v>430</v>
      </c>
      <c r="C13" s="16" t="s">
        <v>629</v>
      </c>
      <c r="E13" s="16" t="s">
        <v>630</v>
      </c>
      <c r="F13" s="16" t="s">
        <v>391</v>
      </c>
      <c r="G13" s="16" t="s">
        <v>323</v>
      </c>
      <c r="H13" s="16" t="s">
        <v>631</v>
      </c>
      <c r="I13" s="16" t="s">
        <v>224</v>
      </c>
      <c r="J13" s="16" t="s">
        <v>632</v>
      </c>
      <c r="Q13" s="16" t="s">
        <v>633</v>
      </c>
      <c r="R13" s="16" t="s">
        <v>439</v>
      </c>
      <c r="S13" s="16" t="s">
        <v>396</v>
      </c>
      <c r="T13" s="16" t="s">
        <v>634</v>
      </c>
      <c r="AC13" s="16" t="s">
        <v>273</v>
      </c>
      <c r="AD13" s="16" t="s">
        <v>403</v>
      </c>
      <c r="AE13" t="s">
        <v>396</v>
      </c>
      <c r="AF13" s="16" t="s">
        <v>404</v>
      </c>
      <c r="AG13" s="16" t="s">
        <v>635</v>
      </c>
      <c r="AH13" s="16" t="s">
        <v>218</v>
      </c>
      <c r="AI13" s="16" t="s">
        <v>303</v>
      </c>
      <c r="AJ13" s="16" t="s">
        <v>406</v>
      </c>
      <c r="AK13" s="16" t="s">
        <v>493</v>
      </c>
      <c r="AL13" s="16" t="s">
        <v>636</v>
      </c>
      <c r="AM13" s="16" t="s">
        <v>271</v>
      </c>
      <c r="AN13" s="16" t="s">
        <v>270</v>
      </c>
      <c r="AO13" s="16" t="s">
        <v>219</v>
      </c>
      <c r="AP13" s="98" t="s">
        <v>2567</v>
      </c>
      <c r="AQ13" s="16" t="s">
        <v>637</v>
      </c>
      <c r="AR13" s="16" t="s">
        <v>1747</v>
      </c>
      <c r="AS13" s="16" t="s">
        <v>396</v>
      </c>
      <c r="AT13" s="16" t="s">
        <v>404</v>
      </c>
      <c r="AU13" s="16" t="s">
        <v>604</v>
      </c>
      <c r="AV13" s="16" t="s">
        <v>638</v>
      </c>
      <c r="AW13" s="16" t="s">
        <v>639</v>
      </c>
      <c r="AX13" s="16" t="s">
        <v>576</v>
      </c>
      <c r="AY13" s="16" t="s">
        <v>640</v>
      </c>
      <c r="AZ13" s="16" t="s">
        <v>641</v>
      </c>
      <c r="BA13" s="16" t="s">
        <v>270</v>
      </c>
      <c r="BB13" t="s">
        <v>1746</v>
      </c>
      <c r="BF13" s="16" t="s">
        <v>451</v>
      </c>
      <c r="BG13" s="16" t="s">
        <v>304</v>
      </c>
      <c r="BN13" t="s">
        <v>1746</v>
      </c>
      <c r="BP13" s="16" t="s">
        <v>566</v>
      </c>
      <c r="BQ13" s="16" t="s">
        <v>419</v>
      </c>
      <c r="BR13" s="16" t="s">
        <v>419</v>
      </c>
      <c r="BS13" s="16" t="s">
        <v>270</v>
      </c>
      <c r="BT13" s="16" t="s">
        <v>313</v>
      </c>
      <c r="BX13" s="16" t="s">
        <v>505</v>
      </c>
      <c r="CC13" s="16" t="s">
        <v>270</v>
      </c>
      <c r="CD13"/>
      <c r="CE13" s="16" t="s">
        <v>642</v>
      </c>
      <c r="CF13" s="16" t="s">
        <v>453</v>
      </c>
      <c r="CG13" s="16" t="s">
        <v>643</v>
      </c>
      <c r="CH13" s="16" t="s">
        <v>644</v>
      </c>
      <c r="CI13"/>
      <c r="CJ13" s="16" t="s">
        <v>428</v>
      </c>
      <c r="CK13" s="16" t="s">
        <v>645</v>
      </c>
      <c r="CM13" s="79"/>
      <c r="CN13" s="63"/>
      <c r="CO13" s="63"/>
      <c r="CP13" s="85">
        <f t="shared" ref="CP13:CS13" si="105">CP12+1</f>
        <v>214</v>
      </c>
      <c r="CQ13" s="85">
        <f t="shared" si="105"/>
        <v>11</v>
      </c>
      <c r="CR13" s="85">
        <f t="shared" si="105"/>
        <v>11</v>
      </c>
      <c r="CS13" s="85">
        <f t="shared" si="105"/>
        <v>11</v>
      </c>
      <c r="CT13" s="85">
        <f t="shared" ref="CT13:CV13" si="106">CT12+3</f>
        <v>31</v>
      </c>
      <c r="CU13" s="65">
        <f t="shared" si="106"/>
        <v>32</v>
      </c>
      <c r="CV13" s="65">
        <f t="shared" si="106"/>
        <v>33</v>
      </c>
      <c r="CW13" s="85">
        <f t="shared" ref="CW13" si="107">CW12+1</f>
        <v>11</v>
      </c>
      <c r="CX13" s="85">
        <f t="shared" si="92"/>
        <v>7</v>
      </c>
      <c r="CY13" s="85">
        <f t="shared" si="93"/>
        <v>1</v>
      </c>
      <c r="CZ13" s="85">
        <f t="shared" ref="CZ13:CZ20" si="108">IF( TRIM( CK13 ) = "", CZ12, CZ12 + 1 )</f>
        <v>13</v>
      </c>
      <c r="DA13" s="85">
        <f t="shared" si="55"/>
        <v>40</v>
      </c>
      <c r="DB13" s="85">
        <f t="shared" ref="DB13" si="109">DB12+1</f>
        <v>21</v>
      </c>
      <c r="DC13" s="85">
        <f ca="1">IF( OR( AP13 = "", FT13 &lt;&gt; "existe" ), "", LARGE( DC$2:DC12, 1 ) + 1 )</f>
        <v>11</v>
      </c>
      <c r="DD13" s="66">
        <f ca="1">IF( OR( AQ13 = "", FX13 &lt;&gt; "existe" ), "", LARGE( DD$2:DD12, 1 ) + 1 )</f>
        <v>38</v>
      </c>
      <c r="DE13" s="66" t="str">
        <f ca="1">IF( OR( BU13 = "", GB13 &lt;&gt; "existe" ), "", LARGE( DE$2:DE12, 1 ) + 1 )</f>
        <v/>
      </c>
      <c r="DF13" s="67" t="str">
        <f t="shared" si="95"/>
        <v>NUNCA</v>
      </c>
      <c r="DG13" s="67" t="str">
        <f t="shared" si="96"/>
        <v>BELEM</v>
      </c>
      <c r="DH13" s="67">
        <f t="shared" si="12"/>
        <v>1</v>
      </c>
      <c r="DI13" s="67" t="str">
        <f t="shared" si="13"/>
        <v>PSG</v>
      </c>
      <c r="DJ13" s="67" t="str">
        <f t="shared" si="97"/>
        <v>MATILDE</v>
      </c>
      <c r="DK13" s="67" t="str">
        <f t="shared" si="98"/>
        <v>CURIO UTINGA</v>
      </c>
      <c r="DL13" s="67" t="str">
        <f t="shared" si="99"/>
        <v>CASA C</v>
      </c>
      <c r="DM13" s="67" t="str">
        <f t="shared" si="100"/>
        <v>66610230</v>
      </c>
      <c r="DN13" s="70" t="str">
        <f t="shared" si="16"/>
        <v>0089-1</v>
      </c>
      <c r="DO13" s="70" t="str">
        <f t="shared" si="17"/>
        <v>0</v>
      </c>
      <c r="DP13" s="70" t="str">
        <f t="shared" si="18"/>
        <v>0</v>
      </c>
      <c r="DQ13" s="64" t="str">
        <f t="shared" si="19"/>
        <v/>
      </c>
      <c r="DR13" s="64" t="str">
        <f t="shared" si="20"/>
        <v>7295589</v>
      </c>
      <c r="DS13" s="64" t="str">
        <f t="shared" si="21"/>
        <v>237</v>
      </c>
      <c r="DT13" s="64" t="str">
        <f t="shared" si="22"/>
        <v>19399</v>
      </c>
      <c r="DU13" s="64" t="str">
        <f t="shared" si="23"/>
        <v>584398</v>
      </c>
      <c r="DV13" s="60" t="str">
        <f t="shared" si="24"/>
        <v>0055</v>
      </c>
      <c r="DW13" s="67" t="str">
        <f t="shared" si="25"/>
        <v>BELEM</v>
      </c>
      <c r="DX13" s="60" t="str" cm="1">
        <f t="array" ref="DX13">TEXT( MIG_NORMA.NÚMERICO( J13 ), "00000000000" )</f>
        <v>01983623237</v>
      </c>
      <c r="DY13" s="60" t="str" cm="1">
        <f t="array" ref="DY13">TEXT( MIG_NORMA.NÚMERICO( K13 ), "0000000" )</f>
        <v/>
      </c>
      <c r="DZ13" s="64" t="str">
        <f t="shared" si="26"/>
        <v>02/02/2026</v>
      </c>
      <c r="EA13" s="64" t="str">
        <f t="shared" si="27"/>
        <v>31/12/2027</v>
      </c>
      <c r="EB13" s="64" t="str">
        <f t="shared" si="28"/>
        <v>24/06/2004</v>
      </c>
      <c r="EC13" s="64" t="str">
        <f t="shared" si="29"/>
        <v/>
      </c>
      <c r="ED13" s="64" t="str">
        <f t="shared" si="30"/>
        <v/>
      </c>
      <c r="EE13" s="64" t="str">
        <f t="shared" si="31"/>
        <v/>
      </c>
      <c r="EF13" s="64" t="str">
        <f t="shared" si="32"/>
        <v>21/06/2021</v>
      </c>
      <c r="EG13" s="64" t="str">
        <f t="shared" si="33"/>
        <v/>
      </c>
      <c r="EH13" s="64" t="str">
        <f t="shared" si="34"/>
        <v/>
      </c>
      <c r="EI13" s="68" t="str">
        <f t="shared" si="35"/>
        <v/>
      </c>
      <c r="EJ13" s="64" t="str">
        <f t="shared" si="36"/>
        <v>02/02/2027</v>
      </c>
      <c r="EK13" s="64" t="str">
        <f t="shared" si="37"/>
        <v/>
      </c>
      <c r="EL13" s="64" t="str">
        <f t="shared" si="38"/>
        <v/>
      </c>
      <c r="EM13" s="64" t="str">
        <f t="shared" si="39"/>
        <v>02/02/2026</v>
      </c>
      <c r="EN13" s="64" t="str">
        <f t="shared" si="57"/>
        <v>31/12/2027</v>
      </c>
      <c r="EO13" s="64" t="str">
        <f t="shared" si="40"/>
        <v/>
      </c>
      <c r="EP13" s="64" t="str">
        <f t="shared" si="41"/>
        <v/>
      </c>
      <c r="EQ13" s="63" t="str">
        <f t="shared" si="42"/>
        <v>INSERT INTO PARCNEGOCIO ( NRPARCNEGOCIO, NRORG, NMPRINCIPALPARC, NMSECUNDARIPARC, DTNASCIFUNDPARC, NRINSCRICAOPARC, IDATIVO, DTINCLUSAO, NRORGINCLUSAO, CDOPERINCLUSAO, CDTIPOPARCPRINCIPAL, CDTIPOINSCRICAO, IDPESSOAFISICA, IDINSTITUICAO, IDPARCFUNDIDO ) VALUES ( 214, 5862, 'JORDANNA ROCHA DOS SANTOS', 'JORDANNA ROCHA DOS SANTOS', '24/06/2004', '01983623237', 'S', SYSDATE, 5862, '000000099991', 'PESSOA', 'CPF', 'S', 'N', 'N' );</v>
      </c>
      <c r="ER13" s="63" t="str">
        <f t="shared" si="43"/>
        <v>INSERT INTO GPE_PESSOA ( NRPESSOA, NRORG, NRPARCNEGOCIO, DTINCLUSAO, NRORGINCLUSAO, CDOPERINCLUSAO ) VALUES ( 11, 5862, 214, SYSDATE, 5862, '000000099991' );</v>
      </c>
      <c r="ES13"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( 11, 11, 5862, '01/01/2000', 'JORDANNA ROCHA DOS SANTOS', 'S', '01983623237', '', '', '', '', '', '', '', '', '', '', '', '', (SELECT NRCATMILITARPE FROM GPE_CATMILITARPE WHERE NRCATMILITARPE = ''), '', SYSDATE, 5862, '000000099991', '5', '1058', 'PA', (SELECT MAX(CDMUNICIPIO) FROM MUNICIPIO WHERE NMMUNICIPIO = 'BELEM'), '24/06/2004', 'F', '7295589', 'PC', 'PA', '21/06/2021', '1', '8' , '1');</v>
      </c>
      <c r="ET13"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(11, 11, 5862, '280000-2-E1078', '02/02/2026', '31/12/2027', SYSDATE, 5862, '000000099991', '1', '', '', '', '', '', '', 'JORDANNA ROCHA DOS SANTOS', '', '', '', '', '', '02/02/2027', '');</v>
      </c>
      <c r="EU13"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(31, 11, '', (SELECT MAX(NROCUPACAOM) FROM GPE_OCUPACAOH WHERE NRORG = 5862 AND CDINTEGRACAO = '0089-1'), (SELECT MAX(NROCUPACAOM) FROM GPE_OCUPACAOH WHERE NRORG = 5862 AND CDINTEGRACAO = '0089-1'), 5862, '01/01/2000', 'NUNCA', SYSDATE, 5862, '000000099991', '0', '0', '02/02/2026', 'SAL1', 'MENSAL', (SELECT MAX(NRESTRUTURAM) FROM ESTRUTURAM WHERE NRORG = 5862 AND CDINTESTRUTURA = 'est_MATSAUDE'), NVL((SELECT MAX(NRESTRUTURAM) FROM ESTRUTURAM WHERE NRORG = 5862 AND CDINTESTRUTURA = 'dep_280000'), 999992), NVL((SELECT MAX(NRESTRUTURAM) FROM ESTRUTURAM WHERE NRORG = 5862 AND CDINTESTRUTURA = ''), 999993), '1', 'UNICO', '', 2, '', 'N', (SELECT MAX(NRESCALATRABM) FROM GPE_ESCALATRABH WHERE NRORG = 5862 AND NRESCALATRABM = '000011') );</v>
      </c>
      <c r="EV13"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32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31;</v>
      </c>
      <c r="EW13"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33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31;</v>
      </c>
      <c r="EX13" s="63" t="str">
        <f t="shared" si="59"/>
        <v>INSERT INTO GPE_ALTESITUFUNC ( NRALTESITUFUNC, NRORG, NRSITUFUNCM, NRVINCULOM, DTINISITUFUNC, DTINCLUSAO, NRORGINCLUSAO, CDOPERINCLUSAO ) VALUES ( 11, 5862, (CASE WHEN '' IS NOT NULL THEN '' WHEN '31/12/2027' IS NULL THEN '1' ELSE '13' END), 11, '31/12/2027', SYSDATE, 5862, '000000099991' );</v>
      </c>
      <c r="EY13" s="63" t="str">
        <f t="shared" si="48"/>
        <v>INSERT INTO CONTCORRPARC ( NRCONTCORRPARC, NRORG, NRPARCNEGOCIO, CDBANCO, CDAGENCIA, CDCONTCORR, NRTPCONTCORR, DTINCLUSAO, NRORGINCLUSAO, CDOPERINCLUSAO, IDATIVO ) VALUES ( 7, 5862, 214, '237', '19399', '584398', '2', SYSDATE, 5862, '000000099991', 'S' );</v>
      </c>
      <c r="EZ13" s="63" t="str">
        <f t="shared" si="60"/>
        <v/>
      </c>
      <c r="FA13" s="63" t="str">
        <f t="shared" si="61"/>
        <v>INSERT INTO COMUNICAPARC ( NRCOMUNICAPARC, NRPARCNEGOCIO, CDFORMACOMU, CDPREFIXCOMUPARC, CDCOMUNICAPARC, NRORG, IDATIVO, DTINCLUSAO, NRORGINCLUSAO, CDOPERINCLUSAO ) VALUES ( 13, 214, '02', '91', '986067996', 5862, 'S', SYSDATE, 5862, '000000099991' );</v>
      </c>
      <c r="FB13" s="63" t="str">
        <f t="shared" si="62"/>
        <v>INSERT INTO COMUNICAPARC ( NRCOMUNICAPARC, NRPARCNEGOCIO, CDFORMACOMU, CDCOMUNICAPARC, NRORG, IDATIVO, DTINCLUSAO, NRORGINCLUSAO, CDOPERINCLUSAO ) VALUES ( 40, 214, '05', 'jordanna.rocha60@gmail.com', 5862, 'S', SYSDATE, 5862, '000000099991' );</v>
      </c>
      <c r="FC13" s="63" t="str">
        <f t="shared" si="63"/>
        <v>INSERT INTO ENDERECOPARC ( NRENDERECOPARC, NRPARCNEGOCIO, CDTIPOENDERECO, NRORG, IDATIVO, DTINCLUSAO, NRORGINCLUSAO, CDOPERINCLUSAO, CDPAIS, CDMUNICIPIO, CDLOGRADOURO, NMBAIRROENDERECO, DSCOMPLEENDERECO, NRCEPENDERECO, DSENDERECO, NRIMOVELENDERECO, SGESTADO ) VALUES ( 21, 214, 'PRINCIPAL', 5862, 'S', SYSDATE, 5862, '000000099991', '0055', ( SELECT MAX(CDMUNICIPIO) FROM MUNICIPIO WHERE NMMUNICIPIO = 'BELEM' AND SGESTADO = 'PA' ), 'PSG', 'CURIO UTINGA', 'CASA C', '66610230', 'MATILDE', '96', 'PA');</v>
      </c>
      <c r="FD13" s="63" t="str">
        <f t="shared" ca="1" si="49"/>
        <v>INSERT INTO GPE_MOVIMENTACAO ( NRMOVIMENTACAO, NRORG, NRVINCULOM, NRTIPOTRANSFER, NRTPMOVTRANSFM, NRESTRUTURAM, DTINIMOVIMENT, DSOBSERVACAO, DTINCLUSAO, NRORGINCLUSAO, CDOPERINCLUSAO, NRTIPOESTRUTURA ) VALUES ( 11, 5862, 11,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3" s="63" t="str">
        <f t="shared" ca="1" si="50"/>
        <v>INSERT INTO GPE_MOVIMENTACAO ( NRMOVIMENTACAO, NRORG, NRVINCULOM, NRTIPOTRANSFER, NRTPMOVTRANSFM, NRESTRUTURAM, DTINIMOVIMENT, DSOBSERVACAO, DTINCLUSAO, NRORGINCLUSAO, CDOPERINCLUSAO, NRTIPOESTRUTURA ) VALUES ( 38, 5862, 11, 2, 1, (SELECT MAX(NRESTRUTURAM) FROM ESTRUTURAM WHERE NRORG = 5862 AND CDINTESTRUTURA = 'dep_280000' AND NRTIPOESTRUTURA = (SELECT NRTPESTRUTGEREN FROM GPE_PARAMORG WHERE NRORG = 5862)), '02/02/2026', 'Movimentacao gerada via migracao ' || SYSDATE, SYSDATE, 5862, '000000099991', ( SELECT NRTPESTRUTGEREN FROM GPE_PARAMORG WHERE NRORG = 5862 ) );</v>
      </c>
      <c r="FF13" s="63" t="str">
        <f t="shared" ca="1" si="51"/>
        <v/>
      </c>
      <c r="FG13" s="63" t="str">
        <f t="shared" si="52"/>
        <v>COMMIT;</v>
      </c>
      <c r="FI13" s="21" t="str">
        <f ca="1"/>
        <v>não</v>
      </c>
      <c r="FL13" s="21" t="str">
        <f ca="1"/>
        <v>existe</v>
      </c>
      <c r="FP13" s="21" t="str">
        <f ca="1"/>
        <v>existe</v>
      </c>
      <c r="FT13" s="21" t="str">
        <f ca="1"/>
        <v>existe</v>
      </c>
      <c r="FX13" s="21" t="str">
        <f ca="1"/>
        <v>existe</v>
      </c>
      <c r="GB13" s="21">
        <f ca="1"/>
        <v>0</v>
      </c>
      <c r="GD13" s="21" t="str">
        <f ca="1"/>
        <v xml:space="preserve">  - Vínculo (matrícula): 270000-2-E1084, estrutura legal </v>
      </c>
    </row>
    <row r="14" spans="1:224" x14ac:dyDescent="0.3">
      <c r="A14" s="16" t="s">
        <v>566</v>
      </c>
      <c r="B14" s="16" t="s">
        <v>567</v>
      </c>
      <c r="C14" s="16" t="s">
        <v>646</v>
      </c>
      <c r="E14" s="16" t="s">
        <v>630</v>
      </c>
      <c r="F14" s="16" t="s">
        <v>391</v>
      </c>
      <c r="G14" s="16" t="s">
        <v>323</v>
      </c>
      <c r="H14" s="16" t="s">
        <v>647</v>
      </c>
      <c r="I14" s="16" t="s">
        <v>217</v>
      </c>
      <c r="J14" s="16" t="s">
        <v>648</v>
      </c>
      <c r="Q14" s="16" t="s">
        <v>649</v>
      </c>
      <c r="R14" s="16" t="s">
        <v>324</v>
      </c>
      <c r="S14" s="16" t="s">
        <v>396</v>
      </c>
      <c r="T14" s="16" t="s">
        <v>650</v>
      </c>
      <c r="AC14" s="16" t="s">
        <v>273</v>
      </c>
      <c r="AD14" s="16" t="s">
        <v>403</v>
      </c>
      <c r="AE14" t="s">
        <v>396</v>
      </c>
      <c r="AF14" s="16" t="s">
        <v>441</v>
      </c>
      <c r="AG14" s="16" t="s">
        <v>651</v>
      </c>
      <c r="AH14" s="16" t="s">
        <v>218</v>
      </c>
      <c r="AI14" s="16" t="s">
        <v>303</v>
      </c>
      <c r="AM14" s="16" t="s">
        <v>271</v>
      </c>
      <c r="AN14" s="16" t="s">
        <v>270</v>
      </c>
      <c r="AO14" t="s">
        <v>1746</v>
      </c>
      <c r="AP14" s="98" t="s">
        <v>2567</v>
      </c>
      <c r="AQ14" s="16" t="s">
        <v>652</v>
      </c>
      <c r="AR14" s="16" t="s">
        <v>1747</v>
      </c>
      <c r="AS14" s="16" t="s">
        <v>396</v>
      </c>
      <c r="AT14" s="16" t="s">
        <v>441</v>
      </c>
      <c r="AU14" s="16" t="s">
        <v>604</v>
      </c>
      <c r="AV14" s="16" t="s">
        <v>653</v>
      </c>
      <c r="AW14" s="16" t="s">
        <v>654</v>
      </c>
      <c r="AX14" s="16" t="s">
        <v>655</v>
      </c>
      <c r="AZ14" s="16" t="s">
        <v>656</v>
      </c>
      <c r="BA14" s="16" t="s">
        <v>270</v>
      </c>
      <c r="BB14" t="s">
        <v>1746</v>
      </c>
      <c r="BF14" s="16" t="s">
        <v>579</v>
      </c>
      <c r="BG14" s="16" t="s">
        <v>304</v>
      </c>
      <c r="BN14" t="s">
        <v>1746</v>
      </c>
      <c r="BP14" s="16" t="s">
        <v>566</v>
      </c>
      <c r="BQ14" s="16" t="s">
        <v>419</v>
      </c>
      <c r="BR14" s="16" t="s">
        <v>419</v>
      </c>
      <c r="BS14" s="16" t="s">
        <v>270</v>
      </c>
      <c r="BT14" s="16" t="s">
        <v>312</v>
      </c>
      <c r="BX14" s="16" t="s">
        <v>505</v>
      </c>
      <c r="CC14" s="16" t="s">
        <v>270</v>
      </c>
      <c r="CD14"/>
      <c r="CE14" s="16" t="s">
        <v>657</v>
      </c>
      <c r="CF14" s="16" t="s">
        <v>419</v>
      </c>
      <c r="CG14" s="16" t="s">
        <v>658</v>
      </c>
      <c r="CH14" s="16" t="s">
        <v>659</v>
      </c>
      <c r="CI14"/>
      <c r="CJ14" s="16" t="s">
        <v>428</v>
      </c>
      <c r="CK14" s="16" t="s">
        <v>660</v>
      </c>
      <c r="CM14" s="79"/>
      <c r="CN14" s="63"/>
      <c r="CO14" s="63"/>
      <c r="CP14" s="85">
        <f t="shared" ref="CP14:CS14" si="110">CP13+1</f>
        <v>215</v>
      </c>
      <c r="CQ14" s="85">
        <f t="shared" si="110"/>
        <v>12</v>
      </c>
      <c r="CR14" s="85">
        <f t="shared" si="110"/>
        <v>12</v>
      </c>
      <c r="CS14" s="85">
        <f t="shared" si="110"/>
        <v>12</v>
      </c>
      <c r="CT14" s="85">
        <f t="shared" ref="CT14:CV14" si="111">CT13+3</f>
        <v>34</v>
      </c>
      <c r="CU14" s="65">
        <f t="shared" si="111"/>
        <v>35</v>
      </c>
      <c r="CV14" s="65">
        <f t="shared" si="111"/>
        <v>36</v>
      </c>
      <c r="CW14" s="85">
        <f t="shared" ref="CW14" si="112">CW13+1</f>
        <v>12</v>
      </c>
      <c r="CX14" s="85">
        <f t="shared" si="92"/>
        <v>7</v>
      </c>
      <c r="CY14" s="85">
        <f t="shared" si="93"/>
        <v>1</v>
      </c>
      <c r="CZ14" s="85">
        <f t="shared" si="108"/>
        <v>14</v>
      </c>
      <c r="DA14" s="85">
        <f t="shared" si="55"/>
        <v>41</v>
      </c>
      <c r="DB14" s="85">
        <f t="shared" ref="DB14" si="113">DB13+1</f>
        <v>22</v>
      </c>
      <c r="DC14" s="85">
        <f ca="1">IF( OR( AP14 = "", FT14 &lt;&gt; "existe" ), "", LARGE( DC$2:DC13, 1 ) + 1 )</f>
        <v>12</v>
      </c>
      <c r="DD14" s="66">
        <f ca="1">IF( OR( AQ14 = "", FX14 &lt;&gt; "existe" ), "", LARGE( DD$2:DD13, 1 ) + 1 )</f>
        <v>39</v>
      </c>
      <c r="DE14" s="66" t="str">
        <f ca="1">IF( OR( BU14 = "", GB14 &lt;&gt; "existe" ), "", LARGE( DE$2:DE13, 1 ) + 1 )</f>
        <v/>
      </c>
      <c r="DF14" s="67" t="str">
        <f t="shared" si="95"/>
        <v>NUNCA</v>
      </c>
      <c r="DG14" s="67" t="str">
        <f t="shared" si="96"/>
        <v>ANANINDEUA</v>
      </c>
      <c r="DH14" s="67">
        <f t="shared" si="12"/>
        <v>1</v>
      </c>
      <c r="DI14" s="67" t="str">
        <f t="shared" si="13"/>
        <v>PSG</v>
      </c>
      <c r="DJ14" s="67" t="str">
        <f t="shared" si="97"/>
        <v>OTILIA</v>
      </c>
      <c r="DK14" s="67" t="str">
        <f t="shared" si="98"/>
        <v>PEDREIRA</v>
      </c>
      <c r="DL14" s="67" t="str">
        <f t="shared" si="99"/>
        <v/>
      </c>
      <c r="DM14" s="67" t="str">
        <f t="shared" si="100"/>
        <v>66085652</v>
      </c>
      <c r="DN14" s="70" t="str">
        <f t="shared" si="16"/>
        <v>0089-7</v>
      </c>
      <c r="DO14" s="70" t="str">
        <f t="shared" si="17"/>
        <v>0</v>
      </c>
      <c r="DP14" s="70" t="str">
        <f t="shared" si="18"/>
        <v>0</v>
      </c>
      <c r="DQ14" s="64" t="str">
        <f t="shared" si="19"/>
        <v/>
      </c>
      <c r="DR14" s="64" t="str">
        <f t="shared" si="20"/>
        <v>6465873</v>
      </c>
      <c r="DS14" s="64" t="str">
        <f t="shared" si="21"/>
        <v>000</v>
      </c>
      <c r="DT14" s="64" t="str">
        <f t="shared" si="22"/>
        <v/>
      </c>
      <c r="DU14" s="64" t="str">
        <f t="shared" si="23"/>
        <v/>
      </c>
      <c r="DV14" s="60" t="str">
        <f t="shared" si="24"/>
        <v>0055</v>
      </c>
      <c r="DW14" s="67" t="str">
        <f t="shared" si="25"/>
        <v>ANANINDEUA</v>
      </c>
      <c r="DX14" s="60" t="str" cm="1">
        <f t="array" ref="DX14">TEXT( MIG_NORMA.NÚMERICO( J14 ), "00000000000" )</f>
        <v>00820530220</v>
      </c>
      <c r="DY14" s="60" t="str" cm="1">
        <f t="array" ref="DY14">TEXT( MIG_NORMA.NÚMERICO( K14 ), "0000000" )</f>
        <v/>
      </c>
      <c r="DZ14" s="64" t="str">
        <f t="shared" si="26"/>
        <v>02/02/2026</v>
      </c>
      <c r="EA14" s="64" t="str">
        <f t="shared" si="27"/>
        <v>02/06/2026</v>
      </c>
      <c r="EB14" s="64" t="str">
        <f t="shared" si="28"/>
        <v>05/10/1991</v>
      </c>
      <c r="EC14" s="64" t="str">
        <f t="shared" si="29"/>
        <v/>
      </c>
      <c r="ED14" s="64" t="str">
        <f t="shared" si="30"/>
        <v/>
      </c>
      <c r="EE14" s="64" t="str">
        <f t="shared" si="31"/>
        <v/>
      </c>
      <c r="EF14" s="64" t="str">
        <f t="shared" si="32"/>
        <v>20/01/2022</v>
      </c>
      <c r="EG14" s="64" t="str">
        <f t="shared" si="33"/>
        <v/>
      </c>
      <c r="EH14" s="64" t="str">
        <f t="shared" si="34"/>
        <v/>
      </c>
      <c r="EI14" s="68" t="str">
        <f t="shared" si="35"/>
        <v/>
      </c>
      <c r="EJ14" s="64" t="str">
        <f t="shared" si="36"/>
        <v>02/02/2027</v>
      </c>
      <c r="EK14" s="64" t="str">
        <f t="shared" si="37"/>
        <v/>
      </c>
      <c r="EL14" s="64" t="str">
        <f t="shared" si="38"/>
        <v/>
      </c>
      <c r="EM14" s="64" t="str">
        <f t="shared" si="39"/>
        <v>02/02/2026</v>
      </c>
      <c r="EN14" s="64" t="str">
        <f t="shared" si="57"/>
        <v>02/06/2026</v>
      </c>
      <c r="EO14" s="64" t="str">
        <f t="shared" si="40"/>
        <v/>
      </c>
      <c r="EP14" s="64" t="str">
        <f t="shared" si="41"/>
        <v/>
      </c>
      <c r="EQ14" s="63" t="str">
        <f t="shared" si="42"/>
        <v>INSERT INTO PARCNEGOCIO ( NRPARCNEGOCIO, NRORG, NMPRINCIPALPARC, NMSECUNDARIPARC, DTNASCIFUNDPARC, NRINSCRICAOPARC, IDATIVO, DTINCLUSAO, NRORGINCLUSAO, CDOPERINCLUSAO, CDTIPOPARCPRINCIPAL, CDTIPOINSCRICAO, IDPESSOAFISICA, IDINSTITUICAO, IDPARCFUNDIDO ) VALUES ( 215, 5862, 'WALERIA KELLY DE SOUSA SILVA', 'WALERIA KELLY DE SOUSA SILVA', '05/10/1991', '00820530220', 'S', SYSDATE, 5862, '000000099991', 'PESSOA', 'CPF', 'S', 'N', 'N' );</v>
      </c>
      <c r="ER14" s="63" t="str">
        <f t="shared" si="43"/>
        <v>INSERT INTO GPE_PESSOA ( NRPESSOA, NRORG, NRPARCNEGOCIO, DTINCLUSAO, NRORGINCLUSAO, CDOPERINCLUSAO ) VALUES ( 12, 5862, 215, SYSDATE, 5862, '000000099991' );</v>
      </c>
      <c r="ES14"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( 12, 12, 5862, '01/01/2000', 'WALERIA KELLY DE SOUSA SILVA', 'C', '00820530220', '', '', '', '', '', '', '', '', '', '', '', '', (SELECT NRCATMILITARPE FROM GPE_CATMILITARPE WHERE NRCATMILITARPE = ''), '', SYSDATE, 5862, '000000099991', '5', '1058', 'PA', (SELECT MAX(CDMUNICIPIO) FROM MUNICIPIO WHERE NMMUNICIPIO = 'ANANINDEUA'), '05/10/1991', 'F', '6465873', 'SSP', 'PA', '20/01/2022', '1', '7' , '1');</v>
      </c>
      <c r="ET14"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(12, 12, 5862, '400000-2-E1081', '02/02/2026', '02/06/2026', SYSDATE, 5862, '000000099991', '1', '', '', '', '', '', '', 'WALERIA KELLY DE SOUSA SILVA', '', '', '', '', '', '02/02/2027', '');</v>
      </c>
      <c r="EU14"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(34, 12,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'dep_400000'), 999992), NVL((SELECT MAX(NRESTRUTURAM) FROM ESTRUTURAM WHERE NRORG = 5862 AND CDINTESTRUTURA = ''), 999993), '1', 'UNICO', '', 2, '', 'N', (SELECT MAX(NRESCALATRABM) FROM GPE_ESCALATRABH WHERE NRORG = 5862 AND NRESCALATRABM = '000011') );</v>
      </c>
      <c r="EV14"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35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34;</v>
      </c>
      <c r="EW14"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36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34;</v>
      </c>
      <c r="EX14" s="63" t="str">
        <f t="shared" si="59"/>
        <v>INSERT INTO GPE_ALTESITUFUNC ( NRALTESITUFUNC, NRORG, NRSITUFUNCM, NRVINCULOM, DTINISITUFUNC, DTINCLUSAO, NRORGINCLUSAO, CDOPERINCLUSAO ) VALUES ( 12, 5862, (CASE WHEN '' IS NOT NULL THEN '' WHEN '02/06/2026' IS NULL THEN '1' ELSE '13' END), 12, '02/06/2026', SYSDATE, 5862, '000000099991' );</v>
      </c>
      <c r="EY14" s="63" t="str">
        <f t="shared" si="48"/>
        <v/>
      </c>
      <c r="EZ14" s="63" t="str">
        <f t="shared" si="60"/>
        <v/>
      </c>
      <c r="FA14" s="63" t="str">
        <f t="shared" si="61"/>
        <v>INSERT INTO COMUNICAPARC ( NRCOMUNICAPARC, NRPARCNEGOCIO, CDFORMACOMU, CDPREFIXCOMUPARC, CDCOMUNICAPARC, NRORG, IDATIVO, DTINCLUSAO, NRORGINCLUSAO, CDOPERINCLUSAO ) VALUES ( 14, 215, '02', '91', '987040344', 5862, 'S', SYSDATE, 5862, '000000099991' );</v>
      </c>
      <c r="FB14" s="63" t="str">
        <f t="shared" si="62"/>
        <v>INSERT INTO COMUNICAPARC ( NRCOMUNICAPARC, NRPARCNEGOCIO, CDFORMACOMU, CDCOMUNICAPARC, NRORG, IDATIVO, DTINCLUSAO, NRORGINCLUSAO, CDOPERINCLUSAO ) VALUES ( 41, 215, '05', 'waleriakelly4@gmail.com', 5862, 'S', SYSDATE, 5862, '000000099991' );</v>
      </c>
      <c r="FC14" s="63" t="str">
        <f t="shared" si="63"/>
        <v>INSERT INTO ENDERECOPARC ( NRENDERECOPARC, NRPARCNEGOCIO, CDTIPOENDERECO, NRORG, IDATIVO, DTINCLUSAO, NRORGINCLUSAO, CDOPERINCLUSAO, CDPAIS, CDMUNICIPIO, CDLOGRADOURO, NMBAIRROENDERECO, DSCOMPLEENDERECO, NRCEPENDERECO, DSENDERECO, NRIMOVELENDERECO, SGESTADO ) VALUES ( 22, 215, 'PRINCIPAL', 5862, 'S', SYSDATE, 5862, '000000099991', '0055', ( SELECT MAX(CDMUNICIPIO) FROM MUNICIPIO WHERE NMMUNICIPIO = 'ANANINDEUA' AND SGESTADO = 'PA' ), 'PSG', 'PEDREIRA', '', '66085652', 'OTILIA', '47', 'PA');</v>
      </c>
      <c r="FD14" s="63" t="str">
        <f t="shared" ca="1" si="49"/>
        <v>INSERT INTO GPE_MOVIMENTACAO ( NRMOVIMENTACAO, NRORG, NRVINCULOM, NRTIPOTRANSFER, NRTPMOVTRANSFM, NRESTRUTURAM, DTINIMOVIMENT, DSOBSERVACAO, DTINCLUSAO, NRORGINCLUSAO, CDOPERINCLUSAO, NRTIPOESTRUTURA ) VALUES ( 12, 5862, 12,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4" s="63" t="str">
        <f t="shared" ca="1" si="50"/>
        <v>INSERT INTO GPE_MOVIMENTACAO ( NRMOVIMENTACAO, NRORG, NRVINCULOM, NRTIPOTRANSFER, NRTPMOVTRANSFM, NRESTRUTURAM, DTINIMOVIMENT, DSOBSERVACAO, DTINCLUSAO, NRORGINCLUSAO, CDOPERINCLUSAO, NRTIPOESTRUTURA ) VALUES ( 39, 5862, 12, 2, 1, (SELECT MAX(NRESTRUTURAM) FROM ESTRUTURAM WHERE NRORG = 5862 AND CDINTESTRUTURA = 'dep_400000' AND NRTIPOESTRUTURA = (SELECT NRTPESTRUTGEREN FROM GPE_PARAMORG WHERE NRORG = 5862)), '02/02/2026', 'Movimentacao gerada via migracao ' || SYSDATE, SYSDATE, 5862, '000000099991', ( SELECT NRTPESTRUTGEREN FROM GPE_PARAMORG WHERE NRORG = 5862 ) );</v>
      </c>
      <c r="FF14" s="63" t="str">
        <f t="shared" ca="1" si="51"/>
        <v/>
      </c>
      <c r="FG14" s="63" t="str">
        <f t="shared" si="52"/>
        <v>COMMIT;</v>
      </c>
      <c r="FI14" s="21" t="str">
        <f ca="1"/>
        <v>não</v>
      </c>
      <c r="FL14" s="21" t="str">
        <f ca="1"/>
        <v>existe</v>
      </c>
      <c r="FP14" s="21" t="str">
        <f ca="1"/>
        <v>existe</v>
      </c>
      <c r="FT14" s="21" t="str">
        <f ca="1"/>
        <v>existe</v>
      </c>
      <c r="FX14" s="21" t="str">
        <f ca="1"/>
        <v>existe</v>
      </c>
      <c r="GB14" s="21">
        <f ca="1"/>
        <v>0</v>
      </c>
      <c r="GD14" s="21" t="str">
        <f ca="1"/>
        <v xml:space="preserve">  - Vínculo (matrícula): 280000-2-E1076, estrutura legal </v>
      </c>
    </row>
    <row r="15" spans="1:224" x14ac:dyDescent="0.3">
      <c r="A15" s="16" t="s">
        <v>566</v>
      </c>
      <c r="B15" s="16" t="s">
        <v>661</v>
      </c>
      <c r="C15" s="16" t="s">
        <v>662</v>
      </c>
      <c r="E15" s="16" t="s">
        <v>539</v>
      </c>
      <c r="F15" s="16" t="s">
        <v>391</v>
      </c>
      <c r="G15" s="16" t="s">
        <v>323</v>
      </c>
      <c r="H15" s="16" t="s">
        <v>663</v>
      </c>
      <c r="I15" s="16" t="s">
        <v>224</v>
      </c>
      <c r="J15" s="16" t="s">
        <v>664</v>
      </c>
      <c r="K15" s="16" t="s">
        <v>665</v>
      </c>
      <c r="L15" s="16" t="s">
        <v>666</v>
      </c>
      <c r="M15" s="16" t="s">
        <v>396</v>
      </c>
      <c r="N15" s="16" t="s">
        <v>667</v>
      </c>
      <c r="O15" s="16" t="s">
        <v>668</v>
      </c>
      <c r="Q15" s="16" t="s">
        <v>669</v>
      </c>
      <c r="R15" s="16" t="s">
        <v>439</v>
      </c>
      <c r="S15" s="16" t="s">
        <v>396</v>
      </c>
      <c r="T15" s="16" t="s">
        <v>670</v>
      </c>
      <c r="U15" s="16" t="s">
        <v>671</v>
      </c>
      <c r="V15" s="16" t="s">
        <v>672</v>
      </c>
      <c r="W15" s="16" t="s">
        <v>342</v>
      </c>
      <c r="AC15" s="16" t="s">
        <v>273</v>
      </c>
      <c r="AD15" s="16" t="s">
        <v>403</v>
      </c>
      <c r="AE15" t="s">
        <v>396</v>
      </c>
      <c r="AF15" s="16" t="s">
        <v>673</v>
      </c>
      <c r="AG15" s="16" t="s">
        <v>674</v>
      </c>
      <c r="AH15" s="16" t="s">
        <v>225</v>
      </c>
      <c r="AI15" s="16" t="s">
        <v>303</v>
      </c>
      <c r="AJ15" s="16" t="s">
        <v>406</v>
      </c>
      <c r="AK15" s="16" t="s">
        <v>675</v>
      </c>
      <c r="AL15" s="16" t="s">
        <v>676</v>
      </c>
      <c r="AM15" s="16" t="s">
        <v>271</v>
      </c>
      <c r="AN15" s="16" t="s">
        <v>270</v>
      </c>
      <c r="AO15" s="16" t="s">
        <v>219</v>
      </c>
      <c r="AP15" s="98" t="s">
        <v>2567</v>
      </c>
      <c r="AQ15" s="16" t="s">
        <v>677</v>
      </c>
      <c r="AR15" s="16" t="s">
        <v>1747</v>
      </c>
      <c r="AS15" s="16" t="s">
        <v>396</v>
      </c>
      <c r="AT15" s="16" t="s">
        <v>404</v>
      </c>
      <c r="AU15" s="16" t="s">
        <v>469</v>
      </c>
      <c r="AV15" s="16" t="s">
        <v>678</v>
      </c>
      <c r="AW15" s="16" t="s">
        <v>679</v>
      </c>
      <c r="AX15" s="16" t="s">
        <v>680</v>
      </c>
      <c r="AY15" s="16" t="s">
        <v>681</v>
      </c>
      <c r="AZ15" s="16" t="s">
        <v>682</v>
      </c>
      <c r="BA15" s="16" t="s">
        <v>270</v>
      </c>
      <c r="BB15" s="16" t="s">
        <v>497</v>
      </c>
      <c r="BC15" s="16" t="s">
        <v>566</v>
      </c>
      <c r="BF15" s="16" t="s">
        <v>684</v>
      </c>
      <c r="BG15" s="16" t="s">
        <v>304</v>
      </c>
      <c r="BI15" s="16" t="s">
        <v>683</v>
      </c>
      <c r="BM15" s="16" t="s">
        <v>685</v>
      </c>
      <c r="BN15" s="16" t="s">
        <v>270</v>
      </c>
      <c r="BO15" s="16" t="s">
        <v>270</v>
      </c>
      <c r="BP15" s="16" t="s">
        <v>566</v>
      </c>
      <c r="BQ15" s="16" t="s">
        <v>419</v>
      </c>
      <c r="BR15" s="16" t="s">
        <v>419</v>
      </c>
      <c r="BS15" s="16" t="s">
        <v>270</v>
      </c>
      <c r="BT15" s="16" t="s">
        <v>312</v>
      </c>
      <c r="BU15" s="16" t="s">
        <v>532</v>
      </c>
      <c r="BV15" s="16" t="s">
        <v>334</v>
      </c>
      <c r="BW15" s="16" t="s">
        <v>686</v>
      </c>
      <c r="BX15" s="16" t="s">
        <v>505</v>
      </c>
      <c r="CC15" s="16" t="s">
        <v>270</v>
      </c>
      <c r="CD15"/>
      <c r="CE15" s="16" t="s">
        <v>687</v>
      </c>
      <c r="CF15" s="16" t="s">
        <v>688</v>
      </c>
      <c r="CG15" s="16" t="s">
        <v>689</v>
      </c>
      <c r="CH15" s="16" t="s">
        <v>690</v>
      </c>
      <c r="CI15"/>
      <c r="CJ15" s="16" t="s">
        <v>428</v>
      </c>
      <c r="CK15" s="16" t="s">
        <v>691</v>
      </c>
      <c r="CM15" s="79"/>
      <c r="CN15" s="63"/>
      <c r="CO15" s="63"/>
      <c r="CP15" s="85">
        <f t="shared" ref="CP15:CS15" si="114">CP14+1</f>
        <v>216</v>
      </c>
      <c r="CQ15" s="85">
        <f t="shared" si="114"/>
        <v>13</v>
      </c>
      <c r="CR15" s="85">
        <f t="shared" si="114"/>
        <v>13</v>
      </c>
      <c r="CS15" s="85">
        <f t="shared" si="114"/>
        <v>13</v>
      </c>
      <c r="CT15" s="85">
        <f t="shared" ref="CT15:CV15" si="115">CT14+3</f>
        <v>37</v>
      </c>
      <c r="CU15" s="65">
        <f t="shared" si="115"/>
        <v>38</v>
      </c>
      <c r="CV15" s="65">
        <f t="shared" si="115"/>
        <v>39</v>
      </c>
      <c r="CW15" s="85">
        <f t="shared" ref="CW15" si="116">CW14+1</f>
        <v>13</v>
      </c>
      <c r="CX15" s="85">
        <f t="shared" si="92"/>
        <v>8</v>
      </c>
      <c r="CY15" s="85">
        <f t="shared" si="93"/>
        <v>1</v>
      </c>
      <c r="CZ15" s="85">
        <f t="shared" si="108"/>
        <v>15</v>
      </c>
      <c r="DA15" s="85">
        <f t="shared" si="55"/>
        <v>42</v>
      </c>
      <c r="DB15" s="85">
        <f t="shared" ref="DB15" si="117">DB14+1</f>
        <v>23</v>
      </c>
      <c r="DC15" s="85">
        <f ca="1">IF( OR( AP15 = "", FT15 &lt;&gt; "existe" ), "", LARGE( DC$2:DC14, 1 ) + 1 )</f>
        <v>13</v>
      </c>
      <c r="DD15" s="66">
        <f ca="1">IF( OR( AQ15 = "", FX15 &lt;&gt; "existe" ), "", LARGE( DD$2:DD14, 1 ) + 1 )</f>
        <v>40</v>
      </c>
      <c r="DE15" s="66">
        <f ca="1">IF( OR( BU15 = "", GB15 &lt;&gt; "existe" ), "", LARGE( DE$2:DE14, 1 ) + 1 )</f>
        <v>59</v>
      </c>
      <c r="DF15" s="67" t="str">
        <f t="shared" si="95"/>
        <v>NUNCA</v>
      </c>
      <c r="DG15" s="67" t="str">
        <f t="shared" si="96"/>
        <v>BUJARU</v>
      </c>
      <c r="DH15" s="67">
        <f t="shared" si="12"/>
        <v>1</v>
      </c>
      <c r="DI15" s="67" t="str">
        <f t="shared" si="13"/>
        <v>TV</v>
      </c>
      <c r="DJ15" s="67" t="str">
        <f t="shared" si="97"/>
        <v>CARLOS GOMES RESCORDOLINA FONTELES</v>
      </c>
      <c r="DK15" s="67" t="str">
        <f t="shared" si="98"/>
        <v>TENONE</v>
      </c>
      <c r="DL15" s="67" t="str">
        <f t="shared" si="99"/>
        <v>CMB 226 FUNDOS D QD 14</v>
      </c>
      <c r="DM15" s="67" t="str">
        <f t="shared" si="100"/>
        <v>66820666</v>
      </c>
      <c r="DN15" s="70" t="str">
        <f t="shared" si="16"/>
        <v>0140-01</v>
      </c>
      <c r="DO15" s="70" t="str">
        <f t="shared" si="17"/>
        <v>0</v>
      </c>
      <c r="DP15" s="70" t="str">
        <f t="shared" si="18"/>
        <v>0</v>
      </c>
      <c r="DQ15" s="64" t="str">
        <f t="shared" si="19"/>
        <v/>
      </c>
      <c r="DR15" s="64" t="str">
        <f t="shared" si="20"/>
        <v>6942826</v>
      </c>
      <c r="DS15" s="64" t="str">
        <f t="shared" si="21"/>
        <v>237</v>
      </c>
      <c r="DT15" s="64" t="str">
        <f t="shared" si="22"/>
        <v>31097</v>
      </c>
      <c r="DU15" s="64" t="str">
        <f t="shared" si="23"/>
        <v>1213202</v>
      </c>
      <c r="DV15" s="60" t="str">
        <f t="shared" si="24"/>
        <v>0055</v>
      </c>
      <c r="DW15" s="67" t="str">
        <f t="shared" si="25"/>
        <v>BELEM</v>
      </c>
      <c r="DX15" s="60" t="str" cm="1">
        <f t="array" ref="DX15">TEXT( MIG_NORMA.NÚMERICO( J15 ), "00000000000" )</f>
        <v>04063847209</v>
      </c>
      <c r="DY15" s="60" t="str" cm="1">
        <f t="array" ref="DY15">TEXT( MIG_NORMA.NÚMERICO( K15 ), "0000000" )</f>
        <v>0040638</v>
      </c>
      <c r="DZ15" s="64" t="str">
        <f t="shared" si="26"/>
        <v>02/02/2026</v>
      </c>
      <c r="EA15" s="64" t="str">
        <f t="shared" si="27"/>
        <v>03/03/2026</v>
      </c>
      <c r="EB15" s="64" t="str">
        <f t="shared" si="28"/>
        <v>09/01/1995</v>
      </c>
      <c r="EC15" s="64" t="str">
        <f t="shared" si="29"/>
        <v>27/05/2021</v>
      </c>
      <c r="ED15" s="64" t="str">
        <f t="shared" si="30"/>
        <v/>
      </c>
      <c r="EE15" s="64" t="str">
        <f t="shared" si="31"/>
        <v/>
      </c>
      <c r="EF15" s="64" t="str">
        <f t="shared" si="32"/>
        <v>05/01/2017</v>
      </c>
      <c r="EG15" s="64" t="str">
        <f t="shared" si="33"/>
        <v>02/02/2026</v>
      </c>
      <c r="EH15" s="64" t="str">
        <f t="shared" si="34"/>
        <v/>
      </c>
      <c r="EI15" s="68" t="str">
        <f t="shared" si="35"/>
        <v/>
      </c>
      <c r="EJ15" s="64" t="str">
        <f t="shared" si="36"/>
        <v>02/02/2027</v>
      </c>
      <c r="EK15" s="64" t="str">
        <f t="shared" si="37"/>
        <v/>
      </c>
      <c r="EL15" s="64" t="str">
        <f t="shared" si="38"/>
        <v/>
      </c>
      <c r="EM15" s="64" t="str">
        <f t="shared" si="39"/>
        <v>02/02/2026</v>
      </c>
      <c r="EN15" s="64" t="str">
        <f t="shared" si="57"/>
        <v>03/03/2026</v>
      </c>
      <c r="EO15" s="64" t="str">
        <f t="shared" si="40"/>
        <v>18/03/2026</v>
      </c>
      <c r="EP15" s="64" t="str">
        <f t="shared" si="41"/>
        <v/>
      </c>
      <c r="EQ15" s="63" t="str">
        <f t="shared" si="42"/>
        <v>INSERT INTO PARCNEGOCIO ( NRPARCNEGOCIO, NRORG, NMPRINCIPALPARC, NMSECUNDARIPARC, DTNASCIFUNDPARC, NRINSCRICAOPARC, IDATIVO, DTINCLUSAO, NRORGINCLUSAO, CDOPERINCLUSAO, CDTIPOPARCPRINCIPAL, CDTIPOINSCRICAO, IDPESSOAFISICA, IDINSTITUICAO, IDPARCFUNDIDO ) VALUES ( 216, 5862, 'RAFAEL BASTOS ABREU', 'RAFAEL BASTOS ABREU', '09/01/1995', '04063847209', 'S', SYSDATE, 5862, '000000099991', 'PESSOA', 'CPF', 'S', 'N', 'N' );</v>
      </c>
      <c r="ER15" s="63" t="str">
        <f t="shared" si="43"/>
        <v>INSERT INTO GPE_PESSOA ( NRPESSOA, NRORG, NRPARCNEGOCIO, DTINCLUSAO, NRORGINCLUSAO, CDOPERINCLUSAO ) VALUES ( 13, 5862, 216, SYSDATE, 5862, '000000099991' );</v>
      </c>
      <c r="ES15"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( 13, 13, 5862, '01/01/2000', 'RAFAEL BASTOS ABREU', 'S', '04063847209', '0040638', '47209', 'PA', '27/05/2021', '19058505270', '', '066616851392', '733', '73', '', '', '', (SELECT NRCATMILITARPE FROM GPE_CATMILITARPE WHERE NRCATMILITARPE = ''), '', SYSDATE, 5862, '000000099991', '5', '1058', 'PA', (SELECT MAX(CDMUNICIPIO) FROM MUNICIPIO WHERE NMMUNICIPIO = 'BUJARU'), '09/01/1995', 'M', '6942826', 'PC', 'PA', '05/01/2017', '1', '7' , '1');</v>
      </c>
      <c r="ET15"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(13, 13, 5862, '440000-0-01639', '02/02/2026', '03/03/2026', SYSDATE, 5862, '000000099991', '1', '1', '1', '24', '02/02/2026', '', '', 'RAFAEL BASTOS ABREU', '04', '', '', '45', '30', '02/02/2027', '');</v>
      </c>
      <c r="EU15"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(37, 13, '', (SELECT MAX(NROCUPACAOM) FROM GPE_OCUPACAOH WHERE NRORG = 5862 AND CDINTEGRACAO = '0140-01'), (SELECT MAX(NROCUPACAOM) FROM GPE_OCUPACAOH WHERE NRORG = 5862 AND CDINTEGRACAO = '0140-01'), 5862, '01/01/2000', 'NUNCA', SYSDATE, 5862, '000000099991', '0', '0', '02/02/2026', 'SAL1', 'MENSAL', (SELECT MAX(NRESTRUTURAM) FROM ESTRUTURAM WHERE NRORG = 5862 AND CDINTESTRUTURA = 'est_MATSAUDE'), NVL((SELECT MAX(NRESTRUTURAM) FROM ESTRUTURAM WHERE NRORG = 5862 AND CDINTESTRUTURA = 'dep_440000'), 999992), NVL((SELECT MAX(NRESTRUTURAM) FROM ESTRUTURAM WHERE NRORG = 5862 AND CDINTESTRUTURA = 'sin_01'), 999993), '1', 'UNICO', '', 2, '18/03/2026', 'N', (SELECT MAX(NRESCALATRABM) FROM GPE_ESCALATRABH WHERE NRORG = 5862 AND NRESCALATRABM = '000003') );</v>
      </c>
      <c r="EV15"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38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37;</v>
      </c>
      <c r="EW15"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39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37;</v>
      </c>
      <c r="EX15" s="63" t="str">
        <f t="shared" si="59"/>
        <v>INSERT INTO GPE_ALTESITUFUNC ( NRALTESITUFUNC, NRORG, NRSITUFUNCM, NRVINCULOM, DTINISITUFUNC, DTINCLUSAO, NRORGINCLUSAO, CDOPERINCLUSAO ) VALUES ( 13, 5862, (CASE WHEN '' IS NOT NULL THEN '' WHEN '03/03/2026' IS NULL THEN '1' ELSE '13' END), 13, '03/03/2026', SYSDATE, 5862, '000000099991' );</v>
      </c>
      <c r="EY15" s="63" t="str">
        <f t="shared" si="48"/>
        <v>INSERT INTO CONTCORRPARC ( NRCONTCORRPARC, NRORG, NRPARCNEGOCIO, CDBANCO, CDAGENCIA, CDCONTCORR, NRTPCONTCORR, DTINCLUSAO, NRORGINCLUSAO, CDOPERINCLUSAO, IDATIVO ) VALUES ( 8, 5862, 216, '237', '31097', '1213202', '2', SYSDATE, 5862, '000000099991', 'S' );</v>
      </c>
      <c r="EZ15" s="63" t="str">
        <f t="shared" si="60"/>
        <v/>
      </c>
      <c r="FA15" s="63" t="str">
        <f t="shared" si="61"/>
        <v>INSERT INTO COMUNICAPARC ( NRCOMUNICAPARC, NRPARCNEGOCIO, CDFORMACOMU, CDPREFIXCOMUPARC, CDCOMUNICAPARC, NRORG, IDATIVO, DTINCLUSAO, NRORGINCLUSAO, CDOPERINCLUSAO ) VALUES ( 15, 216, '02', '91', '999890334', 5862, 'S', SYSDATE, 5862, '000000099991' );</v>
      </c>
      <c r="FB15" s="63" t="str">
        <f t="shared" si="62"/>
        <v>INSERT INTO COMUNICAPARC ( NRCOMUNICAPARC, NRPARCNEGOCIO, CDFORMACOMU, CDCOMUNICAPARC, NRORG, IDATIVO, DTINCLUSAO, NRORGINCLUSAO, CDOPERINCLUSAO ) VALUES ( 42, 216, '05', 'rafael.bastos.abreu12345@gmail.com', 5862, 'S', SYSDATE, 5862, '000000099991' );</v>
      </c>
      <c r="FC15" s="63" t="str">
        <f t="shared" si="63"/>
        <v>INSERT INTO ENDERECOPARC ( NRENDERECOPARC, NRPARCNEGOCIO, CDTIPOENDERECO, NRORG, IDATIVO, DTINCLUSAO, NRORGINCLUSAO, CDOPERINCLUSAO, CDPAIS, CDMUNICIPIO, CDLOGRADOURO, NMBAIRROENDERECO, DSCOMPLEENDERECO, NRCEPENDERECO, DSENDERECO, NRIMOVELENDERECO, SGESTADO ) VALUES ( 23, 216, 'PRINCIPAL', 5862, 'S', SYSDATE, 5862, '000000099991', '0055', ( SELECT MAX(CDMUNICIPIO) FROM MUNICIPIO WHERE NMMUNICIPIO = 'BELEM' AND SGESTADO = 'PA' ), 'TV', 'TENONE', 'CMB 226 FUNDOS D QD 14', '66820666', 'CARLOS GOMES RESCORDOLINA FONTELES', '22', 'PA');</v>
      </c>
      <c r="FD15" s="63" t="str">
        <f t="shared" ca="1" si="49"/>
        <v>INSERT INTO GPE_MOVIMENTACAO ( NRMOVIMENTACAO, NRORG, NRVINCULOM, NRTIPOTRANSFER, NRTPMOVTRANSFM, NRESTRUTURAM, DTINIMOVIMENT, DSOBSERVACAO, DTINCLUSAO, NRORGINCLUSAO, CDOPERINCLUSAO, NRTIPOESTRUTURA ) VALUES ( 13, 5862, 13,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5" s="63" t="str">
        <f t="shared" ca="1" si="50"/>
        <v>INSERT INTO GPE_MOVIMENTACAO ( NRMOVIMENTACAO, NRORG, NRVINCULOM, NRTIPOTRANSFER, NRTPMOVTRANSFM, NRESTRUTURAM, DTINIMOVIMENT, DSOBSERVACAO, DTINCLUSAO, NRORGINCLUSAO, CDOPERINCLUSAO, NRTIPOESTRUTURA ) VALUES ( 40, 5862, 13, 2, 1, (SELECT MAX(NRESTRUTURAM) FROM ESTRUTURAM WHERE NRORG = 5862 AND CDINTESTRUTURA = 'dep_440000' AND NRTIPOESTRUTURA = (SELECT NRTPESTRUTGEREN FROM GPE_PARAMORG WHERE NRORG = 5862)), '02/02/2026', 'Movimentacao gerada via migracao ' || SYSDATE, SYSDATE, 5862, '000000099991', ( SELECT NRTPESTRUTGEREN FROM GPE_PARAMORG WHERE NRORG = 5862 ) );</v>
      </c>
      <c r="FF15" s="63" t="str">
        <f t="shared" ca="1" si="51"/>
        <v>INSERT INTO GPE_MOVIMENTACAO ( NRMOVIMENTACAO, NRORG, NRVINCULOM, NRTIPOTRANSFER, NRTPMOVTRANSFM, NRESTRUTURAM, DTINIMOVIMENT, DSOBSERVACAO, DTINCLUSAO, NRORGINCLUSAO, CDOPERINCLUSAO, NRTIPOESTRUTURA ) VALUES ( 59, 5862, 13, 1, 1, (SELECT MAX(NRESTRUTURAM) FROM ESTRUTURAM WHERE NRORG = 5862 AND CDINTESTRUTURA = 'sin_01' AND NRTIPOESTRUTURA = 10), '02/02/2026', 'Movimentacao gerada via migracao ' || SYSDATE, SYSDATE, 5862, '000000099991', 10 );</v>
      </c>
      <c r="FG15" s="63" t="str">
        <f t="shared" si="52"/>
        <v>COMMIT;</v>
      </c>
      <c r="FI15" s="21" t="str">
        <f ca="1"/>
        <v>não</v>
      </c>
      <c r="FL15" s="21" t="str">
        <f ca="1"/>
        <v>existe</v>
      </c>
      <c r="FP15" s="21" t="str">
        <f ca="1"/>
        <v>existe</v>
      </c>
      <c r="FT15" s="21" t="str">
        <f ca="1"/>
        <v>existe</v>
      </c>
      <c r="FX15" s="21" t="str">
        <f ca="1"/>
        <v>existe</v>
      </c>
      <c r="GB15" s="21" t="str">
        <f ca="1"/>
        <v>existe</v>
      </c>
      <c r="GD15" s="21" t="str">
        <f ca="1"/>
        <v xml:space="preserve">  - Vínculo (matrícula): 280000-2-E1078, estrutura legal </v>
      </c>
    </row>
    <row r="16" spans="1:224" x14ac:dyDescent="0.3">
      <c r="A16" s="16" t="s">
        <v>566</v>
      </c>
      <c r="B16" s="16" t="s">
        <v>567</v>
      </c>
      <c r="C16" s="16" t="s">
        <v>692</v>
      </c>
      <c r="E16" s="16" t="s">
        <v>630</v>
      </c>
      <c r="F16" s="16" t="s">
        <v>391</v>
      </c>
      <c r="G16" s="16" t="s">
        <v>323</v>
      </c>
      <c r="H16" s="16" t="s">
        <v>693</v>
      </c>
      <c r="I16" s="16" t="s">
        <v>224</v>
      </c>
      <c r="J16" s="16" t="s">
        <v>694</v>
      </c>
      <c r="Q16" s="16" t="s">
        <v>695</v>
      </c>
      <c r="R16" s="16" t="s">
        <v>439</v>
      </c>
      <c r="S16" s="16" t="s">
        <v>396</v>
      </c>
      <c r="T16" s="16" t="s">
        <v>696</v>
      </c>
      <c r="AC16" s="16" t="s">
        <v>273</v>
      </c>
      <c r="AD16" s="16" t="s">
        <v>403</v>
      </c>
      <c r="AE16" t="s">
        <v>396</v>
      </c>
      <c r="AF16" s="16" t="s">
        <v>697</v>
      </c>
      <c r="AG16" s="16" t="s">
        <v>698</v>
      </c>
      <c r="AH16" s="16" t="s">
        <v>218</v>
      </c>
      <c r="AI16" s="16" t="s">
        <v>303</v>
      </c>
      <c r="AM16" s="16" t="s">
        <v>271</v>
      </c>
      <c r="AN16" s="16" t="s">
        <v>270</v>
      </c>
      <c r="AO16" t="s">
        <v>1746</v>
      </c>
      <c r="AP16" s="98" t="s">
        <v>2567</v>
      </c>
      <c r="AQ16" s="16" t="s">
        <v>699</v>
      </c>
      <c r="AR16" s="16" t="s">
        <v>1747</v>
      </c>
      <c r="AS16" s="16" t="s">
        <v>396</v>
      </c>
      <c r="AT16" s="16" t="s">
        <v>441</v>
      </c>
      <c r="AU16" s="16" t="s">
        <v>604</v>
      </c>
      <c r="AV16" s="16" t="s">
        <v>700</v>
      </c>
      <c r="AW16" s="16" t="s">
        <v>701</v>
      </c>
      <c r="AX16" s="16" t="s">
        <v>449</v>
      </c>
      <c r="AY16" s="16" t="s">
        <v>702</v>
      </c>
      <c r="AZ16" s="16" t="s">
        <v>703</v>
      </c>
      <c r="BA16" s="16" t="s">
        <v>270</v>
      </c>
      <c r="BB16" t="s">
        <v>1746</v>
      </c>
      <c r="BF16" s="16" t="s">
        <v>579</v>
      </c>
      <c r="BG16" s="16" t="s">
        <v>304</v>
      </c>
      <c r="BN16" t="s">
        <v>1746</v>
      </c>
      <c r="BP16" s="16" t="s">
        <v>566</v>
      </c>
      <c r="BQ16" s="16" t="s">
        <v>419</v>
      </c>
      <c r="BR16" s="16" t="s">
        <v>419</v>
      </c>
      <c r="BS16" s="16" t="s">
        <v>270</v>
      </c>
      <c r="BT16" s="16" t="s">
        <v>312</v>
      </c>
      <c r="BX16" s="16" t="s">
        <v>505</v>
      </c>
      <c r="CC16" s="16" t="s">
        <v>270</v>
      </c>
      <c r="CD16"/>
      <c r="CE16" s="16" t="s">
        <v>704</v>
      </c>
      <c r="CF16" s="16" t="s">
        <v>419</v>
      </c>
      <c r="CG16" s="16" t="s">
        <v>705</v>
      </c>
      <c r="CH16" s="16" t="s">
        <v>706</v>
      </c>
      <c r="CI16"/>
      <c r="CJ16" s="16" t="s">
        <v>428</v>
      </c>
      <c r="CK16" s="16" t="s">
        <v>707</v>
      </c>
      <c r="CM16" s="79"/>
      <c r="CN16" s="63"/>
      <c r="CO16" s="63"/>
      <c r="CP16" s="85">
        <f t="shared" ref="CP16:CS16" si="118">CP15+1</f>
        <v>217</v>
      </c>
      <c r="CQ16" s="85">
        <f t="shared" si="118"/>
        <v>14</v>
      </c>
      <c r="CR16" s="85">
        <f t="shared" si="118"/>
        <v>14</v>
      </c>
      <c r="CS16" s="85">
        <f t="shared" si="118"/>
        <v>14</v>
      </c>
      <c r="CT16" s="85">
        <f t="shared" ref="CT16:CV16" si="119">CT15+3</f>
        <v>40</v>
      </c>
      <c r="CU16" s="65">
        <f t="shared" si="119"/>
        <v>41</v>
      </c>
      <c r="CV16" s="65">
        <f t="shared" si="119"/>
        <v>42</v>
      </c>
      <c r="CW16" s="85">
        <f t="shared" ref="CW16" si="120">CW15+1</f>
        <v>14</v>
      </c>
      <c r="CX16" s="85">
        <f t="shared" si="92"/>
        <v>8</v>
      </c>
      <c r="CY16" s="85">
        <f t="shared" si="93"/>
        <v>1</v>
      </c>
      <c r="CZ16" s="85">
        <f t="shared" si="108"/>
        <v>16</v>
      </c>
      <c r="DA16" s="85">
        <f t="shared" si="55"/>
        <v>43</v>
      </c>
      <c r="DB16" s="85">
        <f t="shared" ref="DB16" si="121">DB15+1</f>
        <v>24</v>
      </c>
      <c r="DC16" s="85">
        <f ca="1">IF( OR( AP16 = "", FT16 &lt;&gt; "existe" ), "", LARGE( DC$2:DC15, 1 ) + 1 )</f>
        <v>14</v>
      </c>
      <c r="DD16" s="66">
        <f ca="1">IF( OR( AQ16 = "", FX16 &lt;&gt; "existe" ), "", LARGE( DD$2:DD15, 1 ) + 1 )</f>
        <v>41</v>
      </c>
      <c r="DE16" s="66" t="str">
        <f ca="1">IF( OR( BU16 = "", GB16 &lt;&gt; "existe" ), "", LARGE( DE$2:DE15, 1 ) + 1 )</f>
        <v/>
      </c>
      <c r="DF16" s="67" t="str">
        <f t="shared" si="95"/>
        <v>NUNCA</v>
      </c>
      <c r="DG16" s="67" t="str">
        <f t="shared" si="96"/>
        <v>MARACANA</v>
      </c>
      <c r="DH16" s="67">
        <f t="shared" si="12"/>
        <v>1</v>
      </c>
      <c r="DI16" s="67" t="str">
        <f t="shared" si="13"/>
        <v>PSG</v>
      </c>
      <c r="DJ16" s="67" t="str">
        <f t="shared" si="97"/>
        <v>SAO JOSE DE RIBAMAR</v>
      </c>
      <c r="DK16" s="67" t="str">
        <f t="shared" si="98"/>
        <v>AGUAS LINDAS</v>
      </c>
      <c r="DL16" s="67" t="str">
        <f t="shared" si="99"/>
        <v>RUA DA PROVIDENCIA</v>
      </c>
      <c r="DM16" s="67" t="str">
        <f t="shared" si="100"/>
        <v>67118002</v>
      </c>
      <c r="DN16" s="70" t="str">
        <f t="shared" si="16"/>
        <v>0089-7</v>
      </c>
      <c r="DO16" s="70" t="str">
        <f t="shared" si="17"/>
        <v>0</v>
      </c>
      <c r="DP16" s="70" t="str">
        <f t="shared" si="18"/>
        <v>0</v>
      </c>
      <c r="DQ16" s="64" t="str">
        <f t="shared" si="19"/>
        <v/>
      </c>
      <c r="DR16" s="64" t="str">
        <f t="shared" si="20"/>
        <v>6177580</v>
      </c>
      <c r="DS16" s="64" t="str">
        <f t="shared" si="21"/>
        <v>000</v>
      </c>
      <c r="DT16" s="64" t="str">
        <f t="shared" si="22"/>
        <v/>
      </c>
      <c r="DU16" s="64" t="str">
        <f t="shared" si="23"/>
        <v/>
      </c>
      <c r="DV16" s="60" t="str">
        <f t="shared" si="24"/>
        <v>0055</v>
      </c>
      <c r="DW16" s="67" t="str">
        <f t="shared" si="25"/>
        <v>ANANINDEUA</v>
      </c>
      <c r="DX16" s="60" t="str" cm="1">
        <f t="array" ref="DX16">TEXT( MIG_NORMA.NÚMERICO( J16 ), "00000000000" )</f>
        <v>01736083295</v>
      </c>
      <c r="DY16" s="60" t="str" cm="1">
        <f t="array" ref="DY16">TEXT( MIG_NORMA.NÚMERICO( K16 ), "0000000" )</f>
        <v/>
      </c>
      <c r="DZ16" s="64" t="str">
        <f t="shared" si="26"/>
        <v>02/02/2026</v>
      </c>
      <c r="EA16" s="64" t="str">
        <f t="shared" si="27"/>
        <v>02/06/2026</v>
      </c>
      <c r="EB16" s="64" t="str">
        <f t="shared" si="28"/>
        <v>05/02/1991</v>
      </c>
      <c r="EC16" s="64" t="str">
        <f t="shared" si="29"/>
        <v/>
      </c>
      <c r="ED16" s="64" t="str">
        <f t="shared" si="30"/>
        <v/>
      </c>
      <c r="EE16" s="64" t="str">
        <f t="shared" si="31"/>
        <v/>
      </c>
      <c r="EF16" s="64" t="str">
        <f t="shared" si="32"/>
        <v>28/04/2022</v>
      </c>
      <c r="EG16" s="64" t="str">
        <f t="shared" si="33"/>
        <v/>
      </c>
      <c r="EH16" s="64" t="str">
        <f t="shared" si="34"/>
        <v/>
      </c>
      <c r="EI16" s="68" t="str">
        <f t="shared" si="35"/>
        <v/>
      </c>
      <c r="EJ16" s="64" t="str">
        <f t="shared" si="36"/>
        <v>02/02/2027</v>
      </c>
      <c r="EK16" s="64" t="str">
        <f t="shared" si="37"/>
        <v/>
      </c>
      <c r="EL16" s="64" t="str">
        <f t="shared" si="38"/>
        <v/>
      </c>
      <c r="EM16" s="64" t="str">
        <f t="shared" si="39"/>
        <v>02/02/2026</v>
      </c>
      <c r="EN16" s="64" t="str">
        <f t="shared" si="57"/>
        <v>02/06/2026</v>
      </c>
      <c r="EO16" s="64" t="str">
        <f t="shared" si="40"/>
        <v/>
      </c>
      <c r="EP16" s="64" t="str">
        <f t="shared" si="41"/>
        <v/>
      </c>
      <c r="EQ16" s="63" t="str">
        <f t="shared" si="42"/>
        <v>INSERT INTO PARCNEGOCIO ( NRPARCNEGOCIO, NRORG, NMPRINCIPALPARC, NMSECUNDARIPARC, DTNASCIFUNDPARC, NRINSCRICAOPARC, IDATIVO, DTINCLUSAO, NRORGINCLUSAO, CDOPERINCLUSAO, CDTIPOPARCPRINCIPAL, CDTIPOINSCRICAO, IDPESSOAFISICA, IDINSTITUICAO, IDPARCFUNDIDO ) VALUES ( 217, 5862, 'SILVANA BARROS GONCALVES', 'SILVANA BARROS GONCALVES', '05/02/1991', '01736083295', 'S', SYSDATE, 5862, '000000099991', 'PESSOA', 'CPF', 'S', 'N', 'N' );</v>
      </c>
      <c r="ER16" s="63" t="str">
        <f t="shared" si="43"/>
        <v>INSERT INTO GPE_PESSOA ( NRPESSOA, NRORG, NRPARCNEGOCIO, DTINCLUSAO, NRORGINCLUSAO, CDOPERINCLUSAO ) VALUES ( 14, 5862, 217, SYSDATE, 5862, '000000099991' );</v>
      </c>
      <c r="ES16"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( 14, 14, 5862, '01/01/2000', 'SILVANA BARROS GONCALVES', 'S', '01736083295', '', '', '', '', '', '', '', '', '', '', '', '', (SELECT NRCATMILITARPE FROM GPE_CATMILITARPE WHERE NRCATMILITARPE = ''), '', SYSDATE, 5862, '000000099991', '5', '1058', 'PA', (SELECT MAX(CDMUNICIPIO) FROM MUNICIPIO WHERE NMMUNICIPIO = 'MARACANA'), '05/02/1991', 'F', '6177580', 'PC', 'PA', '28/04/2022', '1', '7' , '1');</v>
      </c>
      <c r="ET16"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(14, 14, 5862, '650000-2-E1080', '02/02/2026', '02/06/2026', SYSDATE, 5862, '000000099991', '1', '', '', '', '', '', '', 'SILVANA BARROS GONCALVES', '', '', '', '', '', '02/02/2027', '');</v>
      </c>
      <c r="EU16"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(40, 14, '', (SELECT MAX(NROCUPACAOM) FROM GPE_OCUPACAOH WHERE NRORG = 5862 AND CDINTEGRACAO = '0089-7'), (SELECT MAX(NROCUPACAOM) FROM GPE_OCUPACAOH WHERE NRORG = 5862 AND CDINTEGRACAO = '0089-7'), 5862, '01/01/2000', 'NUNCA', SYSDATE, 5862, '000000099991', '0', '0', '02/02/2026', 'SAL1', '', (SELECT MAX(NRESTRUTURAM) FROM ESTRUTURAM WHERE NRORG = 5862 AND CDINTESTRUTURA = 'est_MATSAUDE'), NVL((SELECT MAX(NRESTRUTURAM) FROM ESTRUTURAM WHERE NRORG = 5862 AND CDINTESTRUTURA = 'dep_650000'), 999992), NVL((SELECT MAX(NRESTRUTURAM) FROM ESTRUTURAM WHERE NRORG = 5862 AND CDINTESTRUTURA = ''), 999993), '1', 'UNICO', '', 2, '', 'N', (SELECT MAX(NRESCALATRABM) FROM GPE_ESCALATRABH WHERE NRORG = 5862 AND NRESCALATRABM = '000011') );</v>
      </c>
      <c r="EV16"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41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40;</v>
      </c>
      <c r="EW16"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42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40;</v>
      </c>
      <c r="EX16" s="63" t="str">
        <f t="shared" si="59"/>
        <v>INSERT INTO GPE_ALTESITUFUNC ( NRALTESITUFUNC, NRORG, NRSITUFUNCM, NRVINCULOM, DTINISITUFUNC, DTINCLUSAO, NRORGINCLUSAO, CDOPERINCLUSAO ) VALUES ( 14, 5862, (CASE WHEN '' IS NOT NULL THEN '' WHEN '02/06/2026' IS NULL THEN '1' ELSE '13' END), 14, '02/06/2026', SYSDATE, 5862, '000000099991' );</v>
      </c>
      <c r="EY16" s="63" t="str">
        <f t="shared" si="48"/>
        <v/>
      </c>
      <c r="EZ16" s="63" t="str">
        <f t="shared" si="60"/>
        <v/>
      </c>
      <c r="FA16" s="63" t="str">
        <f t="shared" si="61"/>
        <v>INSERT INTO COMUNICAPARC ( NRCOMUNICAPARC, NRPARCNEGOCIO, CDFORMACOMU, CDPREFIXCOMUPARC, CDCOMUNICAPARC, NRORG, IDATIVO, DTINCLUSAO, NRORGINCLUSAO, CDOPERINCLUSAO ) VALUES ( 16, 217, '02', '91', '984167164', 5862, 'S', SYSDATE, 5862, '000000099991' );</v>
      </c>
      <c r="FB16" s="63" t="str">
        <f t="shared" si="62"/>
        <v>INSERT INTO COMUNICAPARC ( NRCOMUNICAPARC, NRPARCNEGOCIO, CDFORMACOMU, CDCOMUNICAPARC, NRORG, IDATIVO, DTINCLUSAO, NRORGINCLUSAO, CDOPERINCLUSAO ) VALUES ( 43, 217, '05', 'silvanagoncalves11470@gmail.com', 5862, 'S', SYSDATE, 5862, '000000099991' );</v>
      </c>
      <c r="FC16" s="63" t="str">
        <f t="shared" si="63"/>
        <v>INSERT INTO ENDERECOPARC ( NRENDERECOPARC, NRPARCNEGOCIO, CDTIPOENDERECO, NRORG, IDATIVO, DTINCLUSAO, NRORGINCLUSAO, CDOPERINCLUSAO, CDPAIS, CDMUNICIPIO, CDLOGRADOURO, NMBAIRROENDERECO, DSCOMPLEENDERECO, NRCEPENDERECO, DSENDERECO, NRIMOVELENDERECO, SGESTADO ) VALUES ( 24, 217, 'PRINCIPAL', 5862, 'S', SYSDATE, 5862, '000000099991', '0055', ( SELECT MAX(CDMUNICIPIO) FROM MUNICIPIO WHERE NMMUNICIPIO = 'ANANINDEUA' AND SGESTADO = 'PA' ), 'PSG', 'AGUAS LINDAS', 'RUA DA PROVIDENCIA', '67118002', 'SAO JOSE DE RIBAMAR', '319', 'PA');</v>
      </c>
      <c r="FD16" s="63" t="str">
        <f t="shared" ca="1" si="49"/>
        <v>INSERT INTO GPE_MOVIMENTACAO ( NRMOVIMENTACAO, NRORG, NRVINCULOM, NRTIPOTRANSFER, NRTPMOVTRANSFM, NRESTRUTURAM, DTINIMOVIMENT, DSOBSERVACAO, DTINCLUSAO, NRORGINCLUSAO, CDOPERINCLUSAO, NRTIPOESTRUTURA ) VALUES ( 14, 5862, 14, 1, 1, (SELECT MAX(NRESTRUTURAM) FROM ESTRUTURAM WHERE NRORG = 5862 AND CDINTESTRUTURA = 'est_MATSAUDE' AND NRTIPOESTRUTURA = (SELECT NRTPESTRUTLEGAL FROM GPE_PARAMORG WHERE NRORG = 5862)), '02/02/2026', 'Movimentacao gerada via migracao ' || SYSDATE, SYSDATE, 5862, '000000099991', ( SELECT NRTPESTRUTLEGAL FROM GPE_PARAMORG WHERE NRORG = 5862 ) );</v>
      </c>
      <c r="FE16" s="63" t="str">
        <f t="shared" ca="1" si="50"/>
        <v>INSERT INTO GPE_MOVIMENTACAO ( NRMOVIMENTACAO, NRORG, NRVINCULOM, NRTIPOTRANSFER, NRTPMOVTRANSFM, NRESTRUTURAM, DTINIMOVIMENT, DSOBSERVACAO, DTINCLUSAO, NRORGINCLUSAO, CDOPERINCLUSAO, NRTIPOESTRUTURA ) VALUES ( 41, 5862, 14, 2, 1, (SELECT MAX(NRESTRUTURAM) FROM ESTRUTURAM WHERE NRORG = 5862 AND CDINTESTRUTURA = 'dep_650000' AND NRTIPOESTRUTURA = (SELECT NRTPESTRUTGEREN FROM GPE_PARAMORG WHERE NRORG = 5862)), '02/02/2026', 'Movimentacao gerada via migracao ' || SYSDATE, SYSDATE, 5862, '000000099991', ( SELECT NRTPESTRUTGEREN FROM GPE_PARAMORG WHERE NRORG = 5862 ) );</v>
      </c>
      <c r="FF16" s="63" t="str">
        <f t="shared" ca="1" si="51"/>
        <v/>
      </c>
      <c r="FG16" s="63" t="str">
        <f t="shared" si="52"/>
        <v>COMMIT;</v>
      </c>
      <c r="FI16" s="21" t="str">
        <f ca="1"/>
        <v>não</v>
      </c>
      <c r="FL16" s="21" t="str">
        <f ca="1"/>
        <v>existe</v>
      </c>
      <c r="FP16" s="21" t="str">
        <f ca="1"/>
        <v>existe</v>
      </c>
      <c r="FT16" s="21" t="str">
        <f ca="1"/>
        <v>existe</v>
      </c>
      <c r="FX16" s="21" t="str">
        <f ca="1"/>
        <v>existe</v>
      </c>
      <c r="GB16" s="21">
        <f ca="1"/>
        <v>0</v>
      </c>
      <c r="GD16" s="21" t="str">
        <f ca="1"/>
        <v xml:space="preserve">  - Vínculo (matrícula): 290000-2-E1067, estrutura legal </v>
      </c>
    </row>
    <row r="17" spans="1:186" x14ac:dyDescent="0.3">
      <c r="A17" s="16" t="s">
        <v>708</v>
      </c>
      <c r="B17"/>
      <c r="C17" s="16" t="s">
        <v>709</v>
      </c>
      <c r="E17" s="16" t="s">
        <v>539</v>
      </c>
      <c r="F17" s="16" t="s">
        <v>391</v>
      </c>
      <c r="G17" s="16" t="s">
        <v>323</v>
      </c>
      <c r="H17" s="16" t="s">
        <v>710</v>
      </c>
      <c r="I17" s="16" t="s">
        <v>224</v>
      </c>
      <c r="J17" s="16" t="s">
        <v>711</v>
      </c>
      <c r="K17" s="16" t="s">
        <v>712</v>
      </c>
      <c r="L17" s="16" t="s">
        <v>713</v>
      </c>
      <c r="M17" s="16" t="s">
        <v>396</v>
      </c>
      <c r="N17" s="16" t="s">
        <v>714</v>
      </c>
      <c r="O17" s="16" t="s">
        <v>715</v>
      </c>
      <c r="Q17" s="16" t="s">
        <v>716</v>
      </c>
      <c r="R17" s="16" t="s">
        <v>717</v>
      </c>
      <c r="S17" s="16" t="s">
        <v>396</v>
      </c>
      <c r="T17" s="16" t="s">
        <v>718</v>
      </c>
      <c r="U17" s="16" t="s">
        <v>719</v>
      </c>
      <c r="V17" s="16" t="s">
        <v>720</v>
      </c>
      <c r="W17" s="16" t="s">
        <v>402</v>
      </c>
      <c r="AA17" s="16" t="s">
        <v>721</v>
      </c>
      <c r="AC17" s="16" t="s">
        <v>273</v>
      </c>
      <c r="AD17" s="16" t="s">
        <v>403</v>
      </c>
      <c r="AE17" t="s">
        <v>396</v>
      </c>
      <c r="AF17" s="16" t="s">
        <v>404</v>
      </c>
      <c r="AG17" s="16" t="s">
        <v>722</v>
      </c>
      <c r="AH17" s="16" t="s">
        <v>225</v>
      </c>
      <c r="AI17" s="16" t="s">
        <v>303</v>
      </c>
      <c r="AJ17" s="16" t="s">
        <v>406</v>
      </c>
      <c r="AK17" s="16" t="s">
        <v>551</v>
      </c>
      <c r="AL17" s="16" t="s">
        <v>723</v>
      </c>
      <c r="AM17" s="16" t="s">
        <v>271</v>
      </c>
      <c r="AN17" s="16" t="s">
        <v>270</v>
      </c>
      <c r="AO17" s="16" t="s">
        <v>219</v>
      </c>
      <c r="AP17" s="98" t="s">
        <v>2567</v>
      </c>
      <c r="AQ17" s="16" t="s">
        <v>677</v>
      </c>
      <c r="AR17" s="16" t="s">
        <v>1747</v>
      </c>
      <c r="AS17" s="16" t="s">
        <v>396</v>
      </c>
      <c r="AT17" s="16" t="s">
        <v>404</v>
      </c>
      <c r="AU17" s="16" t="s">
        <v>411</v>
      </c>
      <c r="AV17" s="16" t="s">
        <v>724</v>
      </c>
      <c r="AW17" s="16" t="s">
        <v>725</v>
      </c>
      <c r="AX17" s="16" t="s">
        <v>726</v>
      </c>
      <c r="AZ17" s="16" t="s">
        <v>727</v>
      </c>
      <c r="BA17" s="16" t="s">
        <v>270</v>
      </c>
      <c r="BB17" t="s">
        <v>1746</v>
      </c>
      <c r="BC17" s="16" t="s">
        <v>708</v>
      </c>
      <c r="BF17" s="16" t="s">
        <v>728</v>
      </c>
      <c r="BG17" s="16" t="s">
        <v>304</v>
      </c>
      <c r="BM17" s="16" t="s">
        <v>729</v>
      </c>
      <c r="BN17" s="16" t="s">
        <v>270</v>
      </c>
      <c r="BO17" s="16" t="s">
        <v>270</v>
      </c>
      <c r="BP17" s="16" t="s">
        <v>708</v>
      </c>
      <c r="BQ17" s="16" t="s">
        <v>419</v>
      </c>
      <c r="BR17" s="16" t="s">
        <v>419</v>
      </c>
      <c r="BS17" s="16" t="s">
        <v>270</v>
      </c>
      <c r="BT17" s="16" t="s">
        <v>312</v>
      </c>
      <c r="BU17" s="16" t="s">
        <v>532</v>
      </c>
      <c r="BV17" s="16" t="s">
        <v>334</v>
      </c>
      <c r="BW17" s="16" t="s">
        <v>334</v>
      </c>
      <c r="BX17" s="16" t="s">
        <v>730</v>
      </c>
      <c r="CC17" s="16" t="s">
        <v>270</v>
      </c>
      <c r="CD17"/>
      <c r="CE17" s="16" t="s">
        <v>731</v>
      </c>
      <c r="CF17" s="16" t="s">
        <v>732</v>
      </c>
      <c r="CG17" s="16" t="s">
        <v>733</v>
      </c>
      <c r="CH17" s="16" t="s">
        <v>734</v>
      </c>
      <c r="CI17"/>
      <c r="CJ17" s="16" t="s">
        <v>428</v>
      </c>
      <c r="CK17" s="16" t="s">
        <v>735</v>
      </c>
      <c r="CM17" s="79"/>
      <c r="CN17" s="63"/>
      <c r="CO17" s="63"/>
      <c r="CP17" s="85">
        <f t="shared" ref="CP17:CS17" si="122">CP16+1</f>
        <v>218</v>
      </c>
      <c r="CQ17" s="85">
        <f t="shared" si="122"/>
        <v>15</v>
      </c>
      <c r="CR17" s="85">
        <f t="shared" si="122"/>
        <v>15</v>
      </c>
      <c r="CS17" s="85">
        <f t="shared" si="122"/>
        <v>15</v>
      </c>
      <c r="CT17" s="85">
        <f t="shared" ref="CT17:CV17" si="123">CT16+3</f>
        <v>43</v>
      </c>
      <c r="CU17" s="65">
        <f t="shared" si="123"/>
        <v>44</v>
      </c>
      <c r="CV17" s="65">
        <f t="shared" si="123"/>
        <v>45</v>
      </c>
      <c r="CW17" s="85">
        <f t="shared" ref="CW17" si="124">CW16+1</f>
        <v>15</v>
      </c>
      <c r="CX17" s="85">
        <f t="shared" si="92"/>
        <v>9</v>
      </c>
      <c r="CY17" s="85">
        <f t="shared" si="93"/>
        <v>1</v>
      </c>
      <c r="CZ17" s="85">
        <f t="shared" si="108"/>
        <v>17</v>
      </c>
      <c r="DA17" s="85">
        <f t="shared" si="55"/>
        <v>44</v>
      </c>
      <c r="DB17" s="85">
        <f t="shared" ref="DB17" si="125">DB16+1</f>
        <v>25</v>
      </c>
      <c r="DC17" s="85">
        <f ca="1">IF( OR( AP17 = "", FT17 &lt;&gt; "existe" ), "", LARGE( DC$2:DC16, 1 ) + 1 )</f>
        <v>15</v>
      </c>
      <c r="DD17" s="66">
        <f ca="1">IF( OR( AQ17 = "", FX17 &lt;&gt; "existe" ), "", LARGE( DD$2:DD16, 1 ) + 1 )</f>
        <v>42</v>
      </c>
      <c r="DE17" s="66">
        <f ca="1">IF( OR( BU17 = "", GB17 &lt;&gt; "existe" ), "", LARGE( DE$2:DE16, 1 ) + 1 )</f>
        <v>60</v>
      </c>
      <c r="DF17" s="67" t="str">
        <f t="shared" si="95"/>
        <v>NUNCA</v>
      </c>
      <c r="DG17" s="67" t="str">
        <f t="shared" si="96"/>
        <v>BELEM</v>
      </c>
      <c r="DH17" s="67">
        <f t="shared" si="12"/>
        <v>1</v>
      </c>
      <c r="DI17" s="67" t="str">
        <f t="shared" si="13"/>
        <v>R</v>
      </c>
      <c r="DJ17" s="67" t="str">
        <f t="shared" si="97"/>
        <v>SEIS, CJ PROVIDENCIA</v>
      </c>
      <c r="DK17" s="67" t="str">
        <f t="shared" si="98"/>
        <v>VAL DE CAES</v>
      </c>
      <c r="DL17" s="67" t="str">
        <f t="shared" si="99"/>
        <v/>
      </c>
      <c r="DM17" s="67" t="str">
        <f t="shared" si="100"/>
        <v>66110060</v>
      </c>
      <c r="DN17" s="70" t="str">
        <f t="shared" si="16"/>
        <v>0030-1</v>
      </c>
      <c r="DO17" s="70" t="str">
        <f t="shared" si="17"/>
        <v>0</v>
      </c>
      <c r="DP17" s="70" t="str">
        <f t="shared" si="18"/>
        <v>0</v>
      </c>
      <c r="DQ17" s="64" t="str">
        <f t="shared" si="19"/>
        <v/>
      </c>
      <c r="DR17" s="64" t="str">
        <f t="shared" si="20"/>
        <v>8534699</v>
      </c>
      <c r="DS17" s="64" t="str">
        <f t="shared" si="21"/>
        <v>237</v>
      </c>
      <c r="DT17" s="64" t="str">
        <f t="shared" si="22"/>
        <v>04871</v>
      </c>
      <c r="DU17" s="64" t="str">
        <f t="shared" si="23"/>
        <v>403563</v>
      </c>
      <c r="DV17" s="60" t="str">
        <f t="shared" si="24"/>
        <v>0055</v>
      </c>
      <c r="DW17" s="67" t="str">
        <f t="shared" si="25"/>
        <v>BELEM</v>
      </c>
      <c r="DX17" s="60" t="str" cm="1">
        <f t="array" ref="DX17">TEXT( MIG_NORMA.NÚMERICO( J17 ), "00000000000" )</f>
        <v>02602222240</v>
      </c>
      <c r="DY17" s="60" t="str" cm="1">
        <f t="array" ref="DY17">TEXT( MIG_NORMA.NÚMERICO( K17 ), "0000000" )</f>
        <v>0260222</v>
      </c>
      <c r="DZ17" s="64" t="str">
        <f t="shared" si="26"/>
        <v>26/01/2026</v>
      </c>
      <c r="EA17" s="64" t="str">
        <f t="shared" si="27"/>
        <v/>
      </c>
      <c r="EB17" s="64" t="str">
        <f t="shared" si="28"/>
        <v>08/05/2001</v>
      </c>
      <c r="EC17" s="64" t="str">
        <f t="shared" si="29"/>
        <v>15/01/2025</v>
      </c>
      <c r="ED17" s="64" t="str">
        <f t="shared" si="30"/>
        <v/>
      </c>
      <c r="EE17" s="64" t="str">
        <f t="shared" si="31"/>
        <v/>
      </c>
      <c r="EF17" s="64" t="str">
        <f t="shared" si="32"/>
        <v>14/03/2023</v>
      </c>
      <c r="EG17" s="64" t="str">
        <f t="shared" si="33"/>
        <v>26/01/2026</v>
      </c>
      <c r="EH17" s="64" t="str">
        <f t="shared" si="34"/>
        <v/>
      </c>
      <c r="EI17" s="68" t="str">
        <f t="shared" si="35"/>
        <v/>
      </c>
      <c r="EJ17" s="64" t="str">
        <f t="shared" si="36"/>
        <v>13/01/2027</v>
      </c>
      <c r="EK17" s="64" t="str">
        <f t="shared" si="37"/>
        <v/>
      </c>
      <c r="EL17" s="64" t="str">
        <f t="shared" si="38"/>
        <v/>
      </c>
      <c r="EM17" s="64" t="str">
        <f t="shared" si="39"/>
        <v>26/01/2026</v>
      </c>
      <c r="EN17" s="64" t="str">
        <f t="shared" si="57"/>
        <v>26/01/2026</v>
      </c>
      <c r="EO17" s="64" t="str">
        <f t="shared" si="40"/>
        <v>11/03/2026</v>
      </c>
      <c r="EP17" s="64" t="str">
        <f t="shared" si="41"/>
        <v>320002913227</v>
      </c>
      <c r="EQ17" s="63" t="str">
        <f t="shared" si="42"/>
        <v>INSERT INTO PARCNEGOCIO ( NRPARCNEGOCIO, NRORG, NMPRINCIPALPARC, NMSECUNDARIPARC, DTNASCIFUNDPARC, NRINSCRICAOPARC, IDATIVO, DTINCLUSAO, NRORGINCLUSAO, CDOPERINCLUSAO, CDTIPOPARCPRINCIPAL, CDTIPOINSCRICAO, IDPESSOAFISICA, IDINSTITUICAO, IDPARCFUNDIDO ) VALUES ( 218, 5862, 'TALISON LUIZ SABOIA PEREIRA', 'TALISON LUIZ SABOIA PEREIRA', '08/05/2001', '02602222240', 'S', SYSDATE, 5862, '000000099991', 'PESSOA', 'CPF', 'S', 'N', 'N' );</v>
      </c>
      <c r="ER17" s="63" t="str">
        <f t="shared" si="43"/>
        <v>INSERT INTO GPE_PESSOA ( NRPESSOA, NRORG, NRPARCNEGOCIO, DTINCLUSAO, NRORGINCLUSAO, CDOPERINCLUSAO ) VALUES ( 15, 5862, 218, SYSDATE, 5862, '000000099991' );</v>
      </c>
      <c r="ES17"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( 15, 15, 5862, '01/01/2000', 'TALISON LUIZ SABOIA PEREIRA', 'S', '02602222240', '0260222', '2240', 'PA', '15/01/2025', '20201771998', '', '078407151309', '655', '28', '', '', '', (SELECT NRCATMILITARPE FROM GPE_CATMILITARPE WHERE NRCATMILITARPE = ''), '320002913227', SYSDATE, 5862, '000000099991', '5', '1058', 'PA', (SELECT MAX(CDMUNICIPIO) FROM MUNICIPIO WHERE NMMUNICIPIO = 'BELEM'), '08/05/2001', 'M', '8534699', 'PC/PA', 'PA', '14/03/2023', '1', '7' , '1');</v>
      </c>
      <c r="ET17"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(15, 15, 5862, '440000-0-01638', '26/01/2026', '', SYSDATE, 5862, '000000099991', '1', '1', '1', '', '26/01/2026', '', '', 'TALISON LUIZ SABOIA PEREIRA', '', '', '', '45', '45', '13/01/2027', '');</v>
      </c>
      <c r="EU17"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(43, 15, '', (SELECT MAX(NROCUPACAOM) FROM GPE_OCUPACAOH WHERE NRORG = 5862 AND CDINTEGRACAO = '0030-1'), (SELECT MAX(NROCUPACAOM) FROM GPE_OCUPACAOH WHERE NRORG = 5862 AND CDINTEGRACAO = '0030-1'), 5862, '01/01/2000', 'NUNCA', SYSDATE, 5862, '000000099991', '0', '0', '26/01/2026', 'SAL1', 'MENSAL', (SELECT MAX(NRESTRUTURAM) FROM ESTRUTURAM WHERE NRORG = 5862 AND CDINTESTRUTURA = 'est_MATSAUDE'), NVL((SELECT MAX(NRESTRUTURAM) FROM ESTRUTURAM WHERE NRORG = 5862 AND CDINTESTRUTURA = 'dep_440000'), 999992), NVL((SELECT MAX(NRESTRUTURAM) FROM ESTRUTURAM WHERE NRORG = 5862 AND CDINTESTRUTURA = 'sin_01'), 999993), '1', 'UNICO', '', 2, '11/03/2026', 'N', (SELECT MAX(NRESCALATRABM) FROM GPE_ESCALATRABH WHERE NRORG = 5862 AND NRESCALATRABM = '000003') );</v>
      </c>
      <c r="EV17"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44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43;</v>
      </c>
      <c r="EW17"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45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43;</v>
      </c>
      <c r="EX17" s="63" t="str">
        <f t="shared" si="59"/>
        <v>INSERT INTO GPE_ALTESITUFUNC ( NRALTESITUFUNC, NRORG, NRSITUFUNCM, NRVINCULOM, DTINISITUFUNC, DTINCLUSAO, NRORGINCLUSAO, CDOPERINCLUSAO ) VALUES ( 15, 5862, (CASE WHEN '' IS NOT NULL THEN '' WHEN '' IS NULL THEN '1' ELSE '13' END), 15, '26/01/2026', SYSDATE, 5862, '000000099991' );</v>
      </c>
      <c r="EY17" s="63" t="str">
        <f t="shared" si="48"/>
        <v>INSERT INTO CONTCORRPARC ( NRCONTCORRPARC, NRORG, NRPARCNEGOCIO, CDBANCO, CDAGENCIA, CDCONTCORR, NRTPCONTCORR, DTINCLUSAO, NRORGINCLUSAO, CDOPERINCLUSAO, IDATIVO ) VALUES ( 9, 5862, 218, '237', '04871', '403563', '2', SYSDATE, 5862, '000000099991', 'S' );</v>
      </c>
      <c r="EZ17" s="63" t="str">
        <f t="shared" si="60"/>
        <v/>
      </c>
      <c r="FA17" s="63" t="str">
        <f t="shared" si="61"/>
        <v>INSERT INTO COMUNICAPARC ( NRCOMUNICAPARC, NRPARCNEGOCIO, CDFORMACOMU, CDPREFIXCOMUPARC, CDCOMUNICAPARC, NRORG, IDATIVO, DTINCLUSAO, NRORGINCLUSAO, CDOPERINCLUSAO ) VALUES ( 17, 218, '02', '91', '981128376', 5862, 'S', SYSDATE, 5862, '000000099991' );</v>
      </c>
      <c r="FB17" s="63" t="str">
        <f t="shared" si="62"/>
        <v>INSERT INTO COMUNICAPARC ( NRCOMUNICAPARC, NRPARCNEGOCIO, CDFORMACOMU, CDCOMUNICAPARC, NRORG, IDATIVO, DTINCLUSAO, NRORGINCLUSAO, CDOPERINCLUSAO ) VALUES ( 44, 218, '05', 'talisonluiz682@gmail.com', 5862, 'S', SYSDATE, 5862, '000000099991' );</v>
      </c>
      <c r="FC17" s="63" t="str">
        <f t="shared" si="63"/>
        <v>INSERT INTO ENDERECOPARC ( NRENDERECOPARC, NRPARCNEGOCIO, CDTIPOENDERECO, NRORG, IDATIVO, DTINCLUSAO, NRORGINCLUSAO, CDOPERINCLUSAO, CDPAIS, CDMUNICIPIO, CDLOGRADOURO, NMBAIRROENDERECO, DSCOMPLEENDERECO, NRCEPENDERECO, DSENDERECO, NRIMOVELENDERECO, SGESTADO ) VALUES ( 25, 218, 'PRINCIPAL', 5862, 'S', SYSDATE, 5862, '000000099991', '0055', ( SELECT MAX(CDMUNICIPIO) FROM MUNICIPIO WHERE NMMUNICIPIO = 'BELEM' AND SGESTADO = 'PA' ), 'R', 'VAL DE CAES', '', '66110060', 'SEIS, CJ PROVIDENCIA', '221', 'PA');</v>
      </c>
      <c r="FD17" s="63" t="str">
        <f t="shared" ca="1" si="49"/>
        <v>INSERT INTO GPE_MOVIMENTACAO ( NRMOVIMENTACAO, NRORG, NRVINCULOM, NRTIPOTRANSFER, NRTPMOVTRANSFM, NRESTRUTURAM, DTINIMOVIMENT, DSOBSERVACAO, DTINCLUSAO, NRORGINCLUSAO, CDOPERINCLUSAO, NRTIPOESTRUTURA ) VALUES ( 15, 5862, 15, 1, 1, (SELECT MAX(NRESTRUTURAM) FROM ESTRUTURAM WHERE NRORG = 5862 AND CDINTESTRUTURA = 'est_MATSAUDE' AND NRTIPOESTRUTURA = (SELECT NRTPESTRUTLEGAL FROM GPE_PARAMORG WHERE NRORG = 5862)), '26/01/2026', 'Movimentacao gerada via migracao ' || SYSDATE, SYSDATE, 5862, '000000099991', ( SELECT NRTPESTRUTLEGAL FROM GPE_PARAMORG WHERE NRORG = 5862 ) );</v>
      </c>
      <c r="FE17" s="63" t="str">
        <f t="shared" ca="1" si="50"/>
        <v>INSERT INTO GPE_MOVIMENTACAO ( NRMOVIMENTACAO, NRORG, NRVINCULOM, NRTIPOTRANSFER, NRTPMOVTRANSFM, NRESTRUTURAM, DTINIMOVIMENT, DSOBSERVACAO, DTINCLUSAO, NRORGINCLUSAO, CDOPERINCLUSAO, NRTIPOESTRUTURA ) VALUES ( 42, 5862, 15, 2, 1, (SELECT MAX(NRESTRUTURAM) FROM ESTRUTURAM WHERE NRORG = 5862 AND CDINTESTRUTURA = 'dep_440000' AND NRTIPOESTRUTURA = (SELECT NRTPESTRUTGEREN FROM GPE_PARAMORG WHERE NRORG = 5862)), '26/01/2026', 'Movimentacao gerada via migracao ' || SYSDATE, SYSDATE, 5862, '000000099991', ( SELECT NRTPESTRUTGEREN FROM GPE_PARAMORG WHERE NRORG = 5862 ) );</v>
      </c>
      <c r="FF17" s="63" t="str">
        <f t="shared" ca="1" si="51"/>
        <v>INSERT INTO GPE_MOVIMENTACAO ( NRMOVIMENTACAO, NRORG, NRVINCULOM, NRTIPOTRANSFER, NRTPMOVTRANSFM, NRESTRUTURAM, DTINIMOVIMENT, DSOBSERVACAO, DTINCLUSAO, NRORGINCLUSAO, CDOPERINCLUSAO, NRTIPOESTRUTURA ) VALUES ( 60, 5862, 15, 1, 1, (SELECT MAX(NRESTRUTURAM) FROM ESTRUTURAM WHERE NRORG = 5862 AND CDINTESTRUTURA = 'sin_01' AND NRTIPOESTRUTURA = 10), '26/01/2026', 'Movimentacao gerada via migracao ' || SYSDATE, SYSDATE, 5862, '000000099991', 10 );</v>
      </c>
      <c r="FG17" s="63" t="str">
        <f t="shared" si="52"/>
        <v>COMMIT;</v>
      </c>
      <c r="FI17" s="21" t="str">
        <f ca="1"/>
        <v>não</v>
      </c>
      <c r="FL17" s="21" t="str">
        <f ca="1"/>
        <v>existe</v>
      </c>
      <c r="FP17" s="21" t="str">
        <f ca="1"/>
        <v>existe</v>
      </c>
      <c r="FT17" s="21" t="str">
        <f ca="1"/>
        <v>existe</v>
      </c>
      <c r="FX17" s="21" t="str">
        <f ca="1"/>
        <v>existe</v>
      </c>
      <c r="GB17" s="21" t="str">
        <f ca="1"/>
        <v>existe</v>
      </c>
      <c r="GD17" s="21" t="str">
        <f ca="1"/>
        <v xml:space="preserve">  - Vínculo (matrícula): 290000-2-E1073, estrutura legal </v>
      </c>
    </row>
    <row r="18" spans="1:186" x14ac:dyDescent="0.3">
      <c r="A18" s="16" t="s">
        <v>736</v>
      </c>
      <c r="B18"/>
      <c r="C18" s="16" t="s">
        <v>737</v>
      </c>
      <c r="E18" s="16" t="s">
        <v>432</v>
      </c>
      <c r="F18" s="16" t="s">
        <v>391</v>
      </c>
      <c r="G18" s="16" t="s">
        <v>323</v>
      </c>
      <c r="H18" s="16" t="s">
        <v>738</v>
      </c>
      <c r="I18" s="16" t="s">
        <v>224</v>
      </c>
      <c r="J18" s="16" t="s">
        <v>739</v>
      </c>
      <c r="K18" s="16" t="s">
        <v>740</v>
      </c>
      <c r="L18" s="16" t="s">
        <v>741</v>
      </c>
      <c r="M18" s="16" t="s">
        <v>396</v>
      </c>
      <c r="O18" s="16" t="s">
        <v>742</v>
      </c>
      <c r="Q18" s="16" t="s">
        <v>743</v>
      </c>
      <c r="R18" s="16" t="s">
        <v>744</v>
      </c>
      <c r="S18" s="16" t="s">
        <v>396</v>
      </c>
      <c r="T18" s="16" t="s">
        <v>745</v>
      </c>
      <c r="U18" s="16" t="s">
        <v>746</v>
      </c>
      <c r="V18" s="16" t="s">
        <v>747</v>
      </c>
      <c r="W18" s="16" t="s">
        <v>491</v>
      </c>
      <c r="X18" s="16" t="s">
        <v>748</v>
      </c>
      <c r="Y18" s="16" t="s">
        <v>749</v>
      </c>
      <c r="Z18" s="16" t="s">
        <v>270</v>
      </c>
      <c r="AC18" s="16" t="s">
        <v>273</v>
      </c>
      <c r="AD18" s="16" t="s">
        <v>403</v>
      </c>
      <c r="AE18" t="s">
        <v>396</v>
      </c>
      <c r="AF18" s="16" t="s">
        <v>404</v>
      </c>
      <c r="AG18" s="16" t="s">
        <v>750</v>
      </c>
      <c r="AH18" s="16" t="s">
        <v>218</v>
      </c>
      <c r="AI18" s="16" t="s">
        <v>303</v>
      </c>
      <c r="AJ18" s="16" t="s">
        <v>406</v>
      </c>
      <c r="AK18" s="16" t="s">
        <v>551</v>
      </c>
      <c r="AL18" s="16" t="s">
        <v>751</v>
      </c>
      <c r="AM18" s="16" t="s">
        <v>271</v>
      </c>
      <c r="AN18" s="16" t="s">
        <v>270</v>
      </c>
      <c r="AO18" s="16" t="s">
        <v>219</v>
      </c>
      <c r="AP18" s="98" t="s">
        <v>2567</v>
      </c>
      <c r="AQ18" s="16" t="s">
        <v>699</v>
      </c>
      <c r="AR18" s="16" t="s">
        <v>1747</v>
      </c>
      <c r="AS18" s="16" t="s">
        <v>396</v>
      </c>
      <c r="AT18" s="16" t="s">
        <v>404</v>
      </c>
      <c r="AU18" s="16" t="s">
        <v>469</v>
      </c>
      <c r="AV18" s="16" t="s">
        <v>752</v>
      </c>
      <c r="AW18" s="16" t="s">
        <v>753</v>
      </c>
      <c r="AX18" s="16" t="s">
        <v>655</v>
      </c>
      <c r="AZ18" s="16" t="s">
        <v>754</v>
      </c>
      <c r="BA18" s="16" t="s">
        <v>270</v>
      </c>
      <c r="BB18" t="s">
        <v>1746</v>
      </c>
      <c r="BC18" s="16" t="s">
        <v>736</v>
      </c>
      <c r="BF18" s="16" t="s">
        <v>755</v>
      </c>
      <c r="BG18" s="16" t="s">
        <v>304</v>
      </c>
      <c r="BM18" s="16" t="s">
        <v>756</v>
      </c>
      <c r="BN18" s="16" t="s">
        <v>270</v>
      </c>
      <c r="BO18" s="16" t="s">
        <v>270</v>
      </c>
      <c r="BP18" s="16" t="s">
        <v>736</v>
      </c>
      <c r="BQ18" s="16" t="s">
        <v>270</v>
      </c>
      <c r="BR18" s="16" t="s">
        <v>419</v>
      </c>
      <c r="BS18" s="16" t="s">
        <v>270</v>
      </c>
      <c r="BT18" s="16" t="s">
        <v>314</v>
      </c>
      <c r="BU18" s="16" t="s">
        <v>532</v>
      </c>
      <c r="BV18" s="16" t="s">
        <v>334</v>
      </c>
      <c r="BW18" s="16" t="s">
        <v>334</v>
      </c>
      <c r="BX18" s="16" t="s">
        <v>757</v>
      </c>
      <c r="CC18" s="16" t="s">
        <v>270</v>
      </c>
      <c r="CD18" s="16" t="s">
        <v>758</v>
      </c>
      <c r="CE18" s="16" t="s">
        <v>759</v>
      </c>
      <c r="CF18" s="16" t="s">
        <v>760</v>
      </c>
      <c r="CG18" s="16" t="s">
        <v>761</v>
      </c>
      <c r="CH18" s="16" t="s">
        <v>762</v>
      </c>
      <c r="CI18" s="16" t="s">
        <v>428</v>
      </c>
      <c r="CJ18" s="16" t="s">
        <v>428</v>
      </c>
      <c r="CK18" s="16" t="s">
        <v>758</v>
      </c>
      <c r="CM18" s="79"/>
      <c r="CN18" s="63"/>
      <c r="CO18" s="63"/>
      <c r="CP18" s="85">
        <f t="shared" ref="CP18:CS18" si="126">CP17+1</f>
        <v>219</v>
      </c>
      <c r="CQ18" s="85">
        <f t="shared" si="126"/>
        <v>16</v>
      </c>
      <c r="CR18" s="85">
        <f t="shared" si="126"/>
        <v>16</v>
      </c>
      <c r="CS18" s="85">
        <f t="shared" si="126"/>
        <v>16</v>
      </c>
      <c r="CT18" s="85">
        <f t="shared" ref="CT18:CV18" si="127">CT17+3</f>
        <v>46</v>
      </c>
      <c r="CU18" s="65">
        <f t="shared" si="127"/>
        <v>47</v>
      </c>
      <c r="CV18" s="65">
        <f t="shared" si="127"/>
        <v>48</v>
      </c>
      <c r="CW18" s="85">
        <f t="shared" ref="CW18" si="128">CW17+1</f>
        <v>16</v>
      </c>
      <c r="CX18" s="85">
        <f t="shared" si="92"/>
        <v>10</v>
      </c>
      <c r="CY18" s="85">
        <f t="shared" si="93"/>
        <v>2</v>
      </c>
      <c r="CZ18" s="85">
        <f t="shared" si="108"/>
        <v>18</v>
      </c>
      <c r="DA18" s="85">
        <f t="shared" si="55"/>
        <v>45</v>
      </c>
      <c r="DB18" s="85">
        <f t="shared" ref="DB18" si="129">DB17+1</f>
        <v>26</v>
      </c>
      <c r="DC18" s="85">
        <f ca="1">IF( OR( AP18 = "", FT18 &lt;&gt; "existe" ), "", LARGE( DC$2:DC17, 1 ) + 1 )</f>
        <v>16</v>
      </c>
      <c r="DD18" s="66">
        <f ca="1">IF( OR( AQ18 = "", FX18 &lt;&gt; "existe" ), "", LARGE( DD$2:DD17, 1 ) + 1 )</f>
        <v>43</v>
      </c>
      <c r="DE18" s="66">
        <f ca="1">IF( OR( BU18 = "", GB18 &lt;&gt; "existe" ), "", LARGE( DE$2:DE17, 1 ) + 1 )</f>
        <v>61</v>
      </c>
      <c r="DF18" s="67" t="str">
        <f t="shared" si="95"/>
        <v>NUNCA</v>
      </c>
      <c r="DG18" s="67" t="str">
        <f t="shared" si="96"/>
        <v>BELEM</v>
      </c>
      <c r="DH18" s="67">
        <f t="shared" si="12"/>
        <v>1</v>
      </c>
      <c r="DI18" s="67" t="str">
        <f t="shared" si="13"/>
        <v>TV</v>
      </c>
      <c r="DJ18" s="67" t="str">
        <f t="shared" si="97"/>
        <v>TIMBO</v>
      </c>
      <c r="DK18" s="67" t="str">
        <f t="shared" si="98"/>
        <v>PEDREIRA</v>
      </c>
      <c r="DL18" s="67" t="str">
        <f t="shared" si="99"/>
        <v/>
      </c>
      <c r="DM18" s="67" t="str">
        <f t="shared" si="100"/>
        <v>66083047</v>
      </c>
      <c r="DN18" s="70" t="str">
        <f t="shared" si="16"/>
        <v>0144-1</v>
      </c>
      <c r="DO18" s="70" t="str">
        <f t="shared" si="17"/>
        <v>1</v>
      </c>
      <c r="DP18" s="70" t="str">
        <f t="shared" si="18"/>
        <v>0</v>
      </c>
      <c r="DQ18" s="64" t="str">
        <f t="shared" si="19"/>
        <v/>
      </c>
      <c r="DR18" s="64" t="str">
        <f t="shared" si="20"/>
        <v>4672409</v>
      </c>
      <c r="DS18" s="64" t="str">
        <f t="shared" si="21"/>
        <v>237</v>
      </c>
      <c r="DT18" s="64" t="str">
        <f t="shared" si="22"/>
        <v>04871</v>
      </c>
      <c r="DU18" s="64" t="str">
        <f t="shared" si="23"/>
        <v>402710</v>
      </c>
      <c r="DV18" s="60" t="str">
        <f t="shared" si="24"/>
        <v>0055</v>
      </c>
      <c r="DW18" s="67" t="str">
        <f t="shared" si="25"/>
        <v>BELEM</v>
      </c>
      <c r="DX18" s="60" t="str" cm="1">
        <f t="array" ref="DX18">TEXT( MIG_NORMA.NÚMERICO( J18 ), "00000000000" )</f>
        <v>85564753291</v>
      </c>
      <c r="DY18" s="60" t="str" cm="1">
        <f t="array" ref="DY18">TEXT( MIG_NORMA.NÚMERICO( K18 ), "0000000" )</f>
        <v>0026133</v>
      </c>
      <c r="DZ18" s="64" t="str">
        <f t="shared" si="26"/>
        <v>12/01/2026</v>
      </c>
      <c r="EA18" s="64" t="str">
        <f t="shared" si="27"/>
        <v/>
      </c>
      <c r="EB18" s="64" t="str">
        <f t="shared" si="28"/>
        <v>18/06/1984</v>
      </c>
      <c r="EC18" s="64" t="str">
        <f t="shared" si="29"/>
        <v/>
      </c>
      <c r="ED18" s="64" t="str">
        <f t="shared" si="30"/>
        <v/>
      </c>
      <c r="EE18" s="64" t="str">
        <f t="shared" si="31"/>
        <v>24/01/2033</v>
      </c>
      <c r="EF18" s="64" t="str">
        <f t="shared" si="32"/>
        <v>28/02/2012</v>
      </c>
      <c r="EG18" s="64" t="str">
        <f t="shared" si="33"/>
        <v>12/01/2026</v>
      </c>
      <c r="EH18" s="64" t="str">
        <f t="shared" si="34"/>
        <v/>
      </c>
      <c r="EI18" s="68" t="str">
        <f t="shared" si="35"/>
        <v/>
      </c>
      <c r="EJ18" s="64" t="str">
        <f t="shared" si="36"/>
        <v>08/01/2027</v>
      </c>
      <c r="EK18" s="64" t="str">
        <f t="shared" si="37"/>
        <v/>
      </c>
      <c r="EL18" s="64" t="str">
        <f t="shared" si="38"/>
        <v/>
      </c>
      <c r="EM18" s="64" t="str">
        <f t="shared" si="39"/>
        <v>12/01/2026</v>
      </c>
      <c r="EN18" s="64" t="str">
        <f t="shared" si="57"/>
        <v>12/01/2026</v>
      </c>
      <c r="EO18" s="64" t="str">
        <f t="shared" si="40"/>
        <v>25/02/2026</v>
      </c>
      <c r="EP18" s="64" t="str">
        <f t="shared" si="41"/>
        <v/>
      </c>
      <c r="EQ18" s="63" t="str">
        <f t="shared" si="42"/>
        <v>INSERT INTO PARCNEGOCIO ( NRPARCNEGOCIO, NRORG, NMPRINCIPALPARC, NMSECUNDARIPARC, DTNASCIFUNDPARC, NRINSCRICAOPARC, IDATIVO, DTINCLUSAO, NRORGINCLUSAO, CDOPERINCLUSAO, CDTIPOPARCPRINCIPAL, CDTIPOINSCRICAO, IDPESSOAFISICA, IDINSTITUICAO, IDPARCFUNDIDO ) VALUES ( 219, 5862, 'TALITA LIMA FERNANDES', 'TALITA LIMA FERNANDES', '18/06/1984', '85564753291', 'S', SYSDATE, 5862, '000000099991', 'PESSOA', 'CPF', 'S', 'N', 'N' );</v>
      </c>
      <c r="ER18" s="63" t="str">
        <f t="shared" si="43"/>
        <v>INSERT INTO GPE_PESSOA ( NRPESSOA, NRORG, NRPARCNEGOCIO, DTINCLUSAO, NRORGINCLUSAO, CDOPERINCLUSAO ) VALUES ( 16, 5862, 219, SYSDATE, 5862, '000000099991' );</v>
      </c>
      <c r="ES18"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( 16, 16, 5862, '01/01/2000', 'TALITA LIMA FERNANDES', 'S', '85564753291', '0026133', '00048', 'PA', '', '13683910428', '', '050117861368', '115', '95', '2541588336', '24/01/2033', '1', (SELECT NRCATMILITARPE FROM GPE_CATMILITARPE WHERE NRCATMILITARPE = ''), '', SYSDATE, 5862, '000000099991', '5', '1058', 'PA', (SELECT MAX(CDMUNICIPIO) FROM MUNICIPIO WHERE NMMUNICIPIO = 'BELEM'), '18/06/1984', 'F', '4672409', 'SEGUP', 'PA', '28/02/2012', '1', '9' , '1');</v>
      </c>
      <c r="ET18"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(16, 16, 5862, '650000-0-01637', '12/01/2026', '', SYSDATE, 5862, '000000099991', '1', '1', '1', '', '12/01/2026', '', '', 'TALITA LIMA FERNANDES', '', '', '', '45', '45', '08/01/2027', '');</v>
      </c>
      <c r="EU18"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(46, 16, '', (SELECT MAX(NROCUPACAOM) FROM GPE_OCUPACAOH WHERE NRORG = 5862 AND CDINTEGRACAO = '0144-1'), (SELECT MAX(NROCUPACAOM) FROM GPE_OCUPACAOH WHERE NRORG = 5862 AND CDINTEGRACAO = '0144-1'), 5862, '01/01/2000', 'NUNCA', SYSDATE, 5862, '000000099991', '1', '0', '12/01/2026', 'SAL1', 'MENSAL', (SELECT MAX(NRESTRUTURAM) FROM ESTRUTURAM WHERE NRORG = 5862 AND CDINTESTRUTURA = 'est_MATSAUDE'), NVL((SELECT MAX(NRESTRUTURAM) FROM ESTRUTURAM WHERE NRORG = 5862 AND CDINTESTRUTURA = 'dep_650000'), 999992), NVL((SELECT MAX(NRESTRUTURAM) FROM ESTRUTURAM WHERE NRORG = 5862 AND CDINTESTRUTURA = 'sin_01'), 999993), '1', 'UNICO', '', 2, '25/02/2026', 'N', (SELECT MAX(NRESCALATRABM) FROM GPE_ESCALATRABH WHERE NRORG = 5862 AND NRESCALATRABM = '000007') );</v>
      </c>
      <c r="EV18"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47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46;</v>
      </c>
      <c r="EW18"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48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46;</v>
      </c>
      <c r="EX18" s="63" t="str">
        <f t="shared" si="59"/>
        <v>INSERT INTO GPE_ALTESITUFUNC ( NRALTESITUFUNC, NRORG, NRSITUFUNCM, NRVINCULOM, DTINISITUFUNC, DTINCLUSAO, NRORGINCLUSAO, CDOPERINCLUSAO ) VALUES ( 16, 5862, (CASE WHEN '' IS NOT NULL THEN '' WHEN '' IS NULL THEN '1' ELSE '13' END), 16, '12/01/2026', SYSDATE, 5862, '000000099991' );</v>
      </c>
      <c r="EY18" s="63" t="str">
        <f t="shared" si="48"/>
        <v>INSERT INTO CONTCORRPARC ( NRCONTCORRPARC, NRORG, NRPARCNEGOCIO, CDBANCO, CDAGENCIA, CDCONTCORR, NRTPCONTCORR, DTINCLUSAO, NRORGINCLUSAO, CDOPERINCLUSAO, IDATIVO ) VALUES ( 10, 5862, 219, '237', '04871', '402710', '2', SYSDATE, 5862, '000000099991', 'S' );</v>
      </c>
      <c r="EZ18" s="63" t="str">
        <f t="shared" si="60"/>
        <v>INSERT INTO COMUNICAPARC ( NRCOMUNICAPARC, NRPARCNEGOCIO, CDFORMACOMU, CDPREFIXCOMUPARC, CDCOMUNICAPARC, NRORG, IDATIVO, DTINCLUSAO, NRORGINCLUSAO, CDOPERINCLUSAO ) VALUES ( 2, 219, '01', '91', '987457006', 5862, 'S', SYSDATE, 5862, '000000099991' );</v>
      </c>
      <c r="FA18" s="63" t="str">
        <f t="shared" si="61"/>
        <v>INSERT INTO COMUNICAPARC ( NRCOMUNICAPARC, NRPARCNEGOCIO, CDFORMACOMU, CDPREFIXCOMUPARC, CDCOMUNICAPARC, NRORG, IDATIVO, DTINCLUSAO, NRORGINCLUSAO, CDOPERINCLUSAO ) VALUES ( 18, 219, '02', '91', '987457006', 5862, 'S', SYSDATE, 5862, '000000099991' );</v>
      </c>
      <c r="FB18" s="63" t="str">
        <f t="shared" si="62"/>
        <v>INSERT INTO COMUNICAPARC ( NRCOMUNICAPARC, NRPARCNEGOCIO, CDFORMACOMU, CDCOMUNICAPARC, NRORG, IDATIVO, DTINCLUSAO, NRORGINCLUSAO, CDOPERINCLUSAO ) VALUES ( 45, 219, '05', 'talitalm93@gmail.com', 5862, 'S', SYSDATE, 5862, '000000099991' );</v>
      </c>
      <c r="FC18" s="63" t="str">
        <f t="shared" si="63"/>
        <v>INSERT INTO ENDERECOPARC ( NRENDERECOPARC, NRPARCNEGOCIO, CDTIPOENDERECO, NRORG, IDATIVO, DTINCLUSAO, NRORGINCLUSAO, CDOPERINCLUSAO, CDPAIS, CDMUNICIPIO, CDLOGRADOURO, NMBAIRROENDERECO, DSCOMPLEENDERECO, NRCEPENDERECO, DSENDERECO, NRIMOVELENDERECO, SGESTADO ) VALUES ( 26, 219, 'PRINCIPAL', 5862, 'S', SYSDATE, 5862, '000000099991', '0055', ( SELECT MAX(CDMUNICIPIO) FROM MUNICIPIO WHERE NMMUNICIPIO = 'BELEM' AND SGESTADO = 'PA' ), 'TV', 'PEDREIRA', '', '66083047', 'TIMBO', '599', 'PA');</v>
      </c>
      <c r="FD18" s="63" t="str">
        <f t="shared" ca="1" si="49"/>
        <v>INSERT INTO GPE_MOVIMENTACAO ( NRMOVIMENTACAO, NRORG, NRVINCULOM, NRTIPOTRANSFER, NRTPMOVTRANSFM, NRESTRUTURAM, DTINIMOVIMENT, DSOBSERVACAO, DTINCLUSAO, NRORGINCLUSAO, CDOPERINCLUSAO, NRTIPOESTRUTURA ) VALUES ( 16, 5862, 16, 1, 1, (SELECT MAX(NRESTRUTURAM) FROM ESTRUTURAM WHERE NRORG = 5862 AND CDINTESTRUTURA = 'est_MATSAUDE' AND NRTIPOESTRUTURA = (SELECT NRTPESTRUTLEGAL FROM GPE_PARAMORG WHERE NRORG = 5862)), '12/01/2026', 'Movimentacao gerada via migracao ' || SYSDATE, SYSDATE, 5862, '000000099991', ( SELECT NRTPESTRUTLEGAL FROM GPE_PARAMORG WHERE NRORG = 5862 ) );</v>
      </c>
      <c r="FE18" s="63" t="str">
        <f t="shared" ca="1" si="50"/>
        <v>INSERT INTO GPE_MOVIMENTACAO ( NRMOVIMENTACAO, NRORG, NRVINCULOM, NRTIPOTRANSFER, NRTPMOVTRANSFM, NRESTRUTURAM, DTINIMOVIMENT, DSOBSERVACAO, DTINCLUSAO, NRORGINCLUSAO, CDOPERINCLUSAO, NRTIPOESTRUTURA ) VALUES ( 43, 5862, 16, 2, 1, (SELECT MAX(NRESTRUTURAM) FROM ESTRUTURAM WHERE NRORG = 5862 AND CDINTESTRUTURA = 'dep_650000' AND NRTIPOESTRUTURA = (SELECT NRTPESTRUTGEREN FROM GPE_PARAMORG WHERE NRORG = 5862)), '12/01/2026', 'Movimentacao gerada via migracao ' || SYSDATE, SYSDATE, 5862, '000000099991', ( SELECT NRTPESTRUTGEREN FROM GPE_PARAMORG WHERE NRORG = 5862 ) );</v>
      </c>
      <c r="FF18" s="63" t="str">
        <f t="shared" ca="1" si="51"/>
        <v>INSERT INTO GPE_MOVIMENTACAO ( NRMOVIMENTACAO, NRORG, NRVINCULOM, NRTIPOTRANSFER, NRTPMOVTRANSFM, NRESTRUTURAM, DTINIMOVIMENT, DSOBSERVACAO, DTINCLUSAO, NRORGINCLUSAO, CDOPERINCLUSAO, NRTIPOESTRUTURA ) VALUES ( 61, 5862, 16, 1, 1, (SELECT MAX(NRESTRUTURAM) FROM ESTRUTURAM WHERE NRORG = 5862 AND CDINTESTRUTURA = 'sin_01' AND NRTIPOESTRUTURA = 10), '12/01/2026', 'Movimentacao gerada via migracao ' || SYSDATE, SYSDATE, 5862, '000000099991', 10 );</v>
      </c>
      <c r="FG18" s="63" t="str">
        <f t="shared" si="52"/>
        <v>COMMIT;</v>
      </c>
      <c r="FI18" s="21" t="str">
        <f ca="1"/>
        <v>não</v>
      </c>
      <c r="FL18" s="21" t="str">
        <f ca="1"/>
        <v>existe</v>
      </c>
      <c r="FP18" s="21" t="str">
        <f ca="1"/>
        <v>existe</v>
      </c>
      <c r="FT18" s="21" t="str">
        <f ca="1"/>
        <v>existe</v>
      </c>
      <c r="FX18" s="21" t="str">
        <f ca="1"/>
        <v>existe</v>
      </c>
      <c r="GB18" s="21" t="str">
        <f ca="1"/>
        <v>existe</v>
      </c>
      <c r="GD18" s="21" t="str">
        <f ca="1"/>
        <v xml:space="preserve">  - Vínculo (matrícula): 370000-2-E1086, estrutura legal </v>
      </c>
    </row>
    <row r="19" spans="1:186" x14ac:dyDescent="0.3">
      <c r="A19" s="16" t="s">
        <v>763</v>
      </c>
      <c r="B19" s="16" t="s">
        <v>764</v>
      </c>
      <c r="C19" s="16" t="s">
        <v>765</v>
      </c>
      <c r="E19" s="16" t="s">
        <v>432</v>
      </c>
      <c r="F19" s="16" t="s">
        <v>391</v>
      </c>
      <c r="G19" s="16" t="s">
        <v>323</v>
      </c>
      <c r="H19" s="16" t="s">
        <v>766</v>
      </c>
      <c r="I19" s="16" t="s">
        <v>224</v>
      </c>
      <c r="J19" s="16" t="s">
        <v>767</v>
      </c>
      <c r="Q19" s="16" t="s">
        <v>768</v>
      </c>
      <c r="R19" s="16" t="s">
        <v>439</v>
      </c>
      <c r="S19" s="16" t="s">
        <v>396</v>
      </c>
      <c r="T19" s="16" t="s">
        <v>769</v>
      </c>
      <c r="AC19" s="16" t="s">
        <v>273</v>
      </c>
      <c r="AD19" s="16" t="s">
        <v>403</v>
      </c>
      <c r="AE19" t="s">
        <v>396</v>
      </c>
      <c r="AF19" s="16" t="s">
        <v>404</v>
      </c>
      <c r="AG19" s="16" t="s">
        <v>770</v>
      </c>
      <c r="AH19" s="16" t="s">
        <v>218</v>
      </c>
      <c r="AI19" s="16" t="s">
        <v>303</v>
      </c>
      <c r="AM19" s="16" t="s">
        <v>271</v>
      </c>
      <c r="AN19" s="16" t="s">
        <v>270</v>
      </c>
      <c r="AO19" t="s">
        <v>1746</v>
      </c>
      <c r="AP19" s="98" t="s">
        <v>2567</v>
      </c>
      <c r="AQ19" s="16" t="s">
        <v>574</v>
      </c>
      <c r="AR19" s="16" t="s">
        <v>1747</v>
      </c>
      <c r="AS19" s="16" t="s">
        <v>396</v>
      </c>
      <c r="AT19" s="16" t="s">
        <v>404</v>
      </c>
      <c r="AU19" s="16" t="s">
        <v>604</v>
      </c>
      <c r="AV19" s="16" t="s">
        <v>771</v>
      </c>
      <c r="AW19" s="16" t="s">
        <v>334</v>
      </c>
      <c r="AX19" s="16" t="s">
        <v>772</v>
      </c>
      <c r="AZ19" s="16" t="s">
        <v>773</v>
      </c>
      <c r="BA19" s="16" t="s">
        <v>270</v>
      </c>
      <c r="BB19" t="s">
        <v>1746</v>
      </c>
      <c r="BF19" s="16" t="s">
        <v>579</v>
      </c>
      <c r="BG19" s="16" t="s">
        <v>304</v>
      </c>
      <c r="BN19" t="s">
        <v>1746</v>
      </c>
      <c r="BP19" s="16" t="s">
        <v>763</v>
      </c>
      <c r="BQ19" s="16" t="s">
        <v>419</v>
      </c>
      <c r="BR19" s="16" t="s">
        <v>419</v>
      </c>
      <c r="BS19" s="16" t="s">
        <v>270</v>
      </c>
      <c r="BT19" s="16" t="s">
        <v>312</v>
      </c>
      <c r="BX19" s="16" t="s">
        <v>774</v>
      </c>
      <c r="CC19" s="16" t="s">
        <v>270</v>
      </c>
      <c r="CD19"/>
      <c r="CE19" s="16" t="s">
        <v>775</v>
      </c>
      <c r="CF19" s="16" t="s">
        <v>419</v>
      </c>
      <c r="CG19" s="16" t="s">
        <v>776</v>
      </c>
      <c r="CH19" s="16" t="s">
        <v>777</v>
      </c>
      <c r="CI19"/>
      <c r="CJ19" s="16" t="s">
        <v>428</v>
      </c>
      <c r="CK19" s="16" t="s">
        <v>778</v>
      </c>
      <c r="CM19" s="79"/>
      <c r="CN19" s="63"/>
      <c r="CO19" s="63"/>
      <c r="CP19" s="85">
        <f t="shared" ref="CP19:CS19" si="130">CP18+1</f>
        <v>220</v>
      </c>
      <c r="CQ19" s="85">
        <f t="shared" si="130"/>
        <v>17</v>
      </c>
      <c r="CR19" s="85">
        <f t="shared" si="130"/>
        <v>17</v>
      </c>
      <c r="CS19" s="85">
        <f t="shared" si="130"/>
        <v>17</v>
      </c>
      <c r="CT19" s="85">
        <f t="shared" ref="CT19:CV19" si="131">CT18+3</f>
        <v>49</v>
      </c>
      <c r="CU19" s="65">
        <f t="shared" si="131"/>
        <v>50</v>
      </c>
      <c r="CV19" s="65">
        <f t="shared" si="131"/>
        <v>51</v>
      </c>
      <c r="CW19" s="85">
        <f t="shared" ref="CW19:CW29" si="132">CW18+1</f>
        <v>17</v>
      </c>
      <c r="CX19" s="85">
        <f t="shared" si="92"/>
        <v>10</v>
      </c>
      <c r="CY19" s="85">
        <f t="shared" si="93"/>
        <v>2</v>
      </c>
      <c r="CZ19" s="85">
        <f t="shared" si="108"/>
        <v>19</v>
      </c>
      <c r="DA19" s="85">
        <f t="shared" si="55"/>
        <v>46</v>
      </c>
      <c r="DB19" s="85">
        <f t="shared" ref="DB19:DB29" si="133">DB18+1</f>
        <v>27</v>
      </c>
      <c r="DC19" s="85">
        <f ca="1">IF( OR( AP19 = "", FT19 &lt;&gt; "existe" ), "", LARGE( DC$2:DC18, 1 ) + 1 )</f>
        <v>17</v>
      </c>
      <c r="DD19" s="66">
        <f ca="1">IF( OR( AQ19 = "", FX19 &lt;&gt; "existe" ), "", LARGE( DD$2:DD18, 1 ) + 1 )</f>
        <v>44</v>
      </c>
      <c r="DE19" s="66" t="str">
        <f ca="1">IF( OR( BU19 = "", GB19 &lt;&gt; "existe" ), "", LARGE( DE$2:DE18, 1 ) + 1 )</f>
        <v/>
      </c>
      <c r="DF19" s="67" t="str">
        <f t="shared" si="95"/>
        <v>NUNCA</v>
      </c>
      <c r="DG19" s="67" t="str">
        <f t="shared" si="96"/>
        <v>BELEM</v>
      </c>
      <c r="DH19" s="67">
        <f t="shared" si="12"/>
        <v>1</v>
      </c>
      <c r="DI19" s="67" t="str">
        <f t="shared" si="13"/>
        <v>PSG</v>
      </c>
      <c r="DJ19" s="67" t="str">
        <f t="shared" si="97"/>
        <v>SAO JORGE</v>
      </c>
      <c r="DK19" s="67" t="str">
        <f t="shared" si="98"/>
        <v>MONTESE</v>
      </c>
      <c r="DL19" s="67" t="str">
        <f t="shared" si="99"/>
        <v/>
      </c>
      <c r="DM19" s="67" t="str">
        <f t="shared" si="100"/>
        <v>66070060</v>
      </c>
      <c r="DN19" s="70" t="str">
        <f t="shared" si="16"/>
        <v>0089-7</v>
      </c>
      <c r="DO19" s="70" t="str">
        <f t="shared" si="17"/>
        <v>0</v>
      </c>
      <c r="DP19" s="70" t="str">
        <f t="shared" si="18"/>
        <v>0</v>
      </c>
      <c r="DQ19" s="64" t="str">
        <f t="shared" si="19"/>
        <v/>
      </c>
      <c r="DR19" s="64" t="str">
        <f t="shared" si="20"/>
        <v>8918228</v>
      </c>
      <c r="DS19" s="64" t="str">
        <f t="shared" si="21"/>
        <v>000</v>
      </c>
      <c r="DT19" s="64" t="str">
        <f t="shared" si="22"/>
        <v/>
      </c>
      <c r="DU19" s="64" t="str">
        <f t="shared" si="23"/>
        <v/>
      </c>
      <c r="DV19" s="60" t="str">
        <f t="shared" si="24"/>
        <v>0055</v>
      </c>
      <c r="DW19" s="67" t="str">
        <f t="shared" si="25"/>
        <v>BELEM</v>
      </c>
      <c r="DX19" s="60" t="str" cm="1">
        <f t="array" ref="DX19">TEXT( MIG_NORMA.NÚMERICO( J19 ), "00000000000" )</f>
        <v>07502128298</v>
      </c>
      <c r="DY19" s="60" t="str" cm="1">
        <f t="array" ref="DY19">TEXT( MIG_NORMA.NÚMERICO( K19 ), "0000000" )</f>
        <v/>
      </c>
      <c r="DZ19" s="64" t="str">
        <f t="shared" si="26"/>
        <v>15/12/2025</v>
      </c>
      <c r="EA19" s="64" t="str">
        <f t="shared" si="27"/>
        <v>15/04/2026</v>
      </c>
      <c r="EB19" s="64" t="str">
        <f t="shared" si="28"/>
        <v>02/05/2005</v>
      </c>
      <c r="EC19" s="64" t="str">
        <f t="shared" si="29"/>
        <v/>
      </c>
      <c r="ED19" s="64" t="str">
        <f t="shared" si="30"/>
        <v/>
      </c>
      <c r="EE19" s="64" t="str">
        <f t="shared" si="31"/>
        <v/>
      </c>
      <c r="EF19" s="64" t="str">
        <f t="shared" si="32"/>
        <v>28/07/2022</v>
      </c>
      <c r="EG19" s="64" t="str">
        <f t="shared" si="33"/>
        <v/>
      </c>
      <c r="EH19" s="64" t="str">
        <f t="shared" si="34"/>
        <v/>
      </c>
      <c r="EI19" s="68" t="str">
        <f t="shared" si="35"/>
        <v/>
      </c>
      <c r="EJ19" s="64" t="str">
        <f t="shared" si="36"/>
        <v>15/12/2026</v>
      </c>
      <c r="EK19" s="64" t="str">
        <f t="shared" si="37"/>
        <v/>
      </c>
      <c r="EL19" s="64" t="str">
        <f t="shared" si="38"/>
        <v/>
      </c>
      <c r="EM19" s="64" t="str">
        <f t="shared" si="39"/>
        <v>15/12/2025</v>
      </c>
      <c r="EN19" s="64" t="str">
        <f t="shared" si="57"/>
        <v>15/04/2026</v>
      </c>
      <c r="EO19" s="64" t="str">
        <f t="shared" si="40"/>
        <v/>
      </c>
      <c r="EP19" s="64" t="str">
        <f t="shared" si="41"/>
        <v/>
      </c>
      <c r="EQ19" s="63" t="str">
        <f t="shared" si="42"/>
        <v>INSERT INTO PARCNEGOCIO ( NRPARCNEGOCIO, NRORG, NMPRINCIPALPARC, NMSECUNDARIPARC, DTNASCIFUNDPARC, NRINSCRICAOPARC, IDATIVO, DTINCLUSAO, NRORGINCLUSAO, CDOPERINCLUSAO, CDTIPOPARCPRINCIPAL, CDTIPOINSCRICAO, IDPESSOAFISICA, IDINSTITUICAO, IDPARCFUNDIDO ) VALUES ( 220, 5862, 'ANA BEATRIZ TEIXEIRA DE VASCONCELOS', 'ANA BEATRIZ TEIXEIRA DE VASCONCELOS', '02/05/2005', '07502128298', 'S', SYSDATE, 5862, '000000099991', 'PESSOA', 'CPF', 'S', 'N', 'N' );</v>
      </c>
      <c r="ER19" s="63" t="str">
        <f t="shared" si="43"/>
        <v>INSERT INTO GPE_PESSOA ( NRPESSOA, NRORG, NRPARCNEGOCIO, DTINCLUSAO, NRORGINCLUSAO, CDOPERINCLUSAO ) VALUES ( 17, 5862, 220, SYSDATE, 5862, '000000099991' );</v>
      </c>
      <c r="ES19"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( 17, 17, 5862, '01/01/2000', 'ANA BEATRIZ TEIXEIRA DE VASCONCELOS', 'S', '07502128298', '', '', '', '', '', '', '', '', '', '', '', '', (SELECT NRCATMILITARPE FROM GPE_CATMILITARPE WHERE NRCATMILITARPE = ''), '', SYSDATE, 5862, '000000099991', '5', '1058', 'PA', (SELECT MAX(CDMUNICIPIO) FROM MUNICIPIO WHERE NMMUNICIPIO = 'BELEM'), '02/05/2005', 'F', '8918228', 'PC', 'PA', '28/07/2022', '1', '7' , '1');</v>
      </c>
      <c r="ET19" s="63" t="str">
        <f t="shared" si="4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(17, 17, 5862, '100000-2-E1074', '15/12/2025', '15/04/2026', SYSDATE, 5862, '000000099991', '1', '', '', '', '', '', '', 'ANA BEATRIZ TEIXEIRA DE VASCONCELOS', '', '', '', '', '', '15/12/2026', '');</v>
      </c>
      <c r="EU19"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(49, 17, '', (SELECT MAX(NROCUPACAOM) FROM GPE_OCUPACAOH WHERE NRORG = 5862 AND CDINTEGRACAO = '0089-7'), (SELECT MAX(NROCUPACAOM) FROM GPE_OCUPACAOH WHERE NRORG = 5862 AND CDINTEGRACAO = '0089-7'), 5862, '01/01/2000', 'NUNCA', SYSDATE, 5862, '000000099991', '0', '0', '15/12/2025', 'SAL1', '', (SELECT MAX(NRESTRUTURAM) FROM ESTRUTURAM WHERE NRORG = 5862 AND CDINTESTRUTURA = 'est_MATSAUDE'), NVL((SELECT MAX(NRESTRUTURAM) FROM ESTRUTURAM WHERE NRORG = 5862 AND CDINTESTRUTURA = 'dep_100000'), 999992), NVL((SELECT MAX(NRESTRUTURAM) FROM ESTRUTURAM WHERE NRORG = 5862 AND CDINTESTRUTURA = ''), 999993), '1', 'UNICO', '', 2, '', 'N', (SELECT MAX(NRESCALATRABM) FROM GPE_ESCALATRABH WHERE NRORG = 5862 AND NRESCALATRABM = '000007') );</v>
      </c>
      <c r="EV19" s="63" t="str">
        <f t="shared" si="4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50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49;</v>
      </c>
      <c r="EW19" s="63" t="str">
        <f t="shared" si="4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51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49;</v>
      </c>
      <c r="EX19" s="63" t="str">
        <f t="shared" si="59"/>
        <v>INSERT INTO GPE_ALTESITUFUNC ( NRALTESITUFUNC, NRORG, NRSITUFUNCM, NRVINCULOM, DTINISITUFUNC, DTINCLUSAO, NRORGINCLUSAO, CDOPERINCLUSAO ) VALUES ( 17, 5862, (CASE WHEN '' IS NOT NULL THEN '' WHEN '15/04/2026' IS NULL THEN '1' ELSE '13' END), 17, '15/04/2026', SYSDATE, 5862, '000000099991' );</v>
      </c>
      <c r="EY19" s="63" t="str">
        <f t="shared" si="48"/>
        <v/>
      </c>
      <c r="EZ19" s="63" t="str">
        <f t="shared" si="60"/>
        <v/>
      </c>
      <c r="FA19" s="63" t="str">
        <f t="shared" si="61"/>
        <v>INSERT INTO COMUNICAPARC ( NRCOMUNICAPARC, NRPARCNEGOCIO, CDFORMACOMU, CDPREFIXCOMUPARC, CDCOMUNICAPARC, NRORG, IDATIVO, DTINCLUSAO, NRORGINCLUSAO, CDOPERINCLUSAO ) VALUES ( 19, 220, '02', '91', '985722554', 5862, 'S', SYSDATE, 5862, '000000099991' );</v>
      </c>
      <c r="FB19" s="63" t="str">
        <f t="shared" si="62"/>
        <v>INSERT INTO COMUNICAPARC ( NRCOMUNICAPARC, NRPARCNEGOCIO, CDFORMACOMU, CDCOMUNICAPARC, NRORG, IDATIVO, DTINCLUSAO, NRORGINCLUSAO, CDOPERINCLUSAO ) VALUES ( 46, 220, '05', 'vasconcelosbeatriz23@gmail.com', 5862, 'S', SYSDATE, 5862, '000000099991' );</v>
      </c>
      <c r="FC19" s="63" t="str">
        <f t="shared" si="63"/>
        <v>INSERT INTO ENDERECOPARC ( NRENDERECOPARC, NRPARCNEGOCIO, CDTIPOENDERECO, NRORG, IDATIVO, DTINCLUSAO, NRORGINCLUSAO, CDOPERINCLUSAO, CDPAIS, CDMUNICIPIO, CDLOGRADOURO, NMBAIRROENDERECO, DSCOMPLEENDERECO, NRCEPENDERECO, DSENDERECO, NRIMOVELENDERECO, SGESTADO ) VALUES ( 27, 220, 'PRINCIPAL', 5862, 'S', SYSDATE, 5862, '000000099991', '0055', ( SELECT MAX(CDMUNICIPIO) FROM MUNICIPIO WHERE NMMUNICIPIO = 'BELEM' AND SGESTADO = 'PA' ), 'PSG', 'MONTESE', '', '66070060', 'SAO JORGE', '45', 'PA');</v>
      </c>
      <c r="FD19" s="63" t="str">
        <f t="shared" ca="1" si="49"/>
        <v>INSERT INTO GPE_MOVIMENTACAO ( NRMOVIMENTACAO, NRORG, NRVINCULOM, NRTIPOTRANSFER, NRTPMOVTRANSFM, NRESTRUTURAM, DTINIMOVIMENT, DSOBSERVACAO, DTINCLUSAO, NRORGINCLUSAO, CDOPERINCLUSAO, NRTIPOESTRUTURA ) VALUES ( 17, 5862, 17, 1, 1, (SELECT MAX(NRESTRUTURAM) FROM ESTRUTURAM WHERE NRORG = 5862 AND CDINTESTRUTURA = 'est_MATSAUDE' AND NRTIPOESTRUTURA = (SELECT NRTPESTRUTLEGAL FROM GPE_PARAMORG WHERE NRORG = 5862)), '15/12/2025', 'Movimentacao gerada via migracao ' || SYSDATE, SYSDATE, 5862, '000000099991', ( SELECT NRTPESTRUTLEGAL FROM GPE_PARAMORG WHERE NRORG = 5862 ) );</v>
      </c>
      <c r="FE19" s="63" t="str">
        <f t="shared" ca="1" si="50"/>
        <v>INSERT INTO GPE_MOVIMENTACAO ( NRMOVIMENTACAO, NRORG, NRVINCULOM, NRTIPOTRANSFER, NRTPMOVTRANSFM, NRESTRUTURAM, DTINIMOVIMENT, DSOBSERVACAO, DTINCLUSAO, NRORGINCLUSAO, CDOPERINCLUSAO, NRTIPOESTRUTURA ) VALUES ( 44, 5862, 17, 2, 1, (SELECT MAX(NRESTRUTURAM) FROM ESTRUTURAM WHERE NRORG = 5862 AND CDINTESTRUTURA = 'dep_100000' AND NRTIPOESTRUTURA = (SELECT NRTPESTRUTGEREN FROM GPE_PARAMORG WHERE NRORG = 5862)), '15/12/2025', 'Movimentacao gerada via migracao ' || SYSDATE, SYSDATE, 5862, '000000099991', ( SELECT NRTPESTRUTGEREN FROM GPE_PARAMORG WHERE NRORG = 5862 ) );</v>
      </c>
      <c r="FF19" s="63" t="str">
        <f t="shared" ca="1" si="51"/>
        <v/>
      </c>
      <c r="FG19" s="63" t="str">
        <f t="shared" si="52"/>
        <v>COMMIT;</v>
      </c>
      <c r="FI19" s="21" t="str">
        <f ca="1"/>
        <v>não</v>
      </c>
      <c r="FL19" s="21" t="str">
        <f ca="1"/>
        <v>existe</v>
      </c>
      <c r="FP19" s="21" t="str">
        <f ca="1"/>
        <v>existe</v>
      </c>
      <c r="FT19" s="21" t="str">
        <f ca="1"/>
        <v>existe</v>
      </c>
      <c r="FX19" s="21" t="str">
        <f ca="1"/>
        <v>existe</v>
      </c>
      <c r="GB19" s="21">
        <f ca="1"/>
        <v>0</v>
      </c>
      <c r="GD19" s="21" t="str">
        <f ca="1"/>
        <v xml:space="preserve">  - Vínculo (matrícula): 400000-2-E1081, estrutura legal </v>
      </c>
    </row>
    <row r="20" spans="1:186" x14ac:dyDescent="0.3">
      <c r="A20" s="16" t="s">
        <v>763</v>
      </c>
      <c r="B20" s="16" t="s">
        <v>779</v>
      </c>
      <c r="C20" s="16" t="s">
        <v>780</v>
      </c>
      <c r="E20" s="16" t="s">
        <v>630</v>
      </c>
      <c r="F20" s="16" t="s">
        <v>391</v>
      </c>
      <c r="G20" s="16" t="s">
        <v>323</v>
      </c>
      <c r="H20" s="16" t="s">
        <v>781</v>
      </c>
      <c r="I20" s="16" t="s">
        <v>224</v>
      </c>
      <c r="J20" s="16" t="s">
        <v>782</v>
      </c>
      <c r="Q20" s="16" t="s">
        <v>783</v>
      </c>
      <c r="R20" s="16" t="s">
        <v>439</v>
      </c>
      <c r="S20" s="16" t="s">
        <v>396</v>
      </c>
      <c r="T20" s="16" t="s">
        <v>784</v>
      </c>
      <c r="AC20" s="16" t="s">
        <v>273</v>
      </c>
      <c r="AD20" s="16" t="s">
        <v>403</v>
      </c>
      <c r="AE20" t="s">
        <v>396</v>
      </c>
      <c r="AF20" s="16" t="s">
        <v>404</v>
      </c>
      <c r="AG20" s="16" t="s">
        <v>785</v>
      </c>
      <c r="AH20" s="16" t="s">
        <v>218</v>
      </c>
      <c r="AI20" s="16" t="s">
        <v>303</v>
      </c>
      <c r="AM20" s="16" t="s">
        <v>271</v>
      </c>
      <c r="AN20" s="16" t="s">
        <v>270</v>
      </c>
      <c r="AO20" t="s">
        <v>1746</v>
      </c>
      <c r="AP20" s="98" t="s">
        <v>2567</v>
      </c>
      <c r="AQ20" s="16" t="s">
        <v>590</v>
      </c>
      <c r="AR20" s="16" t="s">
        <v>1747</v>
      </c>
      <c r="AS20" s="16" t="s">
        <v>396</v>
      </c>
      <c r="AT20" s="16" t="s">
        <v>404</v>
      </c>
      <c r="AU20" s="16" t="s">
        <v>604</v>
      </c>
      <c r="AV20" s="16" t="s">
        <v>786</v>
      </c>
      <c r="AW20" s="16" t="s">
        <v>787</v>
      </c>
      <c r="AX20" s="16" t="s">
        <v>556</v>
      </c>
      <c r="AY20" s="16" t="s">
        <v>788</v>
      </c>
      <c r="AZ20" s="16" t="s">
        <v>789</v>
      </c>
      <c r="BA20" s="16" t="s">
        <v>270</v>
      </c>
      <c r="BB20" t="s">
        <v>1746</v>
      </c>
      <c r="BF20" s="16" t="s">
        <v>579</v>
      </c>
      <c r="BG20" s="16" t="s">
        <v>304</v>
      </c>
      <c r="BN20" t="s">
        <v>1746</v>
      </c>
      <c r="BP20" s="16" t="s">
        <v>763</v>
      </c>
      <c r="BQ20" s="16" t="s">
        <v>419</v>
      </c>
      <c r="BR20" s="16" t="s">
        <v>419</v>
      </c>
      <c r="BS20" s="16" t="s">
        <v>270</v>
      </c>
      <c r="BT20" s="16" t="s">
        <v>312</v>
      </c>
      <c r="BX20" s="16" t="s">
        <v>774</v>
      </c>
      <c r="CC20" s="16" t="s">
        <v>270</v>
      </c>
      <c r="CD20"/>
      <c r="CE20" s="16" t="s">
        <v>790</v>
      </c>
      <c r="CF20" s="16" t="s">
        <v>419</v>
      </c>
      <c r="CG20" s="16" t="s">
        <v>791</v>
      </c>
      <c r="CH20" s="16" t="s">
        <v>792</v>
      </c>
      <c r="CI20"/>
      <c r="CJ20" s="16" t="s">
        <v>428</v>
      </c>
      <c r="CK20" s="16" t="s">
        <v>793</v>
      </c>
      <c r="CM20" s="79"/>
      <c r="CN20" s="63"/>
      <c r="CO20" s="63"/>
      <c r="CP20" s="85">
        <f t="shared" ref="CP20:CS20" si="134">CP19+1</f>
        <v>221</v>
      </c>
      <c r="CQ20" s="85">
        <f t="shared" si="134"/>
        <v>18</v>
      </c>
      <c r="CR20" s="85">
        <f t="shared" si="134"/>
        <v>18</v>
      </c>
      <c r="CS20" s="85">
        <f t="shared" si="134"/>
        <v>18</v>
      </c>
      <c r="CT20" s="85">
        <f t="shared" ref="CT20:CV20" si="135">CT19+3</f>
        <v>52</v>
      </c>
      <c r="CU20" s="65">
        <f t="shared" si="135"/>
        <v>53</v>
      </c>
      <c r="CV20" s="65">
        <f t="shared" si="135"/>
        <v>54</v>
      </c>
      <c r="CW20" s="85">
        <f t="shared" si="132"/>
        <v>18</v>
      </c>
      <c r="CX20" s="85">
        <f t="shared" ref="CX20" si="136">IF( COUNTA( AJ20:AL20 ) &lt;&gt; 3, CX19, CX19 + 1 )</f>
        <v>10</v>
      </c>
      <c r="CY20" s="85">
        <f t="shared" ref="CY20" si="137">IF( TRIM( CD20 ) = "", CY19, CY19 + 1 )</f>
        <v>2</v>
      </c>
      <c r="CZ20" s="85">
        <f t="shared" si="108"/>
        <v>20</v>
      </c>
      <c r="DA20" s="85">
        <f t="shared" si="55"/>
        <v>47</v>
      </c>
      <c r="DB20" s="85">
        <f t="shared" si="133"/>
        <v>28</v>
      </c>
      <c r="DC20" s="85">
        <f ca="1">IF( OR( AP20 = "", FT20 &lt;&gt; "existe" ), "", LARGE( DC$2:DC19, 1 ) + 1 )</f>
        <v>18</v>
      </c>
      <c r="DD20" s="66">
        <f ca="1">IF( OR( AQ20 = "", FX20 &lt;&gt; "existe" ), "", LARGE( DD$2:DD19, 1 ) + 1 )</f>
        <v>45</v>
      </c>
      <c r="DE20" s="66" t="str">
        <f ca="1">IF( OR( BU20 = "", GB20 &lt;&gt; "existe" ), "", LARGE( DE$2:DE19, 1 ) + 1 )</f>
        <v/>
      </c>
      <c r="DF20" s="67" t="str">
        <f t="shared" ref="DF20" si="138">TRIM(UPPER(G20))</f>
        <v>NUNCA</v>
      </c>
      <c r="DG20" s="67" t="str">
        <f t="shared" ref="DG20" si="139">UPPER( TRIM(SUBSTITUTE(SUBSTITUTE(AF20,"'",""),"&amp;","")) )</f>
        <v>BELEM</v>
      </c>
      <c r="DH20" s="67">
        <f t="shared" si="12"/>
        <v>1</v>
      </c>
      <c r="DI20" s="67" t="str">
        <f t="shared" ref="DI20" si="140">UPPER( MID( SUBSTITUTE( SUBSTITUTE( SUBSTITUTE(AU20, "Ç", "C"), "Ã", "A"), "Á", "A"), 1, 4) )</f>
        <v>PSG</v>
      </c>
      <c r="DJ20" s="67" t="str">
        <f t="shared" ref="DJ20" si="141">TRIM(SUBSTITUTE(SUBSTITUTE(AV20,"'",""),"&amp;",""))</f>
        <v>27 DE DEZEMBRO</v>
      </c>
      <c r="DK20" s="67" t="str">
        <f t="shared" ref="DK20" si="142">TRIM(SUBSTITUTE(SUBSTITUTE(AX20,"'",""),"&amp;",""))</f>
        <v>MARCO</v>
      </c>
      <c r="DL20" s="67" t="str">
        <f t="shared" ref="DL20" si="143">TRIM(SUBSTITUTE(SUBSTITUTE(AY20,"'",""),"&amp;",""))</f>
        <v>ENTRE JABUTITEUA E ROSA MARIA</v>
      </c>
      <c r="DM20" s="67" t="str">
        <f t="shared" ref="DM20" si="144">TRIM(SUBSTITUTE(SUBSTITUTE(AZ20,"'",""),"&amp;",""))</f>
        <v>66070262</v>
      </c>
      <c r="DN20" s="70" t="str">
        <f t="shared" ref="DN20" si="145">BF20</f>
        <v>0089-7</v>
      </c>
      <c r="DO20" s="70" t="str">
        <f t="shared" ref="DO20" si="146">TRIM(BQ20)</f>
        <v>0</v>
      </c>
      <c r="DP20" s="70" t="str">
        <f t="shared" ref="DP20" si="147">TRIM(BR20)</f>
        <v>0</v>
      </c>
      <c r="DQ20" s="64" t="str">
        <f t="shared" ref="DQ20" si="148">IFERROR( SUBSTITUTE( SUBSTITUTE( SUBSTITUTE( SUBSTITUTE( AB20, ".", "" ), ",", "" ), "-", "" ), " ", "" ) * 1, "" )</f>
        <v/>
      </c>
      <c r="DR20" s="64" t="str">
        <f t="shared" ref="DR20" si="149">TRIM(SUBSTITUTE(SUBSTITUTE(Q20,"'",""),"+",""))</f>
        <v>66134444</v>
      </c>
      <c r="DS20" s="64" t="str">
        <f t="shared" ref="DS20" si="150">TEXT(AJ20,"000")</f>
        <v>000</v>
      </c>
      <c r="DT20" s="64" t="str">
        <f t="shared" ref="DT20" si="151">UPPER( MID( SUBSTITUTE( TRIM( AK20 ), "-", "" ), 1, 5 ) )</f>
        <v/>
      </c>
      <c r="DU20" s="64" t="str">
        <f t="shared" ref="DU20" si="152" xml:space="preserve"> UPPER( SUBSTITUTE( TRIM( AL20 ), "-", "" ) )</f>
        <v/>
      </c>
      <c r="DV20" s="60" t="str">
        <f t="shared" ref="DV20" si="153">TEXT(AR20,"0000")</f>
        <v>0055</v>
      </c>
      <c r="DW20" s="67" t="str">
        <f t="shared" ref="DW20" si="154">UPPER( TRIM(SUBSTITUTE(SUBSTITUTE(AT20,"'",""),"&amp;","")) )</f>
        <v>BELEM</v>
      </c>
      <c r="DX20" s="60" t="str" cm="1">
        <f t="array" ref="DX20">TEXT( MIG_NORMA.NÚMERICO( J20 ), "00000000000" )</f>
        <v>02929941251</v>
      </c>
      <c r="DY20" s="60" t="str" cm="1">
        <f t="array" ref="DY20">TEXT( MIG_NORMA.NÚMERICO( K20 ), "0000000" )</f>
        <v/>
      </c>
      <c r="DZ20" s="64" t="str">
        <f t="shared" ref="DZ20" si="155">IF(TRIM(A20)="","",TEXT(TRIM(A20),"DD/MM/AAAA"))</f>
        <v>15/12/2025</v>
      </c>
      <c r="EA20" s="64" t="str">
        <f t="shared" ref="EA20" si="156">IF(TRIM(B20)="","",TEXT(TRIM(B20),"DD/MM/AAAA"))</f>
        <v>19/01/2026</v>
      </c>
      <c r="EB20" s="64" t="str">
        <f t="shared" ref="EB20" si="157">IF(TRIM(AG20)="","",TEXT(TRIM(AG20),"DD/MM/AAAA"))</f>
        <v>29/05/1998</v>
      </c>
      <c r="EC20" s="64" t="str">
        <f t="shared" ref="EC20" si="158">IF(TRIM(N20)="","",TEXT(TRIM(N20),"DD/MM/AAAA"))</f>
        <v/>
      </c>
      <c r="ED20" s="64" t="str">
        <f t="shared" ref="ED20" si="159">IF(TRIM(P20)="","",TEXT(TRIM(P20),"DD/MM/AAAA"))</f>
        <v/>
      </c>
      <c r="EE20" s="64" t="str">
        <f t="shared" ref="EE20" si="160">IF(TRIM(Y20)="","",TEXT(TRIM(Y20),"DD/MM/AAAA"))</f>
        <v/>
      </c>
      <c r="EF20" s="64" t="str">
        <f t="shared" ref="EF20" si="161">IF(TRIM(T20)="","",TEXT(TRIM(T20),"DD/MM/AAAA"))</f>
        <v>30/05/2023</v>
      </c>
      <c r="EG20" s="64" t="str">
        <f t="shared" ref="EG20" si="162">IF(TRIM(BC20)="","",TEXT(TRIM(BC20),"DD/MM/AAAA"))</f>
        <v/>
      </c>
      <c r="EH20" s="64" t="str">
        <f t="shared" ref="EH20" si="163">IF(TRIM(BD20)="","",TEXT(TRIM(BD20),"DD/MM/AAAA"))</f>
        <v/>
      </c>
      <c r="EI20" s="68" t="str">
        <f t="shared" ref="EI20" si="164">IF(TRIM(BE20)="","",TEXT(TRIM(BE20),"DD/MM/AAAA"))</f>
        <v/>
      </c>
      <c r="EJ20" s="64" t="str">
        <f t="shared" ref="EJ20" si="165">IF(TRIM(BX20)="","",TEXT(TRIM(BX20),"DD/MM/AAAA"))</f>
        <v>15/12/2026</v>
      </c>
      <c r="EK20" s="64" t="str">
        <f t="shared" ref="EK20" si="166">IF(TRIM(BY20)="","",TEXT(TRIM(BY20),"DD/MM/AAAA"))</f>
        <v/>
      </c>
      <c r="EL20" s="64" t="str">
        <f t="shared" ref="EL20" si="167">IF(TRIM(BK20)="","",TEXT(TRIM(BK20),"DD/MM/AAAA"))</f>
        <v/>
      </c>
      <c r="EM20" s="64" t="str">
        <f t="shared" ref="EM20" si="168">IF(TRIM(BP20)="","",TEXT(TRIM(BP20),"DD/MM/AAAA"))</f>
        <v>15/12/2025</v>
      </c>
      <c r="EN20" s="64" t="str">
        <f t="shared" ref="EN20" si="169">IF(EA20="",DZ20,EA20)</f>
        <v>19/01/2026</v>
      </c>
      <c r="EO20" s="64" t="str">
        <f t="shared" ref="EO20" si="170">IF(TRIM(BM20)="","",TEXT(TRIM(BM20),"DD/MM/AAAA"))</f>
        <v/>
      </c>
      <c r="EP20" s="64" t="str">
        <f t="shared" ref="EP20" si="171">MID(TRIM(AA20),1,20)</f>
        <v/>
      </c>
      <c r="EQ20" s="63" t="str">
        <f t="shared" ref="EQ20" si="172">SUBSTITUTE(SUBSTITUTE(SUBSTITUTE(SUBSTITUTE(SUBSTITUTE(SUBSTITUTE(SUBSTITUTE($EQ$2,"@NRORG@",$CM$2),$CP$1,CP20),$H$1,H20),$EB$1,EB20),$J$1,J20),$CP$1,CP20),$DX$1,DX20)</f>
        <v>INSERT INTO PARCNEGOCIO ( NRPARCNEGOCIO, NRORG, NMPRINCIPALPARC, NMSECUNDARIPARC, DTNASCIFUNDPARC, NRINSCRICAOPARC, IDATIVO, DTINCLUSAO, NRORGINCLUSAO, CDOPERINCLUSAO, CDTIPOPARCPRINCIPAL, CDTIPOINSCRICAO, IDPESSOAFISICA, IDINSTITUICAO, IDPARCFUNDIDO ) VALUES ( 221, 5862, 'HANNA CARDOSO LOBO', 'HANNA CARDOSO LOBO', '29/05/1998', '02929941251', 'S', SYSDATE, 5862, '000000099991', 'PESSOA', 'CPF', 'S', 'N', 'N' );</v>
      </c>
      <c r="ER20" s="63" t="str">
        <f t="shared" ref="ER20" si="173">SUBSTITUTE(SUBSTITUTE(SUBSTITUTE($ER$2,"@NRORG@",$CM$2),$CQ$1,CQ20),$CP$1,CP20)</f>
        <v>INSERT INTO GPE_PESSOA ( NRPESSOA, NRORG, NRPARCNEGOCIO, DTINCLUSAO, NRORGINCLUSAO, CDOPERINCLUSAO ) VALUES ( 18, 5862, 221, SYSDATE, 5862, '000000099991' );</v>
      </c>
      <c r="ES20"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( 18, 18, 5862, '01/01/2000', 'HANNA CARDOSO LOBO', 'S', '02929941251', '', '', '', '', '', '', '', '', '', '', '', '', (SELECT NRCATMILITARPE FROM GPE_CATMILITARPE WHERE NRCATMILITARPE = ''), '', SYSDATE, 5862, '000000099991', '5', '1058', 'PA', (SELECT MAX(CDMUNICIPIO) FROM MUNICIPIO WHERE NMMUNICIPIO = 'BELEM'), '29/05/1998', 'F', '66134444', 'PC', 'PA', '30/05/2023', '1', '7' , '1');</v>
      </c>
      <c r="ET20" s="63" t="str">
        <f t="shared" ref="ET20" si="174">SUBSTITUTE(SUBSTITUTE(SUBSTITUTE(SUBSTITUTE(SUBSTITUTE(SUBSTITUTE(SUBSTITUTE(SUBSTITUTE(SUBSTITUTE(SUBSTITUTE(SUBSTITUTE(SUBSTITUTE(SUBSTITUTE(SUBSTITUTE(SUBSTITUTE(SUBSTITUTE(SUBSTITUTE(SUBSTITUTE(SUBSTITUTE(SUBSTITUTE(SUBSTITUTE($ET$2,"@NRORG@",$CM$2),$CS$1,CS20),$CQ$1,CQ20),$C$1,C20),$DZ$1,DZ20),$EA$1,EA20),$BA$1,BA20),$BN$1,BN20),$BO$1,BO20),$BB$1,BB20),$EG$1,EG20),$EH$1,EH20),$EI$1,EI20),$H$1,H20),$BI$1,BI20),$BJ$1,BJ20),$EL$1,EL20),$BV$1,BV20),$BW$1,BW20),$EJ$1,EJ20),$EK$1,EK20)</f>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(18, 18, 5862, '270000-2-E1075', '15/12/2025', '19/01/2026', SYSDATE, 5862, '000000099991', '1', '', '', '', '', '', '', 'HANNA CARDOSO LOBO', '', '', '', '', '', '15/12/2026', '');</v>
      </c>
      <c r="EU20"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(52, 18, '', (SELECT MAX(NROCUPACAOM) FROM GPE_OCUPACAOH WHERE NRORG = 5862 AND CDINTEGRACAO = '0089-7'), (SELECT MAX(NROCUPACAOM) FROM GPE_OCUPACAOH WHERE NRORG = 5862 AND CDINTEGRACAO = '0089-7'), 5862, '01/01/2000', 'NUNCA', SYSDATE, 5862, '000000099991', '0', '0', '15/12/2025',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'000011') );</v>
      </c>
      <c r="EV20" s="63" t="str">
        <f t="shared" ref="EV20" si="175">SUBSTITUTE(SUBSTITUTE(SUBSTITUTE(SUBSTITUTE(SUBSTITUTE($EV$2,"@NRORG@",$CM$2),$CT$1,CT20),$CU$1,CU20),$CV$1,CV20),$CN$1,$CN$2)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53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52;</v>
      </c>
      <c r="EW20" s="63" t="str">
        <f t="shared" ref="EW20" si="176">SUBSTITUTE(SUBSTITUTE(SUBSTITUTE(SUBSTITUTE(SUBSTITUTE($EW$2,"@NRORG@",$CM$2),$CT$1,CT20),$CV$1,CV20),$CV$1,CV20),$CO$1,$CO$2)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54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52;</v>
      </c>
      <c r="EX20" s="63" t="str">
        <f t="shared" si="59"/>
        <v>INSERT INTO GPE_ALTESITUFUNC ( NRALTESITUFUNC, NRORG, NRSITUFUNCM, NRVINCULOM, DTINISITUFUNC, DTINCLUSAO, NRORGINCLUSAO, CDOPERINCLUSAO ) VALUES ( 18, 5862, (CASE WHEN '' IS NOT NULL THEN '' WHEN '19/01/2026' IS NULL THEN '1' ELSE '13' END), 18, '19/01/2026', SYSDATE, 5862, '000000099991' );</v>
      </c>
      <c r="EY20" s="63" t="str">
        <f t="shared" ref="EY20" si="177">IF(COUNTA(AJ20:AL20)&lt;&gt;3,"",SUBSTITUTE(SUBSTITUTE(SUBSTITUTE(SUBSTITUTE(SUBSTITUTE(SUBSTITUTE(SUBSTITUTE($EY$2,"@NRORG@",$CM$2),$CX$1,CX20),$CP$1,CP20),$DS$1,DS20),$DT$1,DT20),$DU$1,DU20),$AM$1,AM20))</f>
        <v/>
      </c>
      <c r="EZ20" s="63" t="str">
        <f t="shared" si="60"/>
        <v/>
      </c>
      <c r="FA20" s="63" t="str">
        <f t="shared" si="61"/>
        <v>INSERT INTO COMUNICAPARC ( NRCOMUNICAPARC, NRPARCNEGOCIO, CDFORMACOMU, CDPREFIXCOMUPARC, CDCOMUNICAPARC, NRORG, IDATIVO, DTINCLUSAO, NRORGINCLUSAO, CDOPERINCLUSAO ) VALUES ( 20, 221, '02', '91', '982832045', 5862, 'S', SYSDATE, 5862, '000000099991' );</v>
      </c>
      <c r="FB20" s="63" t="str">
        <f t="shared" si="62"/>
        <v>INSERT INTO COMUNICAPARC ( NRCOMUNICAPARC, NRPARCNEGOCIO, CDFORMACOMU, CDCOMUNICAPARC, NRORG, IDATIVO, DTINCLUSAO, NRORGINCLUSAO, CDOPERINCLUSAO ) VALUES ( 47, 221, '05', 'hannacardoso61346@gmail.com', 5862, 'S', SYSDATE, 5862, '000000099991' );</v>
      </c>
      <c r="FC20" s="63" t="str">
        <f t="shared" si="63"/>
        <v>INSERT INTO ENDERECOPARC ( NRENDERECOPARC, NRPARCNEGOCIO, CDTIPOENDERECO, NRORG, IDATIVO, DTINCLUSAO, NRORGINCLUSAO, CDOPERINCLUSAO, CDPAIS, CDMUNICIPIO, CDLOGRADOURO, NMBAIRROENDERECO, DSCOMPLEENDERECO, NRCEPENDERECO, DSENDERECO, NRIMOVELENDERECO, SGESTADO ) VALUES ( 28, 221, 'PRINCIPAL', 5862, 'S', SYSDATE, 5862, '000000099991', '0055', ( SELECT MAX(CDMUNICIPIO) FROM MUNICIPIO WHERE NMMUNICIPIO = 'BELEM' AND SGESTADO = 'PA' ), 'PSG', 'MARCO', 'ENTRE JABUTITEUA E ROSA MARIA', '66070262', '27 DE DEZEMBRO', '491', 'PA');</v>
      </c>
      <c r="FD20" s="63" t="str">
        <f t="shared" ref="FD20" ca="1" si="178" xml:space="preserve"> IF( DC20 = "", "", SUBSTITUTE( SUBSTITUTE( SUBSTITUTE( SUBSTITUTE( SUBSTITUTE( $FD$2, "@NRORG@", $CM$2 ), "@NRMOVIMENTACAO_LEG@", $DC20 ), "@NRVINCULOM@", $CS20 ), "@ESTRUTLEGAL@", $AP20 ), "@DTADMISSAO@", $DZ20 ) )</f>
        <v>INSERT INTO GPE_MOVIMENTACAO ( NRMOVIMENTACAO, NRORG, NRVINCULOM, NRTIPOTRANSFER, NRTPMOVTRANSFM, NRESTRUTURAM, DTINIMOVIMENT, DSOBSERVACAO, DTINCLUSAO, NRORGINCLUSAO, CDOPERINCLUSAO, NRTIPOESTRUTURA ) VALUES ( 18, 5862, 18, 1, 1, (SELECT MAX(NRESTRUTURAM) FROM ESTRUTURAM WHERE NRORG = 5862 AND CDINTESTRUTURA = 'est_MATSAUDE' AND NRTIPOESTRUTURA = (SELECT NRTPESTRUTLEGAL FROM GPE_PARAMORG WHERE NRORG = 5862)), '15/12/2025', 'Movimentacao gerada via migracao ' || SYSDATE, SYSDATE, 5862, '000000099991', ( SELECT NRTPESTRUTLEGAL FROM GPE_PARAMORG WHERE NRORG = 5862 ) );</v>
      </c>
      <c r="FE20" s="63" t="str">
        <f t="shared" ref="FE20" ca="1" si="179" xml:space="preserve"> IF( DD20 = "", "", SUBSTITUTE( SUBSTITUTE( SUBSTITUTE( SUBSTITUTE( SUBSTITUTE( $FE$2, "@NRORG@", $CM$2 ), "@NRMOVIMENTACAO_GER@", $DD20 ), "@NRVINCULOM@", $CS20 ), "@ESTRUTGEREN@", $AQ20 ), "@DTADMISSAO@", $DZ20 ) )</f>
        <v>INSERT INTO GPE_MOVIMENTACAO ( NRMOVIMENTACAO, NRORG, NRVINCULOM, NRTIPOTRANSFER, NRTPMOVTRANSFM, NRESTRUTURAM, DTINIMOVIMENT, DSOBSERVACAO, DTINCLUSAO, NRORGINCLUSAO, CDOPERINCLUSAO, NRTIPOESTRUTURA ) VALUES ( 45, 5862, 18, 2, 1, (SELECT MAX(NRESTRUTURAM) FROM ESTRUTURAM WHERE NRORG = 5862 AND CDINTESTRUTURA = 'dep_270000' AND NRTIPOESTRUTURA = (SELECT NRTPESTRUTGEREN FROM GPE_PARAMORG WHERE NRORG = 5862)), '15/12/2025', 'Movimentacao gerada via migracao ' || SYSDATE, SYSDATE, 5862, '000000099991', ( SELECT NRTPESTRUTGEREN FROM GPE_PARAMORG WHERE NRORG = 5862 ) );</v>
      </c>
      <c r="FF20" s="63" t="str">
        <f t="shared" ref="FF20" ca="1" si="180" xml:space="preserve"> IF( DE20 = "", "", SUBSTITUTE( SUBSTITUTE( SUBSTITUTE( SUBSTITUTE( SUBSTITUTE( $FF$2, "@NRORG@", $CM$2 ), "@NRMOVIMENTACAO_SIN@", $DE20 ), "@NRVINCULOM@", $CS20 ), "@ESTRUTSIND@", $BU20 ), "@DTADMISSAO@", $DZ20 ) )</f>
        <v/>
      </c>
      <c r="FG20" s="63" t="str">
        <f t="shared" ref="FG20:FG29" si="181">$FG$2</f>
        <v>COMMIT;</v>
      </c>
      <c r="FI20" s="21" t="str">
        <f ca="1"/>
        <v>não</v>
      </c>
      <c r="FL20" s="21" t="str">
        <f ca="1"/>
        <v>existe</v>
      </c>
      <c r="FP20" s="21" t="str">
        <f ca="1"/>
        <v>existe</v>
      </c>
      <c r="FT20" s="21" t="str">
        <f ca="1"/>
        <v>existe</v>
      </c>
      <c r="FX20" s="21" t="str">
        <f ca="1"/>
        <v>existe</v>
      </c>
      <c r="GB20" s="21">
        <f ca="1"/>
        <v>0</v>
      </c>
      <c r="GD20" s="21" t="str">
        <f ca="1"/>
        <v xml:space="preserve">  - Vínculo (matrícula): 650000-2-E1072, estrutura legal </v>
      </c>
    </row>
    <row r="21" spans="1:186" x14ac:dyDescent="0.3">
      <c r="A21" s="16" t="s">
        <v>763</v>
      </c>
      <c r="B21" s="16" t="s">
        <v>779</v>
      </c>
      <c r="C21" s="16" t="s">
        <v>794</v>
      </c>
      <c r="E21" s="16" t="s">
        <v>630</v>
      </c>
      <c r="F21" s="16" t="s">
        <v>391</v>
      </c>
      <c r="G21" s="16" t="s">
        <v>323</v>
      </c>
      <c r="H21" s="16" t="s">
        <v>795</v>
      </c>
      <c r="I21" s="16" t="s">
        <v>217</v>
      </c>
      <c r="J21" s="16" t="s">
        <v>796</v>
      </c>
      <c r="Q21" s="16" t="s">
        <v>797</v>
      </c>
      <c r="R21" s="16" t="s">
        <v>439</v>
      </c>
      <c r="S21" s="16" t="s">
        <v>396</v>
      </c>
      <c r="T21" s="16" t="s">
        <v>798</v>
      </c>
      <c r="AC21" s="16" t="s">
        <v>273</v>
      </c>
      <c r="AD21" s="16" t="s">
        <v>403</v>
      </c>
      <c r="AE21" t="s">
        <v>396</v>
      </c>
      <c r="AF21" s="16" t="s">
        <v>799</v>
      </c>
      <c r="AG21" s="16" t="s">
        <v>800</v>
      </c>
      <c r="AH21" s="16" t="s">
        <v>218</v>
      </c>
      <c r="AI21" s="16" t="s">
        <v>303</v>
      </c>
      <c r="AM21" s="16" t="s">
        <v>271</v>
      </c>
      <c r="AN21" s="16" t="s">
        <v>270</v>
      </c>
      <c r="AO21" t="s">
        <v>1746</v>
      </c>
      <c r="AP21" s="98" t="s">
        <v>2567</v>
      </c>
      <c r="AQ21" s="16" t="s">
        <v>590</v>
      </c>
      <c r="AR21" s="16" t="s">
        <v>1747</v>
      </c>
      <c r="AS21" s="16" t="s">
        <v>396</v>
      </c>
      <c r="AT21" s="16" t="s">
        <v>404</v>
      </c>
      <c r="AU21" s="16" t="s">
        <v>411</v>
      </c>
      <c r="AV21" s="16" t="s">
        <v>801</v>
      </c>
      <c r="AW21" s="16" t="s">
        <v>802</v>
      </c>
      <c r="AX21" s="16" t="s">
        <v>607</v>
      </c>
      <c r="AY21" s="16" t="s">
        <v>803</v>
      </c>
      <c r="AZ21" s="16" t="s">
        <v>804</v>
      </c>
      <c r="BA21" s="16" t="s">
        <v>270</v>
      </c>
      <c r="BB21" t="s">
        <v>1746</v>
      </c>
      <c r="BF21" s="16" t="s">
        <v>579</v>
      </c>
      <c r="BG21" s="16" t="s">
        <v>304</v>
      </c>
      <c r="BN21" t="s">
        <v>1746</v>
      </c>
      <c r="BP21" s="16" t="s">
        <v>763</v>
      </c>
      <c r="BQ21" s="16" t="s">
        <v>419</v>
      </c>
      <c r="BR21" s="16" t="s">
        <v>419</v>
      </c>
      <c r="BS21" s="16" t="s">
        <v>270</v>
      </c>
      <c r="BT21" s="16" t="s">
        <v>312</v>
      </c>
      <c r="BX21" s="16" t="s">
        <v>774</v>
      </c>
      <c r="CC21" s="16" t="s">
        <v>270</v>
      </c>
      <c r="CD21"/>
      <c r="CE21" s="16" t="s">
        <v>805</v>
      </c>
      <c r="CF21" s="16" t="s">
        <v>419</v>
      </c>
      <c r="CG21" s="16" t="s">
        <v>806</v>
      </c>
      <c r="CH21" s="16" t="s">
        <v>807</v>
      </c>
      <c r="CI21"/>
      <c r="CJ21" s="16" t="s">
        <v>428</v>
      </c>
      <c r="CK21" s="16" t="s">
        <v>808</v>
      </c>
      <c r="CM21" s="79"/>
      <c r="CN21" s="63"/>
      <c r="CO21" s="63"/>
      <c r="CP21" s="85">
        <f t="shared" ref="CP21:CS21" si="182">CP20+1</f>
        <v>222</v>
      </c>
      <c r="CQ21" s="85">
        <f t="shared" si="182"/>
        <v>19</v>
      </c>
      <c r="CR21" s="85">
        <f t="shared" si="182"/>
        <v>19</v>
      </c>
      <c r="CS21" s="85">
        <f t="shared" si="182"/>
        <v>19</v>
      </c>
      <c r="CT21" s="85">
        <f t="shared" ref="CT21:CV21" si="183">CT20+3</f>
        <v>55</v>
      </c>
      <c r="CU21" s="65">
        <f t="shared" si="183"/>
        <v>56</v>
      </c>
      <c r="CV21" s="65">
        <f t="shared" si="183"/>
        <v>57</v>
      </c>
      <c r="CW21" s="85">
        <f t="shared" si="132"/>
        <v>19</v>
      </c>
      <c r="CX21" s="85">
        <f t="shared" ref="CX21:CX29" si="184">IF( COUNTA( AJ21:AL21 ) &lt;&gt; 3, CX20, CX20 + 1 )</f>
        <v>10</v>
      </c>
      <c r="CY21" s="85">
        <f t="shared" ref="CY21:CY29" si="185">IF( TRIM( CD21 ) = "", CY20, CY20 + 1 )</f>
        <v>2</v>
      </c>
      <c r="CZ21" s="85">
        <f t="shared" ref="CZ21:CZ29" si="186">IF( TRIM( CK21 ) = "", CZ20, CZ20 + 1 )</f>
        <v>21</v>
      </c>
      <c r="DA21" s="85">
        <f t="shared" ref="DA21:DA29" si="187">IF( TRIM( CE21 ) = "", DA20, DA20 + 1 )</f>
        <v>48</v>
      </c>
      <c r="DB21" s="85">
        <f t="shared" si="133"/>
        <v>29</v>
      </c>
      <c r="DC21" s="85">
        <f ca="1">IF( OR( AP21 = "", FT21 &lt;&gt; "existe" ), "", LARGE( DC$2:DC20, 1 ) + 1 )</f>
        <v>19</v>
      </c>
      <c r="DD21" s="66">
        <f ca="1">IF( OR( AQ21 = "", FX21 &lt;&gt; "existe" ), "", LARGE( DD$2:DD20, 1 ) + 1 )</f>
        <v>46</v>
      </c>
      <c r="DE21" s="66" t="str">
        <f ca="1">IF( OR( BU21 = "", GB21 &lt;&gt; "existe" ), "", LARGE( DE$2:DE20, 1 ) + 1 )</f>
        <v/>
      </c>
      <c r="DF21" s="67" t="str">
        <f t="shared" ref="DF21:DF29" si="188">TRIM(UPPER(G21))</f>
        <v>NUNCA</v>
      </c>
      <c r="DG21" s="67" t="str">
        <f t="shared" ref="DG21:DG29" si="189">UPPER( TRIM(SUBSTITUTE(SUBSTITUTE(AF21,"'",""),"&amp;","")) )</f>
        <v>TUCURUI</v>
      </c>
      <c r="DH21" s="67">
        <f t="shared" ref="DH21:DH29" si="190">IF(TRIM(AN21) = "", "", TRIM(AN21)*1)</f>
        <v>1</v>
      </c>
      <c r="DI21" s="67" t="str">
        <f t="shared" ref="DI21:DI29" si="191">UPPER( MID( SUBSTITUTE( SUBSTITUTE( SUBSTITUTE(AU21, "Ç", "C"), "Ã", "A"), "Á", "A"), 1, 4) )</f>
        <v>R</v>
      </c>
      <c r="DJ21" s="67" t="str">
        <f t="shared" ref="DJ21:DJ29" si="192">TRIM(SUBSTITUTE(SUBSTITUTE(AV21,"'",""),"&amp;",""))</f>
        <v>EPITACIO PESSOA</v>
      </c>
      <c r="DK21" s="67" t="str">
        <f t="shared" ref="DK21:DK29" si="193">TRIM(SUBSTITUTE(SUBSTITUTE(AX21,"'",""),"&amp;",""))</f>
        <v>GUAMA</v>
      </c>
      <c r="DL21" s="67" t="str">
        <f t="shared" ref="DL21:DL29" si="194">TRIM(SUBSTITUTE(SUBSTITUTE(AY21,"'",""),"&amp;",""))</f>
        <v>CASA 04 FUNDOS</v>
      </c>
      <c r="DM21" s="67" t="str">
        <f t="shared" ref="DM21:DM29" si="195">TRIM(SUBSTITUTE(SUBSTITUTE(AZ21,"'",""),"&amp;",""))</f>
        <v>66075210</v>
      </c>
      <c r="DN21" s="70" t="str">
        <f t="shared" ref="DN21:DN29" si="196">BF21</f>
        <v>0089-7</v>
      </c>
      <c r="DO21" s="70" t="str">
        <f t="shared" ref="DO21:DO29" si="197">TRIM(BQ21)</f>
        <v>0</v>
      </c>
      <c r="DP21" s="70" t="str">
        <f t="shared" ref="DP21:DP29" si="198">TRIM(BR21)</f>
        <v>0</v>
      </c>
      <c r="DQ21" s="64" t="str">
        <f t="shared" ref="DQ21:DQ29" si="199">IFERROR( SUBSTITUTE( SUBSTITUTE( SUBSTITUTE( SUBSTITUTE( AB21, ".", "" ), ",", "" ), "-", "" ), " ", "" ) * 1, "" )</f>
        <v/>
      </c>
      <c r="DR21" s="64" t="str">
        <f t="shared" ref="DR21:DR29" si="200">TRIM(SUBSTITUTE(SUBSTITUTE(Q21,"'",""),"+",""))</f>
        <v>7653934</v>
      </c>
      <c r="DS21" s="64" t="str">
        <f t="shared" ref="DS21:DS29" si="201">TEXT(AJ21,"000")</f>
        <v>000</v>
      </c>
      <c r="DT21" s="64" t="str">
        <f t="shared" ref="DT21:DT29" si="202">UPPER( MID( SUBSTITUTE( TRIM( AK21 ), "-", "" ), 1, 5 ) )</f>
        <v/>
      </c>
      <c r="DU21" s="64" t="str">
        <f t="shared" ref="DU21:DU29" si="203" xml:space="preserve"> UPPER( SUBSTITUTE( TRIM( AL21 ), "-", "" ) )</f>
        <v/>
      </c>
      <c r="DV21" s="60" t="str">
        <f t="shared" ref="DV21:DV29" si="204">TEXT(AR21,"0000")</f>
        <v>0055</v>
      </c>
      <c r="DW21" s="67" t="str">
        <f t="shared" ref="DW21:DW29" si="205">UPPER( TRIM(SUBSTITUTE(SUBSTITUTE(AT21,"'",""),"&amp;","")) )</f>
        <v>BELEM</v>
      </c>
      <c r="DX21" s="60" t="str" cm="1">
        <f t="array" ref="DX21">TEXT( MIG_NORMA.NÚMERICO( J21 ), "00000000000" )</f>
        <v>70035719273</v>
      </c>
      <c r="DY21" s="60" t="str" cm="1">
        <f t="array" ref="DY21">TEXT( MIG_NORMA.NÚMERICO( K21 ), "0000000" )</f>
        <v/>
      </c>
      <c r="DZ21" s="64" t="str">
        <f t="shared" ref="DZ21:DZ29" si="206">IF(TRIM(A21)="","",TEXT(TRIM(A21),"DD/MM/AAAA"))</f>
        <v>15/12/2025</v>
      </c>
      <c r="EA21" s="64" t="str">
        <f t="shared" ref="EA21:EA29" si="207">IF(TRIM(B21)="","",TEXT(TRIM(B21),"DD/MM/AAAA"))</f>
        <v>19/01/2026</v>
      </c>
      <c r="EB21" s="64" t="str">
        <f t="shared" ref="EB21:EB29" si="208">IF(TRIM(AG21)="","",TEXT(TRIM(AG21),"DD/MM/AAAA"))</f>
        <v>13/08/1998</v>
      </c>
      <c r="EC21" s="64" t="str">
        <f t="shared" ref="EC21:EC29" si="209">IF(TRIM(N21)="","",TEXT(TRIM(N21),"DD/MM/AAAA"))</f>
        <v/>
      </c>
      <c r="ED21" s="64" t="str">
        <f t="shared" ref="ED21:ED29" si="210">IF(TRIM(P21)="","",TEXT(TRIM(P21),"DD/MM/AAAA"))</f>
        <v/>
      </c>
      <c r="EE21" s="64" t="str">
        <f t="shared" ref="EE21:EE29" si="211">IF(TRIM(Y21)="","",TEXT(TRIM(Y21),"DD/MM/AAAA"))</f>
        <v/>
      </c>
      <c r="EF21" s="64" t="str">
        <f t="shared" ref="EF21:EF29" si="212">IF(TRIM(T21)="","",TEXT(TRIM(T21),"DD/MM/AAAA"))</f>
        <v>26/04/2024</v>
      </c>
      <c r="EG21" s="64" t="str">
        <f t="shared" ref="EG21:EG29" si="213">IF(TRIM(BC21)="","",TEXT(TRIM(BC21),"DD/MM/AAAA"))</f>
        <v/>
      </c>
      <c r="EH21" s="64" t="str">
        <f t="shared" ref="EH21:EH29" si="214">IF(TRIM(BD21)="","",TEXT(TRIM(BD21),"DD/MM/AAAA"))</f>
        <v/>
      </c>
      <c r="EI21" s="68" t="str">
        <f t="shared" ref="EI21:EI29" si="215">IF(TRIM(BE21)="","",TEXT(TRIM(BE21),"DD/MM/AAAA"))</f>
        <v/>
      </c>
      <c r="EJ21" s="64" t="str">
        <f t="shared" ref="EJ21:EJ29" si="216">IF(TRIM(BX21)="","",TEXT(TRIM(BX21),"DD/MM/AAAA"))</f>
        <v>15/12/2026</v>
      </c>
      <c r="EK21" s="64" t="str">
        <f t="shared" ref="EK21:EK29" si="217">IF(TRIM(BY21)="","",TEXT(TRIM(BY21),"DD/MM/AAAA"))</f>
        <v/>
      </c>
      <c r="EL21" s="64" t="str">
        <f t="shared" ref="EL21:EL29" si="218">IF(TRIM(BK21)="","",TEXT(TRIM(BK21),"DD/MM/AAAA"))</f>
        <v/>
      </c>
      <c r="EM21" s="64" t="str">
        <f t="shared" ref="EM21:EM29" si="219">IF(TRIM(BP21)="","",TEXT(TRIM(BP21),"DD/MM/AAAA"))</f>
        <v>15/12/2025</v>
      </c>
      <c r="EN21" s="64" t="str">
        <f t="shared" ref="EN21:EN29" si="220">IF(EA21="",DZ21,EA21)</f>
        <v>19/01/2026</v>
      </c>
      <c r="EO21" s="64" t="str">
        <f t="shared" ref="EO21:EO29" si="221">IF(TRIM(BM21)="","",TEXT(TRIM(BM21),"DD/MM/AAAA"))</f>
        <v/>
      </c>
      <c r="EP21" s="64" t="str">
        <f t="shared" ref="EP21:EP29" si="222">MID(TRIM(AA21),1,20)</f>
        <v/>
      </c>
      <c r="EQ21" s="63" t="str">
        <f t="shared" ref="EQ21:EQ29" si="223">SUBSTITUTE(SUBSTITUTE(SUBSTITUTE(SUBSTITUTE(SUBSTITUTE(SUBSTITUTE(SUBSTITUTE($EQ$2,"@NRORG@",$CM$2),$CP$1,CP21),$H$1,H21),$EB$1,EB21),$J$1,J21),$CP$1,CP21),$DX$1,DX21)</f>
        <v>INSERT INTO PARCNEGOCIO ( NRPARCNEGOCIO, NRORG, NMPRINCIPALPARC, NMSECUNDARIPARC, DTNASCIFUNDPARC, NRINSCRICAOPARC, IDATIVO, DTINCLUSAO, NRORGINCLUSAO, CDOPERINCLUSAO, CDTIPOPARCPRINCIPAL, CDTIPOINSCRICAO, IDPESSOAFISICA, IDINSTITUICAO, IDPARCFUNDIDO ) VALUES ( 222, 5862, 'THAYSA DE CASSIA VILHENA LOPES', 'THAYSA DE CASSIA VILHENA LOPES', '13/08/1998', '70035719273', 'S', SYSDATE, 5862, '000000099991', 'PESSOA', 'CPF', 'S', 'N', 'N' );</v>
      </c>
      <c r="ER21" s="63" t="str">
        <f t="shared" ref="ER21:ER29" si="224">SUBSTITUTE(SUBSTITUTE(SUBSTITUTE($ER$2,"@NRORG@",$CM$2),$CQ$1,CQ21),$CP$1,CP21)</f>
        <v>INSERT INTO GPE_PESSOA ( NRPESSOA, NRORG, NRPARCNEGOCIO, DTINCLUSAO, NRORGINCLUSAO, CDOPERINCLUSAO ) VALUES ( 19, 5862, 222, SYSDATE, 5862, '000000099991' );</v>
      </c>
      <c r="ES21"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( 19, 19, 5862, '01/01/2000', 'THAYSA DE CASSIA VILHENA LOPES', 'C', '70035719273', '', '', '', '', '', '', '', '', '', '', '', '', (SELECT NRCATMILITARPE FROM GPE_CATMILITARPE WHERE NRCATMILITARPE = ''), '', SYSDATE, 5862, '000000099991', '5', '1058', 'PA', (SELECT MAX(CDMUNICIPIO) FROM MUNICIPIO WHERE NMMUNICIPIO = 'TUCURUI'), '13/08/1998', 'F', '7653934', 'PC', 'PA', '26/04/2024', '1', '7' , '1');</v>
      </c>
      <c r="ET21" s="63" t="str">
        <f t="shared" ref="ET21:ET29" si="225">SUBSTITUTE(SUBSTITUTE(SUBSTITUTE(SUBSTITUTE(SUBSTITUTE(SUBSTITUTE(SUBSTITUTE(SUBSTITUTE(SUBSTITUTE(SUBSTITUTE(SUBSTITUTE(SUBSTITUTE(SUBSTITUTE(SUBSTITUTE(SUBSTITUTE(SUBSTITUTE(SUBSTITUTE(SUBSTITUTE(SUBSTITUTE(SUBSTITUTE(SUBSTITUTE($ET$2,"@NRORG@",$CM$2),$CS$1,CS21),$CQ$1,CQ21),$C$1,C21),$DZ$1,DZ21),$EA$1,EA21),$BA$1,BA21),$BN$1,BN21),$BO$1,BO21),$BB$1,BB21),$EG$1,EG21),$EH$1,EH21),$EI$1,EI21),$H$1,H21),$BI$1,BI21),$BJ$1,BJ21),$EL$1,EL21),$BV$1,BV21),$BW$1,BW21),$EJ$1,EJ21),$EK$1,EK21)</f>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(19, 19, 5862, '270000-2-E1077', '15/12/2025', '19/01/2026', SYSDATE, 5862, '000000099991', '1', '', '', '', '', '', '', 'THAYSA DE CASSIA VILHENA LOPES', '', '', '', '', '', '15/12/2026', '');</v>
      </c>
      <c r="EU21"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(55, 19, '', (SELECT MAX(NROCUPACAOM) FROM GPE_OCUPACAOH WHERE NRORG = 5862 AND CDINTEGRACAO = '0089-7'), (SELECT MAX(NROCUPACAOM) FROM GPE_OCUPACAOH WHERE NRORG = 5862 AND CDINTEGRACAO = '0089-7'), 5862, '01/01/2000', 'NUNCA', SYSDATE, 5862, '000000099991', '0', '0', '15/12/2025',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'000011') );</v>
      </c>
      <c r="EV21" s="63" t="str">
        <f t="shared" ref="EV21:EV29" si="226">SUBSTITUTE(SUBSTITUTE(SUBSTITUTE(SUBSTITUTE(SUBSTITUTE($EV$2,"@NRORG@",$CM$2),$CT$1,CT21),$CU$1,CU21),$CV$1,CV21),$CN$1,$CN$2)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56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55;</v>
      </c>
      <c r="EW21" s="63" t="str">
        <f t="shared" ref="EW21:EW29" si="227">SUBSTITUTE(SUBSTITUTE(SUBSTITUTE(SUBSTITUTE(SUBSTITUTE($EW$2,"@NRORG@",$CM$2),$CT$1,CT21),$CV$1,CV21),$CV$1,CV21),$CO$1,$CO$2)</f>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57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55;</v>
      </c>
      <c r="EX21" s="63" t="str">
        <f t="shared" si="59"/>
        <v>INSERT INTO GPE_ALTESITUFUNC ( NRALTESITUFUNC, NRORG, NRSITUFUNCM, NRVINCULOM, DTINISITUFUNC, DTINCLUSAO, NRORGINCLUSAO, CDOPERINCLUSAO ) VALUES ( 19, 5862, (CASE WHEN '' IS NOT NULL THEN '' WHEN '19/01/2026' IS NULL THEN '1' ELSE '13' END), 19, '19/01/2026', SYSDATE, 5862, '000000099991' );</v>
      </c>
      <c r="EY21" s="63" t="str">
        <f t="shared" ref="EY21:EY29" si="228">IF(COUNTA(AJ21:AL21)&lt;&gt;3,"",SUBSTITUTE(SUBSTITUTE(SUBSTITUTE(SUBSTITUTE(SUBSTITUTE(SUBSTITUTE(SUBSTITUTE($EY$2,"@NRORG@",$CM$2),$CX$1,CX21),$CP$1,CP21),$DS$1,DS21),$DT$1,DT21),$DU$1,DU21),$AM$1,AM21))</f>
        <v/>
      </c>
      <c r="EZ21" s="63" t="str">
        <f t="shared" ref="EZ21:EZ29" si="229">IF(CD21="","",SUBSTITUTE(SUBSTITUTE(SUBSTITUTE(SUBSTITUTE(SUBSTITUTE($EZ$2,"@NRORG@",$CM$2),$CY$1,CY21),$CP$1,CP21),$CD$1,CD21),$CI$1,TRIM(CI21)))</f>
        <v/>
      </c>
      <c r="FA21" s="63" t="str">
        <f t="shared" si="61"/>
        <v>INSERT INTO COMUNICAPARC ( NRCOMUNICAPARC, NRPARCNEGOCIO, CDFORMACOMU, CDPREFIXCOMUPARC, CDCOMUNICAPARC, NRORG, IDATIVO, DTINCLUSAO, NRORGINCLUSAO, CDOPERINCLUSAO ) VALUES ( 21, 222, '02', '91', '981737563', 5862, 'S', SYSDATE, 5862, '000000099991' );</v>
      </c>
      <c r="FB21" s="63" t="str">
        <f t="shared" si="62"/>
        <v>INSERT INTO COMUNICAPARC ( NRCOMUNICAPARC, NRPARCNEGOCIO, CDFORMACOMU, CDCOMUNICAPARC, NRORG, IDATIVO, DTINCLUSAO, NRORGINCLUSAO, CDOPERINCLUSAO ) VALUES ( 48, 222, '05', 'vthaysa59@gmail.com', 5862, 'S', SYSDATE, 5862, '000000099991' );</v>
      </c>
      <c r="FC21" s="63" t="str">
        <f t="shared" ref="FC21:FC29" si="230">IF(AV21="","",SUBSTITUTE(SUBSTITUTE(SUBSTITUTE(SUBSTITUTE(SUBSTITUTE(SUBSTITUTE(SUBSTITUTE(SUBSTITUTE(SUBSTITUTE(SUBSTITUTE(SUBSTITUTE(SUBSTITUTE($FC$2,"@NRORG@",$CM$2),$DB$1,DB21),$CP$1,CP21),$DV$1,DV21),$DW$1,DW21),$DI$1,DI21),$DK$1,DK21),$DL$1,DL21),$DM$1,DM21),$DJ$1,DJ21),$AW$1,SUBSTITUTE(TRIM(AW21),"'","")),$AS$1,AS21))</f>
        <v>INSERT INTO ENDERECOPARC ( NRENDERECOPARC, NRPARCNEGOCIO, CDTIPOENDERECO, NRORG, IDATIVO, DTINCLUSAO, NRORGINCLUSAO, CDOPERINCLUSAO, CDPAIS, CDMUNICIPIO, CDLOGRADOURO, NMBAIRROENDERECO, DSCOMPLEENDERECO, NRCEPENDERECO, DSENDERECO, NRIMOVELENDERECO, SGESTADO ) VALUES ( 29, 222, 'PRINCIPAL', 5862, 'S', SYSDATE, 5862, '000000099991', '0055', ( SELECT MAX(CDMUNICIPIO) FROM MUNICIPIO WHERE NMMUNICIPIO = 'BELEM' AND SGESTADO = 'PA' ), 'R', 'GUAMA', 'CASA 04 FUNDOS', '66075210', 'EPITACIO PESSOA', '254', 'PA');</v>
      </c>
      <c r="FD21" s="63" t="str">
        <f t="shared" ref="FD21:FD29" ca="1" si="231" xml:space="preserve"> IF( DC21 = "", "", SUBSTITUTE( SUBSTITUTE( SUBSTITUTE( SUBSTITUTE( SUBSTITUTE( $FD$2, "@NRORG@", $CM$2 ), "@NRMOVIMENTACAO_LEG@", $DC21 ), "@NRVINCULOM@", $CS21 ), "@ESTRUTLEGAL@", $AP21 ), "@DTADMISSAO@", $DZ21 ) )</f>
        <v>INSERT INTO GPE_MOVIMENTACAO ( NRMOVIMENTACAO, NRORG, NRVINCULOM, NRTIPOTRANSFER, NRTPMOVTRANSFM, NRESTRUTURAM, DTINIMOVIMENT, DSOBSERVACAO, DTINCLUSAO, NRORGINCLUSAO, CDOPERINCLUSAO, NRTIPOESTRUTURA ) VALUES ( 19, 5862, 19, 1, 1, (SELECT MAX(NRESTRUTURAM) FROM ESTRUTURAM WHERE NRORG = 5862 AND CDINTESTRUTURA = 'est_MATSAUDE' AND NRTIPOESTRUTURA = (SELECT NRTPESTRUTLEGAL FROM GPE_PARAMORG WHERE NRORG = 5862)), '15/12/2025', 'Movimentacao gerada via migracao ' || SYSDATE, SYSDATE, 5862, '000000099991', ( SELECT NRTPESTRUTLEGAL FROM GPE_PARAMORG WHERE NRORG = 5862 ) );</v>
      </c>
      <c r="FE21" s="63" t="str">
        <f t="shared" ref="FE21:FE29" ca="1" si="232" xml:space="preserve"> IF( DD21 = "", "", SUBSTITUTE( SUBSTITUTE( SUBSTITUTE( SUBSTITUTE( SUBSTITUTE( $FE$2, "@NRORG@", $CM$2 ), "@NRMOVIMENTACAO_GER@", $DD21 ), "@NRVINCULOM@", $CS21 ), "@ESTRUTGEREN@", $AQ21 ), "@DTADMISSAO@", $DZ21 ) )</f>
        <v>INSERT INTO GPE_MOVIMENTACAO ( NRMOVIMENTACAO, NRORG, NRVINCULOM, NRTIPOTRANSFER, NRTPMOVTRANSFM, NRESTRUTURAM, DTINIMOVIMENT, DSOBSERVACAO, DTINCLUSAO, NRORGINCLUSAO, CDOPERINCLUSAO, NRTIPOESTRUTURA ) VALUES ( 46, 5862, 19, 2, 1, (SELECT MAX(NRESTRUTURAM) FROM ESTRUTURAM WHERE NRORG = 5862 AND CDINTESTRUTURA = 'dep_270000' AND NRTIPOESTRUTURA = (SELECT NRTPESTRUTGEREN FROM GPE_PARAMORG WHERE NRORG = 5862)), '15/12/2025', 'Movimentacao gerada via migracao ' || SYSDATE, SYSDATE, 5862, '000000099991', ( SELECT NRTPESTRUTGEREN FROM GPE_PARAMORG WHERE NRORG = 5862 ) );</v>
      </c>
      <c r="FF21" s="63" t="str">
        <f t="shared" ref="FF21:FF29" ca="1" si="233" xml:space="preserve"> IF( DE21 = "", "", SUBSTITUTE( SUBSTITUTE( SUBSTITUTE( SUBSTITUTE( SUBSTITUTE( $FF$2, "@NRORG@", $CM$2 ), "@NRMOVIMENTACAO_SIN@", $DE21 ), "@NRVINCULOM@", $CS21 ), "@ESTRUTSIND@", $BU21 ), "@DTADMISSAO@", $DZ21 ) )</f>
        <v/>
      </c>
      <c r="FG21" s="63" t="str">
        <f t="shared" si="181"/>
        <v>COMMIT;</v>
      </c>
      <c r="FI21" s="21" t="str">
        <f ca="1"/>
        <v>não</v>
      </c>
      <c r="FL21" s="21" t="str">
        <f ca="1"/>
        <v>existe</v>
      </c>
      <c r="FP21" s="21" t="str">
        <f ca="1"/>
        <v>existe</v>
      </c>
      <c r="FT21" s="21" t="str">
        <f ca="1"/>
        <v>existe</v>
      </c>
      <c r="FX21" s="21" t="str">
        <f ca="1"/>
        <v>existe</v>
      </c>
      <c r="GB21" s="21">
        <f ca="1"/>
        <v>0</v>
      </c>
      <c r="GD21" s="21" t="str">
        <f ca="1"/>
        <v xml:space="preserve">  - Vínculo (matrícula): 650000-2-E1080, estrutura legal </v>
      </c>
    </row>
    <row r="22" spans="1:186" x14ac:dyDescent="0.3">
      <c r="A22" s="16" t="s">
        <v>763</v>
      </c>
      <c r="B22" s="16" t="s">
        <v>809</v>
      </c>
      <c r="C22" s="16" t="s">
        <v>810</v>
      </c>
      <c r="E22" s="16" t="s">
        <v>630</v>
      </c>
      <c r="F22" s="16" t="s">
        <v>391</v>
      </c>
      <c r="G22" s="16" t="s">
        <v>323</v>
      </c>
      <c r="H22" s="16" t="s">
        <v>811</v>
      </c>
      <c r="I22" s="16" t="s">
        <v>224</v>
      </c>
      <c r="J22" s="16" t="s">
        <v>812</v>
      </c>
      <c r="Q22" s="16" t="s">
        <v>813</v>
      </c>
      <c r="R22" s="16" t="s">
        <v>439</v>
      </c>
      <c r="S22" s="16" t="s">
        <v>396</v>
      </c>
      <c r="T22" s="16" t="s">
        <v>814</v>
      </c>
      <c r="AC22" s="16" t="s">
        <v>273</v>
      </c>
      <c r="AD22" s="16" t="s">
        <v>403</v>
      </c>
      <c r="AE22" t="s">
        <v>396</v>
      </c>
      <c r="AF22" s="16" t="s">
        <v>815</v>
      </c>
      <c r="AG22" s="16" t="s">
        <v>816</v>
      </c>
      <c r="AH22" s="16" t="s">
        <v>218</v>
      </c>
      <c r="AI22" s="16" t="s">
        <v>303</v>
      </c>
      <c r="AM22" s="16" t="s">
        <v>271</v>
      </c>
      <c r="AN22" s="16" t="s">
        <v>270</v>
      </c>
      <c r="AO22" t="s">
        <v>1746</v>
      </c>
      <c r="AP22" s="98" t="s">
        <v>2567</v>
      </c>
      <c r="AQ22" s="16" t="s">
        <v>637</v>
      </c>
      <c r="AR22" s="16" t="s">
        <v>1747</v>
      </c>
      <c r="AS22" s="16" t="s">
        <v>396</v>
      </c>
      <c r="AT22" s="16" t="s">
        <v>404</v>
      </c>
      <c r="AU22" s="16" t="s">
        <v>604</v>
      </c>
      <c r="AV22" s="16" t="s">
        <v>817</v>
      </c>
      <c r="AW22" s="16" t="s">
        <v>818</v>
      </c>
      <c r="AX22" s="16" t="s">
        <v>819</v>
      </c>
      <c r="AY22" s="16" t="s">
        <v>820</v>
      </c>
      <c r="AZ22" s="16" t="s">
        <v>821</v>
      </c>
      <c r="BA22" s="16" t="s">
        <v>270</v>
      </c>
      <c r="BB22" t="s">
        <v>1746</v>
      </c>
      <c r="BF22" s="16" t="s">
        <v>579</v>
      </c>
      <c r="BG22" s="16" t="s">
        <v>304</v>
      </c>
      <c r="BN22" t="s">
        <v>1746</v>
      </c>
      <c r="BP22" s="16" t="s">
        <v>763</v>
      </c>
      <c r="BQ22" s="16" t="s">
        <v>419</v>
      </c>
      <c r="BR22" s="16" t="s">
        <v>419</v>
      </c>
      <c r="BS22" s="16" t="s">
        <v>270</v>
      </c>
      <c r="BT22" s="16" t="s">
        <v>312</v>
      </c>
      <c r="BX22" s="16" t="s">
        <v>774</v>
      </c>
      <c r="CC22" s="16" t="s">
        <v>270</v>
      </c>
      <c r="CD22"/>
      <c r="CE22" s="16" t="s">
        <v>822</v>
      </c>
      <c r="CF22" s="16" t="s">
        <v>419</v>
      </c>
      <c r="CG22" s="16" t="s">
        <v>823</v>
      </c>
      <c r="CH22" s="16" t="s">
        <v>824</v>
      </c>
      <c r="CI22"/>
      <c r="CJ22" s="16" t="s">
        <v>428</v>
      </c>
      <c r="CK22" s="16" t="s">
        <v>825</v>
      </c>
      <c r="CM22" s="79"/>
      <c r="CN22" s="63"/>
      <c r="CO22" s="63"/>
      <c r="CP22" s="85">
        <f t="shared" ref="CP22:CS22" si="234">CP21+1</f>
        <v>223</v>
      </c>
      <c r="CQ22" s="85">
        <f t="shared" si="234"/>
        <v>20</v>
      </c>
      <c r="CR22" s="85">
        <f t="shared" si="234"/>
        <v>20</v>
      </c>
      <c r="CS22" s="85">
        <f t="shared" si="234"/>
        <v>20</v>
      </c>
      <c r="CT22" s="85">
        <f t="shared" ref="CT22:CV22" si="235">CT21+3</f>
        <v>58</v>
      </c>
      <c r="CU22" s="65">
        <f t="shared" si="235"/>
        <v>59</v>
      </c>
      <c r="CV22" s="65">
        <f t="shared" si="235"/>
        <v>60</v>
      </c>
      <c r="CW22" s="85">
        <f t="shared" si="132"/>
        <v>20</v>
      </c>
      <c r="CX22" s="85">
        <f t="shared" si="184"/>
        <v>10</v>
      </c>
      <c r="CY22" s="85">
        <f t="shared" si="185"/>
        <v>2</v>
      </c>
      <c r="CZ22" s="85">
        <f t="shared" si="186"/>
        <v>22</v>
      </c>
      <c r="DA22" s="85">
        <f t="shared" si="187"/>
        <v>49</v>
      </c>
      <c r="DB22" s="85">
        <f t="shared" si="133"/>
        <v>30</v>
      </c>
      <c r="DC22" s="85">
        <f ca="1">IF( OR( AP22 = "", FT22 &lt;&gt; "existe" ), "", LARGE( DC$2:DC21, 1 ) + 1 )</f>
        <v>20</v>
      </c>
      <c r="DD22" s="66">
        <f ca="1">IF( OR( AQ22 = "", FX22 &lt;&gt; "existe" ), "", LARGE( DD$2:DD21, 1 ) + 1 )</f>
        <v>47</v>
      </c>
      <c r="DE22" s="66" t="str">
        <f ca="1">IF( OR( BU22 = "", GB22 &lt;&gt; "existe" ), "", LARGE( DE$2:DE21, 1 ) + 1 )</f>
        <v/>
      </c>
      <c r="DF22" s="67" t="str">
        <f t="shared" si="188"/>
        <v>NUNCA</v>
      </c>
      <c r="DG22" s="67" t="str">
        <f t="shared" si="189"/>
        <v>SANTO ANTONIO DO TAUA</v>
      </c>
      <c r="DH22" s="67">
        <f t="shared" si="190"/>
        <v>1</v>
      </c>
      <c r="DI22" s="67" t="str">
        <f t="shared" si="191"/>
        <v>PSG</v>
      </c>
      <c r="DJ22" s="67" t="str">
        <f t="shared" si="192"/>
        <v>NOVO CONTINENTE I</v>
      </c>
      <c r="DK22" s="67" t="str">
        <f t="shared" si="193"/>
        <v>PRATINHA</v>
      </c>
      <c r="DL22" s="67" t="str">
        <f t="shared" si="194"/>
        <v>CASA B FUNDOS</v>
      </c>
      <c r="DM22" s="67" t="str">
        <f t="shared" si="195"/>
        <v>66816670</v>
      </c>
      <c r="DN22" s="70" t="str">
        <f t="shared" si="196"/>
        <v>0089-7</v>
      </c>
      <c r="DO22" s="70" t="str">
        <f t="shared" si="197"/>
        <v>0</v>
      </c>
      <c r="DP22" s="70" t="str">
        <f t="shared" si="198"/>
        <v>0</v>
      </c>
      <c r="DQ22" s="64" t="str">
        <f t="shared" si="199"/>
        <v/>
      </c>
      <c r="DR22" s="64" t="str">
        <f t="shared" si="200"/>
        <v>6383872</v>
      </c>
      <c r="DS22" s="64" t="str">
        <f t="shared" si="201"/>
        <v>000</v>
      </c>
      <c r="DT22" s="64" t="str">
        <f t="shared" si="202"/>
        <v/>
      </c>
      <c r="DU22" s="64" t="str">
        <f t="shared" si="203"/>
        <v/>
      </c>
      <c r="DV22" s="60" t="str">
        <f t="shared" si="204"/>
        <v>0055</v>
      </c>
      <c r="DW22" s="67" t="str">
        <f t="shared" si="205"/>
        <v>BELEM</v>
      </c>
      <c r="DX22" s="60" t="str" cm="1">
        <f t="array" ref="DX22">TEXT( MIG_NORMA.NÚMERICO( J22 ), "00000000000" )</f>
        <v>01141381257</v>
      </c>
      <c r="DY22" s="60" t="str" cm="1">
        <f t="array" ref="DY22">TEXT( MIG_NORMA.NÚMERICO( K22 ), "0000000" )</f>
        <v/>
      </c>
      <c r="DZ22" s="64" t="str">
        <f t="shared" si="206"/>
        <v>15/12/2025</v>
      </c>
      <c r="EA22" s="64" t="str">
        <f t="shared" si="207"/>
        <v>31/01/2026</v>
      </c>
      <c r="EB22" s="64" t="str">
        <f t="shared" si="208"/>
        <v>30/04/1991</v>
      </c>
      <c r="EC22" s="64" t="str">
        <f t="shared" si="209"/>
        <v/>
      </c>
      <c r="ED22" s="64" t="str">
        <f t="shared" si="210"/>
        <v/>
      </c>
      <c r="EE22" s="64" t="str">
        <f t="shared" si="211"/>
        <v/>
      </c>
      <c r="EF22" s="64" t="str">
        <f t="shared" si="212"/>
        <v>01/07/2019</v>
      </c>
      <c r="EG22" s="64" t="str">
        <f t="shared" si="213"/>
        <v/>
      </c>
      <c r="EH22" s="64" t="str">
        <f t="shared" si="214"/>
        <v/>
      </c>
      <c r="EI22" s="68" t="str">
        <f t="shared" si="215"/>
        <v/>
      </c>
      <c r="EJ22" s="64" t="str">
        <f t="shared" si="216"/>
        <v>15/12/2026</v>
      </c>
      <c r="EK22" s="64" t="str">
        <f t="shared" si="217"/>
        <v/>
      </c>
      <c r="EL22" s="64" t="str">
        <f t="shared" si="218"/>
        <v/>
      </c>
      <c r="EM22" s="64" t="str">
        <f t="shared" si="219"/>
        <v>15/12/2025</v>
      </c>
      <c r="EN22" s="64" t="str">
        <f t="shared" si="220"/>
        <v>31/01/2026</v>
      </c>
      <c r="EO22" s="64" t="str">
        <f t="shared" si="221"/>
        <v/>
      </c>
      <c r="EP22" s="64" t="str">
        <f t="shared" si="222"/>
        <v/>
      </c>
      <c r="EQ22" s="63" t="str">
        <f t="shared" si="223"/>
        <v>INSERT INTO PARCNEGOCIO ( NRPARCNEGOCIO, NRORG, NMPRINCIPALPARC, NMSECUNDARIPARC, DTNASCIFUNDPARC, NRINSCRICAOPARC, IDATIVO, DTINCLUSAO, NRORGINCLUSAO, CDOPERINCLUSAO, CDTIPOPARCPRINCIPAL, CDTIPOINSCRICAO, IDPESSOAFISICA, IDINSTITUICAO, IDPARCFUNDIDO ) VALUES ( 223, 5862, 'JOSIELZA DOS SANTOS CARVALHO', 'JOSIELZA DOS SANTOS CARVALHO', '30/04/1991', '01141381257', 'S', SYSDATE, 5862, '000000099991', 'PESSOA', 'CPF', 'S', 'N', 'N' );</v>
      </c>
      <c r="ER22" s="63" t="str">
        <f t="shared" si="224"/>
        <v>INSERT INTO GPE_PESSOA ( NRPESSOA, NRORG, NRPARCNEGOCIO, DTINCLUSAO, NRORGINCLUSAO, CDOPERINCLUSAO ) VALUES ( 20, 5862, 223, SYSDATE, 5862, '000000099991' );</v>
      </c>
      <c r="ES22"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( 20, 20, 5862, '01/01/2000', 'JOSIELZA DOS SANTOS CARVALHO', 'S', '01141381257', '', '', '', '', '', '', '', '', '', '', '', '', (SELECT NRCATMILITARPE FROM GPE_CATMILITARPE WHERE NRCATMILITARPE = ''), '', SYSDATE, 5862, '000000099991', '5', '1058', 'PA', (SELECT MAX(CDMUNICIPIO) FROM MUNICIPIO WHERE NMMUNICIPIO = 'SANTO ANTONIO DO TAUA'), '30/04/1991', 'F', '6383872', 'PC', 'PA', '01/07/2019', '1', '7' , '1');</v>
      </c>
      <c r="ET22"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(20, 20, 5862, '280000-2-E1076', '15/12/2025', '31/01/2026', SYSDATE, 5862, '000000099991', '1', '', '', '', '', '', '', 'JOSIELZA DOS SANTOS CARVALHO', '', '', '', '', '', '15/12/2026', '');</v>
      </c>
      <c r="EU22"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(58, 20, '', (SELECT MAX(NROCUPACAOM) FROM GPE_OCUPACAOH WHERE NRORG = 5862 AND CDINTEGRACAO = '0089-7'), (SELECT MAX(NROCUPACAOM) FROM GPE_OCUPACAOH WHERE NRORG = 5862 AND CDINTEGRACAO = '0089-7'), 5862, '01/01/2000', 'NUNCA', SYSDATE, 5862, '000000099991', '0', '0', '15/12/2025', 'SAL1', '', (SELECT MAX(NRESTRUTURAM) FROM ESTRUTURAM WHERE NRORG = 5862 AND CDINTESTRUTURA = 'est_MATSAUDE'), NVL((SELECT MAX(NRESTRUTURAM) FROM ESTRUTURAM WHERE NRORG = 5862 AND CDINTESTRUTURA = 'dep_280000'), 999992), NVL((SELECT MAX(NRESTRUTURAM) FROM ESTRUTURAM WHERE NRORG = 5862 AND CDINTESTRUTURA = ''), 999993), '1', 'UNICO', '', 2, '', 'N', (SELECT MAX(NRESCALATRABM) FROM GPE_ESCALATRABH WHERE NRORG = 5862 AND NRESCALATRABM = '000011') );</v>
      </c>
      <c r="EV22"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59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58;</v>
      </c>
      <c r="EW22"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60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58;</v>
      </c>
      <c r="EX22" s="63" t="str">
        <f t="shared" si="59"/>
        <v>INSERT INTO GPE_ALTESITUFUNC ( NRALTESITUFUNC, NRORG, NRSITUFUNCM, NRVINCULOM, DTINISITUFUNC, DTINCLUSAO, NRORGINCLUSAO, CDOPERINCLUSAO ) VALUES ( 20, 5862, (CASE WHEN '' IS NOT NULL THEN '' WHEN '31/01/2026' IS NULL THEN '1' ELSE '13' END), 20, '31/01/2026', SYSDATE, 5862, '000000099991' );</v>
      </c>
      <c r="EY22" s="63" t="str">
        <f t="shared" si="228"/>
        <v/>
      </c>
      <c r="EZ22" s="63" t="str">
        <f t="shared" si="229"/>
        <v/>
      </c>
      <c r="FA22" s="63" t="str">
        <f t="shared" si="61"/>
        <v>INSERT INTO COMUNICAPARC ( NRCOMUNICAPARC, NRPARCNEGOCIO, CDFORMACOMU, CDPREFIXCOMUPARC, CDCOMUNICAPARC, NRORG, IDATIVO, DTINCLUSAO, NRORGINCLUSAO, CDOPERINCLUSAO ) VALUES ( 22, 223, '02', '91', '992720195', 5862, 'S', SYSDATE, 5862, '000000099991' );</v>
      </c>
      <c r="FB22" s="63" t="str">
        <f t="shared" si="62"/>
        <v>INSERT INTO COMUNICAPARC ( NRCOMUNICAPARC, NRPARCNEGOCIO, CDFORMACOMU, CDCOMUNICAPARC, NRORG, IDATIVO, DTINCLUSAO, NRORGINCLUSAO, CDOPERINCLUSAO ) VALUES ( 49, 223, '05', 'josyc1296@gmail.com', 5862, 'S', SYSDATE, 5862, '000000099991' );</v>
      </c>
      <c r="FC22" s="63" t="str">
        <f t="shared" si="230"/>
        <v>INSERT INTO ENDERECOPARC ( NRENDERECOPARC, NRPARCNEGOCIO, CDTIPOENDERECO, NRORG, IDATIVO, DTINCLUSAO, NRORGINCLUSAO, CDOPERINCLUSAO, CDPAIS, CDMUNICIPIO, CDLOGRADOURO, NMBAIRROENDERECO, DSCOMPLEENDERECO, NRCEPENDERECO, DSENDERECO, NRIMOVELENDERECO, SGESTADO ) VALUES ( 30, 223, 'PRINCIPAL', 5862, 'S', SYSDATE, 5862, '000000099991', '0055', ( SELECT MAX(CDMUNICIPIO) FROM MUNICIPIO WHERE NMMUNICIPIO = 'BELEM' AND SGESTADO = 'PA' ), 'PSG', 'PRATINHA', 'CASA B FUNDOS', '66816670', 'NOVO CONTINENTE I', '25', 'PA');</v>
      </c>
      <c r="FD22" s="63" t="str">
        <f t="shared" ca="1" si="231"/>
        <v>INSERT INTO GPE_MOVIMENTACAO ( NRMOVIMENTACAO, NRORG, NRVINCULOM, NRTIPOTRANSFER, NRTPMOVTRANSFM, NRESTRUTURAM, DTINIMOVIMENT, DSOBSERVACAO, DTINCLUSAO, NRORGINCLUSAO, CDOPERINCLUSAO, NRTIPOESTRUTURA ) VALUES ( 20, 5862, 20, 1, 1, (SELECT MAX(NRESTRUTURAM) FROM ESTRUTURAM WHERE NRORG = 5862 AND CDINTESTRUTURA = 'est_MATSAUDE' AND NRTIPOESTRUTURA = (SELECT NRTPESTRUTLEGAL FROM GPE_PARAMORG WHERE NRORG = 5862)), '15/12/2025', 'Movimentacao gerada via migracao ' || SYSDATE, SYSDATE, 5862, '000000099991', ( SELECT NRTPESTRUTLEGAL FROM GPE_PARAMORG WHERE NRORG = 5862 ) );</v>
      </c>
      <c r="FE22" s="63" t="str">
        <f t="shared" ca="1" si="232"/>
        <v>INSERT INTO GPE_MOVIMENTACAO ( NRMOVIMENTACAO, NRORG, NRVINCULOM, NRTIPOTRANSFER, NRTPMOVTRANSFM, NRESTRUTURAM, DTINIMOVIMENT, DSOBSERVACAO, DTINCLUSAO, NRORGINCLUSAO, CDOPERINCLUSAO, NRTIPOESTRUTURA ) VALUES ( 47, 5862, 20, 2, 1, (SELECT MAX(NRESTRUTURAM) FROM ESTRUTURAM WHERE NRORG = 5862 AND CDINTESTRUTURA = 'dep_280000' AND NRTIPOESTRUTURA = (SELECT NRTPESTRUTGEREN FROM GPE_PARAMORG WHERE NRORG = 5862)), '15/12/2025', 'Movimentacao gerada via migracao ' || SYSDATE, SYSDATE, 5862, '000000099991', ( SELECT NRTPESTRUTGEREN FROM GPE_PARAMORG WHERE NRORG = 5862 ) );</v>
      </c>
      <c r="FF22" s="63" t="str">
        <f t="shared" ca="1" si="233"/>
        <v/>
      </c>
      <c r="FG22" s="63" t="str">
        <f t="shared" si="181"/>
        <v>COMMIT;</v>
      </c>
      <c r="FI22" s="21" t="str">
        <f ca="1"/>
        <v>não</v>
      </c>
      <c r="FL22" s="21" t="str">
        <f ca="1"/>
        <v>existe</v>
      </c>
      <c r="FP22" s="21" t="str">
        <f ca="1"/>
        <v>existe</v>
      </c>
      <c r="FT22" s="21" t="str">
        <f ca="1"/>
        <v>existe</v>
      </c>
      <c r="FX22" s="21" t="str">
        <f ca="1"/>
        <v>existe</v>
      </c>
      <c r="GB22" s="21">
        <f ca="1"/>
        <v>0</v>
      </c>
    </row>
    <row r="23" spans="1:186" x14ac:dyDescent="0.3">
      <c r="A23" s="16" t="s">
        <v>826</v>
      </c>
      <c r="B23" s="16" t="s">
        <v>827</v>
      </c>
      <c r="C23" s="16" t="s">
        <v>828</v>
      </c>
      <c r="E23" s="16" t="s">
        <v>539</v>
      </c>
      <c r="F23" s="16" t="s">
        <v>391</v>
      </c>
      <c r="G23" s="16" t="s">
        <v>323</v>
      </c>
      <c r="H23" s="16" t="s">
        <v>829</v>
      </c>
      <c r="I23" s="16" t="s">
        <v>224</v>
      </c>
      <c r="J23" s="16" t="s">
        <v>830</v>
      </c>
      <c r="K23" s="16" t="s">
        <v>831</v>
      </c>
      <c r="L23" s="16" t="s">
        <v>832</v>
      </c>
      <c r="M23" s="16" t="s">
        <v>833</v>
      </c>
      <c r="N23" s="16" t="s">
        <v>834</v>
      </c>
      <c r="O23" s="16" t="s">
        <v>835</v>
      </c>
      <c r="Q23" s="16" t="s">
        <v>836</v>
      </c>
      <c r="R23" s="16" t="s">
        <v>324</v>
      </c>
      <c r="S23" s="16" t="s">
        <v>396</v>
      </c>
      <c r="T23" s="16" t="s">
        <v>837</v>
      </c>
      <c r="U23" s="16" t="s">
        <v>838</v>
      </c>
      <c r="V23" s="16" t="s">
        <v>839</v>
      </c>
      <c r="W23" s="16" t="s">
        <v>686</v>
      </c>
      <c r="AC23" s="16" t="s">
        <v>273</v>
      </c>
      <c r="AD23" s="16" t="s">
        <v>403</v>
      </c>
      <c r="AE23" t="s">
        <v>396</v>
      </c>
      <c r="AF23" s="16" t="s">
        <v>404</v>
      </c>
      <c r="AG23" s="16" t="s">
        <v>840</v>
      </c>
      <c r="AH23" s="16" t="s">
        <v>225</v>
      </c>
      <c r="AI23" s="16" t="s">
        <v>303</v>
      </c>
      <c r="AJ23" s="16" t="s">
        <v>406</v>
      </c>
      <c r="AK23" s="16" t="s">
        <v>493</v>
      </c>
      <c r="AL23" s="16" t="s">
        <v>841</v>
      </c>
      <c r="AM23" s="16" t="s">
        <v>271</v>
      </c>
      <c r="AN23" s="16" t="s">
        <v>270</v>
      </c>
      <c r="AO23" s="16" t="s">
        <v>219</v>
      </c>
      <c r="AP23" s="98" t="s">
        <v>2567</v>
      </c>
      <c r="AQ23" s="16" t="s">
        <v>677</v>
      </c>
      <c r="AR23" s="16" t="s">
        <v>1747</v>
      </c>
      <c r="AS23" s="16" t="s">
        <v>396</v>
      </c>
      <c r="AT23" s="16" t="s">
        <v>404</v>
      </c>
      <c r="AU23" s="16" t="s">
        <v>604</v>
      </c>
      <c r="AV23" s="16" t="s">
        <v>842</v>
      </c>
      <c r="AW23" s="16" t="s">
        <v>413</v>
      </c>
      <c r="AX23" s="16" t="s">
        <v>655</v>
      </c>
      <c r="AZ23" s="16" t="s">
        <v>843</v>
      </c>
      <c r="BA23" s="16" t="s">
        <v>270</v>
      </c>
      <c r="BB23" s="16" t="s">
        <v>272</v>
      </c>
      <c r="BC23" s="16" t="s">
        <v>826</v>
      </c>
      <c r="BF23" s="16" t="s">
        <v>728</v>
      </c>
      <c r="BG23" s="16" t="s">
        <v>304</v>
      </c>
      <c r="BI23" s="16" t="s">
        <v>503</v>
      </c>
      <c r="BM23" s="16" t="s">
        <v>827</v>
      </c>
      <c r="BN23" s="16" t="s">
        <v>270</v>
      </c>
      <c r="BO23" s="16" t="s">
        <v>270</v>
      </c>
      <c r="BP23" s="16" t="s">
        <v>826</v>
      </c>
      <c r="BQ23" s="16" t="s">
        <v>419</v>
      </c>
      <c r="BR23" s="16" t="s">
        <v>419</v>
      </c>
      <c r="BS23" s="16" t="s">
        <v>270</v>
      </c>
      <c r="BT23" s="16" t="s">
        <v>312</v>
      </c>
      <c r="BU23" s="16" t="s">
        <v>532</v>
      </c>
      <c r="BV23" s="16" t="s">
        <v>419</v>
      </c>
      <c r="BW23" s="16" t="s">
        <v>419</v>
      </c>
      <c r="BX23" s="16" t="s">
        <v>844</v>
      </c>
      <c r="CC23" s="16" t="s">
        <v>270</v>
      </c>
      <c r="CD23"/>
      <c r="CE23" s="16" t="s">
        <v>845</v>
      </c>
      <c r="CF23" s="16" t="s">
        <v>732</v>
      </c>
      <c r="CG23" s="16" t="s">
        <v>846</v>
      </c>
      <c r="CH23" s="16" t="s">
        <v>847</v>
      </c>
      <c r="CI23"/>
      <c r="CJ23" s="16" t="s">
        <v>428</v>
      </c>
      <c r="CK23" s="16" t="s">
        <v>848</v>
      </c>
      <c r="CM23" s="79"/>
      <c r="CN23" s="63"/>
      <c r="CO23" s="63"/>
      <c r="CP23" s="85">
        <f t="shared" ref="CP23:CS23" si="236">CP22+1</f>
        <v>224</v>
      </c>
      <c r="CQ23" s="85">
        <f t="shared" si="236"/>
        <v>21</v>
      </c>
      <c r="CR23" s="85">
        <f t="shared" si="236"/>
        <v>21</v>
      </c>
      <c r="CS23" s="85">
        <f t="shared" si="236"/>
        <v>21</v>
      </c>
      <c r="CT23" s="85">
        <f t="shared" ref="CT23:CV23" si="237">CT22+3</f>
        <v>61</v>
      </c>
      <c r="CU23" s="65">
        <f t="shared" si="237"/>
        <v>62</v>
      </c>
      <c r="CV23" s="65">
        <f t="shared" si="237"/>
        <v>63</v>
      </c>
      <c r="CW23" s="85">
        <f t="shared" si="132"/>
        <v>21</v>
      </c>
      <c r="CX23" s="85">
        <f t="shared" si="184"/>
        <v>11</v>
      </c>
      <c r="CY23" s="85">
        <f t="shared" si="185"/>
        <v>2</v>
      </c>
      <c r="CZ23" s="85">
        <f t="shared" si="186"/>
        <v>23</v>
      </c>
      <c r="DA23" s="85">
        <f t="shared" si="187"/>
        <v>50</v>
      </c>
      <c r="DB23" s="85">
        <f t="shared" si="133"/>
        <v>31</v>
      </c>
      <c r="DC23" s="85">
        <f ca="1">IF( OR( AP23 = "", FT23 &lt;&gt; "existe" ), "", LARGE( DC$2:DC22, 1 ) + 1 )</f>
        <v>21</v>
      </c>
      <c r="DD23" s="66">
        <f ca="1">IF( OR( AQ23 = "", FX23 &lt;&gt; "existe" ), "", LARGE( DD$2:DD22, 1 ) + 1 )</f>
        <v>48</v>
      </c>
      <c r="DE23" s="66">
        <f ca="1">IF( OR( BU23 = "", GB23 &lt;&gt; "existe" ), "", LARGE( DE$2:DE22, 1 ) + 1 )</f>
        <v>62</v>
      </c>
      <c r="DF23" s="67" t="str">
        <f t="shared" si="188"/>
        <v>NUNCA</v>
      </c>
      <c r="DG23" s="67" t="str">
        <f t="shared" si="189"/>
        <v>BELEM</v>
      </c>
      <c r="DH23" s="67">
        <f t="shared" si="190"/>
        <v>1</v>
      </c>
      <c r="DI23" s="67" t="str">
        <f t="shared" si="191"/>
        <v>PSG</v>
      </c>
      <c r="DJ23" s="67" t="str">
        <f t="shared" si="192"/>
        <v>CUIA PRETA</v>
      </c>
      <c r="DK23" s="67" t="str">
        <f t="shared" si="193"/>
        <v>PEDREIRA</v>
      </c>
      <c r="DL23" s="67" t="str">
        <f t="shared" si="194"/>
        <v/>
      </c>
      <c r="DM23" s="67" t="str">
        <f t="shared" si="195"/>
        <v>66085100</v>
      </c>
      <c r="DN23" s="70" t="str">
        <f t="shared" si="196"/>
        <v>0030-1</v>
      </c>
      <c r="DO23" s="70" t="str">
        <f t="shared" si="197"/>
        <v>0</v>
      </c>
      <c r="DP23" s="70" t="str">
        <f t="shared" si="198"/>
        <v>0</v>
      </c>
      <c r="DQ23" s="64" t="str">
        <f t="shared" si="199"/>
        <v/>
      </c>
      <c r="DR23" s="64" t="str">
        <f t="shared" si="200"/>
        <v>4102302</v>
      </c>
      <c r="DS23" s="64" t="str">
        <f t="shared" si="201"/>
        <v>237</v>
      </c>
      <c r="DT23" s="64" t="str">
        <f t="shared" si="202"/>
        <v>19399</v>
      </c>
      <c r="DU23" s="64" t="str">
        <f t="shared" si="203"/>
        <v>580872</v>
      </c>
      <c r="DV23" s="60" t="str">
        <f t="shared" si="204"/>
        <v>0055</v>
      </c>
      <c r="DW23" s="67" t="str">
        <f t="shared" si="205"/>
        <v>BELEM</v>
      </c>
      <c r="DX23" s="60" t="str" cm="1">
        <f t="array" ref="DX23">TEXT( MIG_NORMA.NÚMERICO( J23 ), "00000000000" )</f>
        <v>77610504220</v>
      </c>
      <c r="DY23" s="60" t="str" cm="1">
        <f t="array" ref="DY23">TEXT( MIG_NORMA.NÚMERICO( K23 ), "0000000" )</f>
        <v>0006803</v>
      </c>
      <c r="DZ23" s="64" t="str">
        <f t="shared" si="206"/>
        <v>10/12/2025</v>
      </c>
      <c r="EA23" s="64" t="str">
        <f t="shared" si="207"/>
        <v>24/01/2026</v>
      </c>
      <c r="EB23" s="64" t="str">
        <f t="shared" si="208"/>
        <v>11/06/1985</v>
      </c>
      <c r="EC23" s="64" t="str">
        <f t="shared" si="209"/>
        <v>17/07/2012</v>
      </c>
      <c r="ED23" s="64" t="str">
        <f t="shared" si="210"/>
        <v/>
      </c>
      <c r="EE23" s="64" t="str">
        <f t="shared" si="211"/>
        <v/>
      </c>
      <c r="EF23" s="64" t="str">
        <f t="shared" si="212"/>
        <v>23/08/2019</v>
      </c>
      <c r="EG23" s="64" t="str">
        <f t="shared" si="213"/>
        <v>10/12/2025</v>
      </c>
      <c r="EH23" s="64" t="str">
        <f t="shared" si="214"/>
        <v/>
      </c>
      <c r="EI23" s="68" t="str">
        <f t="shared" si="215"/>
        <v/>
      </c>
      <c r="EJ23" s="64" t="str">
        <f t="shared" si="216"/>
        <v>10/12/2026</v>
      </c>
      <c r="EK23" s="64" t="str">
        <f t="shared" si="217"/>
        <v/>
      </c>
      <c r="EL23" s="64" t="str">
        <f t="shared" si="218"/>
        <v/>
      </c>
      <c r="EM23" s="64" t="str">
        <f t="shared" si="219"/>
        <v>10/12/2025</v>
      </c>
      <c r="EN23" s="64" t="str">
        <f t="shared" si="220"/>
        <v>24/01/2026</v>
      </c>
      <c r="EO23" s="64" t="str">
        <f t="shared" si="221"/>
        <v>24/01/2026</v>
      </c>
      <c r="EP23" s="64" t="str">
        <f t="shared" si="222"/>
        <v/>
      </c>
      <c r="EQ23" s="63" t="str">
        <f t="shared" si="223"/>
        <v>INSERT INTO PARCNEGOCIO ( NRPARCNEGOCIO, NRORG, NMPRINCIPALPARC, NMSECUNDARIPARC, DTNASCIFUNDPARC, NRINSCRICAOPARC, IDATIVO, DTINCLUSAO, NRORGINCLUSAO, CDOPERINCLUSAO, CDTIPOPARCPRINCIPAL, CDTIPOINSCRICAO, IDPESSOAFISICA, IDINSTITUICAO, IDPARCFUNDIDO ) VALUES ( 224, 5862, 'WEMERSON DAVID SODRE', 'WEMERSON DAVID SODRE', '11/06/1985', '77610504220', 'S', SYSDATE, 5862, '000000099991', 'PESSOA', 'CPF', 'S', 'N', 'N' );</v>
      </c>
      <c r="ER23" s="63" t="str">
        <f t="shared" si="224"/>
        <v>INSERT INTO GPE_PESSOA ( NRPESSOA, NRORG, NRPARCNEGOCIO, DTINCLUSAO, NRORGINCLUSAO, CDOPERINCLUSAO ) VALUES ( 21, 5862, 224, SYSDATE, 5862, '000000099991' );</v>
      </c>
      <c r="ES23"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( 21, 21, 5862, '01/01/2000', 'WEMERSON DAVID SODRE', 'S', '77610504220', '0006803', '00045', 'AC', '17/07/2012', '13853138429', '', '045195731309', '558', '30', '', '', '', (SELECT NRCATMILITARPE FROM GPE_CATMILITARPE WHERE NRCATMILITARPE = ''), '', SYSDATE, 5862, '000000099991', '5', '1058', 'PA', (SELECT MAX(CDMUNICIPIO) FROM MUNICIPIO WHERE NMMUNICIPIO = 'BELEM'), '11/06/1985', 'M', '4102302', 'SSP', 'PA', '23/08/2019', '1', '7' , '1');</v>
      </c>
      <c r="ET23"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(21, 21, 5862, '440000-0-01636', '10/12/2025', '24/01/2026', SYSDATE, 5862, '000000099991', '1', '1', '1', '3', '10/12/2025', '', '', 'WEMERSON DAVID SODRE', '06', '', '', '0', '0', '10/12/2026', '');</v>
      </c>
      <c r="EU23"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(61, 21, '', (SELECT MAX(NROCUPACAOM) FROM GPE_OCUPACAOH WHERE NRORG = 5862 AND CDINTEGRACAO = '0030-1'), (SELECT MAX(NROCUPACAOM) FROM GPE_OCUPACAOH WHERE NRORG = 5862 AND CDINTEGRACAO = '0030-1'), 5862, '01/01/2000', 'NUNCA', SYSDATE, 5862, '000000099991', '0', '0', '10/12/2025', 'SAL1', 'MENSAL', (SELECT MAX(NRESTRUTURAM) FROM ESTRUTURAM WHERE NRORG = 5862 AND CDINTESTRUTURA = 'est_MATSAUDE'), NVL((SELECT MAX(NRESTRUTURAM) FROM ESTRUTURAM WHERE NRORG = 5862 AND CDINTESTRUTURA = 'dep_440000'), 999992), NVL((SELECT MAX(NRESTRUTURAM) FROM ESTRUTURAM WHERE NRORG = 5862 AND CDINTESTRUTURA = 'sin_01'), 999993), '1', 'UNICO', '', 2, '24/01/2026', 'N', (SELECT MAX(NRESCALATRABM) FROM GPE_ESCALATRABH WHERE NRORG = 5862 AND NRESCALATRABM = '000003') );</v>
      </c>
      <c r="EV23"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62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61;</v>
      </c>
      <c r="EW23"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63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61;</v>
      </c>
      <c r="EX23" s="63" t="str">
        <f t="shared" si="59"/>
        <v>INSERT INTO GPE_ALTESITUFUNC ( NRALTESITUFUNC, NRORG, NRSITUFUNCM, NRVINCULOM, DTINISITUFUNC, DTINCLUSAO, NRORGINCLUSAO, CDOPERINCLUSAO ) VALUES ( 21, 5862, (CASE WHEN '' IS NOT NULL THEN '' WHEN '24/01/2026' IS NULL THEN '1' ELSE '13' END), 21, '24/01/2026', SYSDATE, 5862, '000000099991' );</v>
      </c>
      <c r="EY23" s="63" t="str">
        <f t="shared" si="228"/>
        <v>INSERT INTO CONTCORRPARC ( NRCONTCORRPARC, NRORG, NRPARCNEGOCIO, CDBANCO, CDAGENCIA, CDCONTCORR, NRTPCONTCORR, DTINCLUSAO, NRORGINCLUSAO, CDOPERINCLUSAO, IDATIVO ) VALUES ( 11, 5862, 224, '237', '19399', '580872', '2', SYSDATE, 5862, '000000099991', 'S' );</v>
      </c>
      <c r="EZ23" s="63" t="str">
        <f t="shared" si="229"/>
        <v/>
      </c>
      <c r="FA23" s="63" t="str">
        <f t="shared" si="61"/>
        <v>INSERT INTO COMUNICAPARC ( NRCOMUNICAPARC, NRPARCNEGOCIO, CDFORMACOMU, CDPREFIXCOMUPARC, CDCOMUNICAPARC, NRORG, IDATIVO, DTINCLUSAO, NRORGINCLUSAO, CDOPERINCLUSAO ) VALUES ( 23, 224, '02', '91', '982163248', 5862, 'S', SYSDATE, 5862, '000000099991' );</v>
      </c>
      <c r="FB23" s="63" t="str">
        <f t="shared" si="62"/>
        <v>INSERT INTO COMUNICAPARC ( NRCOMUNICAPARC, NRPARCNEGOCIO, CDFORMACOMU, CDCOMUNICAPARC, NRORG, IDATIVO, DTINCLUSAO, NRORGINCLUSAO, CDOPERINCLUSAO ) VALUES ( 50, 224, '05', 'wemersonpako12@yahoo.com.br', 5862, 'S', SYSDATE, 5862, '000000099991' );</v>
      </c>
      <c r="FC23" s="63" t="str">
        <f t="shared" si="230"/>
        <v>INSERT INTO ENDERECOPARC ( NRENDERECOPARC, NRPARCNEGOCIO, CDTIPOENDERECO, NRORG, IDATIVO, DTINCLUSAO, NRORGINCLUSAO, CDOPERINCLUSAO, CDPAIS, CDMUNICIPIO, CDLOGRADOURO, NMBAIRROENDERECO, DSCOMPLEENDERECO, NRCEPENDERECO, DSENDERECO, NRIMOVELENDERECO, SGESTADO ) VALUES ( 31, 224, 'PRINCIPAL', 5862, 'S', SYSDATE, 5862, '000000099991', '0055', ( SELECT MAX(CDMUNICIPIO) FROM MUNICIPIO WHERE NMMUNICIPIO = 'BELEM' AND SGESTADO = 'PA' ), 'PSG', 'PEDREIRA', '', '66085100', 'CUIA PRETA', '80', 'PA');</v>
      </c>
      <c r="FD23" s="63" t="str">
        <f t="shared" ca="1" si="231"/>
        <v>INSERT INTO GPE_MOVIMENTACAO ( NRMOVIMENTACAO, NRORG, NRVINCULOM, NRTIPOTRANSFER, NRTPMOVTRANSFM, NRESTRUTURAM, DTINIMOVIMENT, DSOBSERVACAO, DTINCLUSAO, NRORGINCLUSAO, CDOPERINCLUSAO, NRTIPOESTRUTURA ) VALUES ( 21, 5862, 21, 1, 1, (SELECT MAX(NRESTRUTURAM) FROM ESTRUTURAM WHERE NRORG = 5862 AND CDINTESTRUTURA = 'est_MATSAUDE' AND NRTIPOESTRUTURA = (SELECT NRTPESTRUTLEGAL FROM GPE_PARAMORG WHERE NRORG = 5862)), '10/12/2025', 'Movimentacao gerada via migracao ' || SYSDATE, SYSDATE, 5862, '000000099991', ( SELECT NRTPESTRUTLEGAL FROM GPE_PARAMORG WHERE NRORG = 5862 ) );</v>
      </c>
      <c r="FE23" s="63" t="str">
        <f t="shared" ca="1" si="232"/>
        <v>INSERT INTO GPE_MOVIMENTACAO ( NRMOVIMENTACAO, NRORG, NRVINCULOM, NRTIPOTRANSFER, NRTPMOVTRANSFM, NRESTRUTURAM, DTINIMOVIMENT, DSOBSERVACAO, DTINCLUSAO, NRORGINCLUSAO, CDOPERINCLUSAO, NRTIPOESTRUTURA ) VALUES ( 48, 5862, 21, 2, 1, (SELECT MAX(NRESTRUTURAM) FROM ESTRUTURAM WHERE NRORG = 5862 AND CDINTESTRUTURA = 'dep_440000' AND NRTIPOESTRUTURA = (SELECT NRTPESTRUTGEREN FROM GPE_PARAMORG WHERE NRORG = 5862)), '10/12/2025', 'Movimentacao gerada via migracao ' || SYSDATE, SYSDATE, 5862, '000000099991', ( SELECT NRTPESTRUTGEREN FROM GPE_PARAMORG WHERE NRORG = 5862 ) );</v>
      </c>
      <c r="FF23" s="63" t="str">
        <f t="shared" ca="1" si="233"/>
        <v>INSERT INTO GPE_MOVIMENTACAO ( NRMOVIMENTACAO, NRORG, NRVINCULOM, NRTIPOTRANSFER, NRTPMOVTRANSFM, NRESTRUTURAM, DTINIMOVIMENT, DSOBSERVACAO, DTINCLUSAO, NRORGINCLUSAO, CDOPERINCLUSAO, NRTIPOESTRUTURA ) VALUES ( 62, 5862, 21, 1, 1, (SELECT MAX(NRESTRUTURAM) FROM ESTRUTURAM WHERE NRORG = 5862 AND CDINTESTRUTURA = 'sin_01' AND NRTIPOESTRUTURA = 10), '10/12/2025', 'Movimentacao gerada via migracao ' || SYSDATE, SYSDATE, 5862, '000000099991', 10 );</v>
      </c>
      <c r="FG23" s="63" t="str">
        <f t="shared" si="181"/>
        <v>COMMIT;</v>
      </c>
      <c r="FI23" s="21" t="str">
        <f ca="1"/>
        <v>não</v>
      </c>
      <c r="FL23" s="21" t="str">
        <f ca="1"/>
        <v>existe</v>
      </c>
      <c r="FP23" s="21" t="str">
        <f ca="1"/>
        <v>existe</v>
      </c>
      <c r="FT23" s="21" t="str">
        <f ca="1"/>
        <v>existe</v>
      </c>
      <c r="FX23" s="21" t="str">
        <f ca="1"/>
        <v>existe</v>
      </c>
      <c r="GB23" s="21" t="str">
        <f ca="1"/>
        <v>existe</v>
      </c>
    </row>
    <row r="24" spans="1:186" x14ac:dyDescent="0.3">
      <c r="A24" s="16" t="s">
        <v>849</v>
      </c>
      <c r="B24" s="16" t="s">
        <v>850</v>
      </c>
      <c r="C24" s="16" t="s">
        <v>851</v>
      </c>
      <c r="E24" s="16" t="s">
        <v>630</v>
      </c>
      <c r="F24" s="16" t="s">
        <v>391</v>
      </c>
      <c r="G24" s="16" t="s">
        <v>323</v>
      </c>
      <c r="H24" s="16" t="s">
        <v>852</v>
      </c>
      <c r="I24" s="16" t="s">
        <v>224</v>
      </c>
      <c r="J24" s="16" t="s">
        <v>853</v>
      </c>
      <c r="Q24" s="16" t="s">
        <v>854</v>
      </c>
      <c r="R24" s="16" t="s">
        <v>324</v>
      </c>
      <c r="S24" s="16" t="s">
        <v>396</v>
      </c>
      <c r="T24" s="16" t="s">
        <v>855</v>
      </c>
      <c r="AC24" s="16" t="s">
        <v>273</v>
      </c>
      <c r="AD24" s="16" t="s">
        <v>403</v>
      </c>
      <c r="AE24" t="s">
        <v>396</v>
      </c>
      <c r="AF24" s="16" t="s">
        <v>404</v>
      </c>
      <c r="AG24" s="16" t="s">
        <v>856</v>
      </c>
      <c r="AH24" s="16" t="s">
        <v>225</v>
      </c>
      <c r="AI24" s="16" t="s">
        <v>303</v>
      </c>
      <c r="AM24" s="16" t="s">
        <v>271</v>
      </c>
      <c r="AN24" s="16" t="s">
        <v>270</v>
      </c>
      <c r="AO24" t="s">
        <v>1746</v>
      </c>
      <c r="AP24" s="98" t="s">
        <v>2567</v>
      </c>
      <c r="AQ24" s="16" t="s">
        <v>574</v>
      </c>
      <c r="AR24" s="16" t="s">
        <v>1747</v>
      </c>
      <c r="AS24" s="16" t="s">
        <v>396</v>
      </c>
      <c r="AT24" s="16" t="s">
        <v>404</v>
      </c>
      <c r="AU24" s="16" t="s">
        <v>604</v>
      </c>
      <c r="AV24" s="16" t="s">
        <v>857</v>
      </c>
      <c r="AW24" s="16" t="s">
        <v>858</v>
      </c>
      <c r="AX24" s="16" t="s">
        <v>607</v>
      </c>
      <c r="AZ24" s="16" t="s">
        <v>859</v>
      </c>
      <c r="BA24" s="16" t="s">
        <v>270</v>
      </c>
      <c r="BB24" t="s">
        <v>1746</v>
      </c>
      <c r="BF24" s="16" t="s">
        <v>579</v>
      </c>
      <c r="BG24" s="16" t="s">
        <v>304</v>
      </c>
      <c r="BN24" t="s">
        <v>1746</v>
      </c>
      <c r="BP24" s="16" t="s">
        <v>849</v>
      </c>
      <c r="BQ24" s="16" t="s">
        <v>419</v>
      </c>
      <c r="BR24" s="16" t="s">
        <v>419</v>
      </c>
      <c r="BS24" s="16" t="s">
        <v>270</v>
      </c>
      <c r="BT24" s="16" t="s">
        <v>312</v>
      </c>
      <c r="BX24" s="16" t="s">
        <v>860</v>
      </c>
      <c r="CC24" s="16" t="s">
        <v>270</v>
      </c>
      <c r="CD24"/>
      <c r="CE24" s="16" t="s">
        <v>861</v>
      </c>
      <c r="CF24" s="16" t="s">
        <v>419</v>
      </c>
      <c r="CG24" s="16" t="s">
        <v>862</v>
      </c>
      <c r="CH24" s="16" t="s">
        <v>863</v>
      </c>
      <c r="CI24"/>
      <c r="CJ24" s="16" t="s">
        <v>428</v>
      </c>
      <c r="CK24" s="16" t="s">
        <v>864</v>
      </c>
      <c r="CM24" s="79"/>
      <c r="CN24" s="63"/>
      <c r="CO24" s="63"/>
      <c r="CP24" s="85">
        <f t="shared" ref="CP24:CS24" si="238">CP23+1</f>
        <v>225</v>
      </c>
      <c r="CQ24" s="85">
        <f t="shared" si="238"/>
        <v>22</v>
      </c>
      <c r="CR24" s="85">
        <f t="shared" si="238"/>
        <v>22</v>
      </c>
      <c r="CS24" s="85">
        <f t="shared" si="238"/>
        <v>22</v>
      </c>
      <c r="CT24" s="85">
        <f t="shared" ref="CT24:CV24" si="239">CT23+3</f>
        <v>64</v>
      </c>
      <c r="CU24" s="65">
        <f t="shared" si="239"/>
        <v>65</v>
      </c>
      <c r="CV24" s="65">
        <f t="shared" si="239"/>
        <v>66</v>
      </c>
      <c r="CW24" s="85">
        <f t="shared" si="132"/>
        <v>22</v>
      </c>
      <c r="CX24" s="85">
        <f t="shared" si="184"/>
        <v>11</v>
      </c>
      <c r="CY24" s="85">
        <f t="shared" si="185"/>
        <v>2</v>
      </c>
      <c r="CZ24" s="85">
        <f t="shared" si="186"/>
        <v>24</v>
      </c>
      <c r="DA24" s="85">
        <f t="shared" si="187"/>
        <v>51</v>
      </c>
      <c r="DB24" s="85">
        <f t="shared" si="133"/>
        <v>32</v>
      </c>
      <c r="DC24" s="85">
        <f ca="1">IF( OR( AP24 = "", FT24 &lt;&gt; "existe" ), "", LARGE( DC$2:DC23, 1 ) + 1 )</f>
        <v>22</v>
      </c>
      <c r="DD24" s="66">
        <f ca="1">IF( OR( AQ24 = "", FX24 &lt;&gt; "existe" ), "", LARGE( DD$2:DD23, 1 ) + 1 )</f>
        <v>49</v>
      </c>
      <c r="DE24" s="66" t="str">
        <f ca="1">IF( OR( BU24 = "", GB24 &lt;&gt; "existe" ), "", LARGE( DE$2:DE23, 1 ) + 1 )</f>
        <v/>
      </c>
      <c r="DF24" s="67" t="str">
        <f t="shared" si="188"/>
        <v>NUNCA</v>
      </c>
      <c r="DG24" s="67" t="str">
        <f t="shared" si="189"/>
        <v>BELEM</v>
      </c>
      <c r="DH24" s="67">
        <f t="shared" si="190"/>
        <v>1</v>
      </c>
      <c r="DI24" s="67" t="str">
        <f t="shared" si="191"/>
        <v>PSG</v>
      </c>
      <c r="DJ24" s="67" t="str">
        <f t="shared" si="192"/>
        <v>NAPOLEAO LAUREANO</v>
      </c>
      <c r="DK24" s="67" t="str">
        <f t="shared" si="193"/>
        <v>GUAMA</v>
      </c>
      <c r="DL24" s="67" t="str">
        <f t="shared" si="194"/>
        <v/>
      </c>
      <c r="DM24" s="67" t="str">
        <f t="shared" si="195"/>
        <v>66073640</v>
      </c>
      <c r="DN24" s="70" t="str">
        <f t="shared" si="196"/>
        <v>0089-7</v>
      </c>
      <c r="DO24" s="70" t="str">
        <f t="shared" si="197"/>
        <v>0</v>
      </c>
      <c r="DP24" s="70" t="str">
        <f t="shared" si="198"/>
        <v>0</v>
      </c>
      <c r="DQ24" s="64" t="str">
        <f t="shared" si="199"/>
        <v/>
      </c>
      <c r="DR24" s="64" t="str">
        <f t="shared" si="200"/>
        <v>8129170</v>
      </c>
      <c r="DS24" s="64" t="str">
        <f t="shared" si="201"/>
        <v>000</v>
      </c>
      <c r="DT24" s="64" t="str">
        <f t="shared" si="202"/>
        <v/>
      </c>
      <c r="DU24" s="64" t="str">
        <f t="shared" si="203"/>
        <v/>
      </c>
      <c r="DV24" s="60" t="str">
        <f t="shared" si="204"/>
        <v>0055</v>
      </c>
      <c r="DW24" s="67" t="str">
        <f t="shared" si="205"/>
        <v>BELEM</v>
      </c>
      <c r="DX24" s="60" t="str" cm="1">
        <f t="array" ref="DX24">TEXT( MIG_NORMA.NÚMERICO( J24 ), "00000000000" )</f>
        <v>04899436246</v>
      </c>
      <c r="DY24" s="60" t="str" cm="1">
        <f t="array" ref="DY24">TEXT( MIG_NORMA.NÚMERICO( K24 ), "0000000" )</f>
        <v/>
      </c>
      <c r="DZ24" s="64" t="str">
        <f t="shared" si="206"/>
        <v>01/12/2025</v>
      </c>
      <c r="EA24" s="64" t="str">
        <f t="shared" si="207"/>
        <v>01/04/2026</v>
      </c>
      <c r="EB24" s="64" t="str">
        <f t="shared" si="208"/>
        <v>26/12/2003</v>
      </c>
      <c r="EC24" s="64" t="str">
        <f t="shared" si="209"/>
        <v/>
      </c>
      <c r="ED24" s="64" t="str">
        <f t="shared" si="210"/>
        <v/>
      </c>
      <c r="EE24" s="64" t="str">
        <f t="shared" si="211"/>
        <v/>
      </c>
      <c r="EF24" s="64" t="str">
        <f t="shared" si="212"/>
        <v>27/01/2023</v>
      </c>
      <c r="EG24" s="64" t="str">
        <f t="shared" si="213"/>
        <v/>
      </c>
      <c r="EH24" s="64" t="str">
        <f t="shared" si="214"/>
        <v/>
      </c>
      <c r="EI24" s="68" t="str">
        <f t="shared" si="215"/>
        <v/>
      </c>
      <c r="EJ24" s="64" t="str">
        <f t="shared" si="216"/>
        <v>01/12/2026</v>
      </c>
      <c r="EK24" s="64" t="str">
        <f t="shared" si="217"/>
        <v/>
      </c>
      <c r="EL24" s="64" t="str">
        <f t="shared" si="218"/>
        <v/>
      </c>
      <c r="EM24" s="64" t="str">
        <f t="shared" si="219"/>
        <v>01/12/2025</v>
      </c>
      <c r="EN24" s="64" t="str">
        <f t="shared" si="220"/>
        <v>01/04/2026</v>
      </c>
      <c r="EO24" s="64" t="str">
        <f t="shared" si="221"/>
        <v/>
      </c>
      <c r="EP24" s="64" t="str">
        <f t="shared" si="222"/>
        <v/>
      </c>
      <c r="EQ24" s="63" t="str">
        <f t="shared" si="223"/>
        <v>INSERT INTO PARCNEGOCIO ( NRPARCNEGOCIO, NRORG, NMPRINCIPALPARC, NMSECUNDARIPARC, DTNASCIFUNDPARC, NRINSCRICAOPARC, IDATIVO, DTINCLUSAO, NRORGINCLUSAO, CDOPERINCLUSAO, CDTIPOPARCPRINCIPAL, CDTIPOINSCRICAO, IDPESSOAFISICA, IDINSTITUICAO, IDPARCFUNDIDO ) VALUES ( 225, 5862, 'GABRIEL OLIVEIRA GIMARAES', 'GABRIEL OLIVEIRA GIMARAES', '26/12/2003', '04899436246', 'S', SYSDATE, 5862, '000000099991', 'PESSOA', 'CPF', 'S', 'N', 'N' );</v>
      </c>
      <c r="ER24" s="63" t="str">
        <f t="shared" si="224"/>
        <v>INSERT INTO GPE_PESSOA ( NRPESSOA, NRORG, NRPARCNEGOCIO, DTINCLUSAO, NRORGINCLUSAO, CDOPERINCLUSAO ) VALUES ( 22, 5862, 225, SYSDATE, 5862, '000000099991' );</v>
      </c>
      <c r="ES24"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( 22, 22, 5862, '01/01/2000', 'GABRIEL OLIVEIRA GIMARAES', 'S', '04899436246', '', '', '', '', '', '', '', '', '', '', '', '', (SELECT NRCATMILITARPE FROM GPE_CATMILITARPE WHERE NRCATMILITARPE = ''), '', SYSDATE, 5862, '000000099991', '5', '1058', 'PA', (SELECT MAX(CDMUNICIPIO) FROM MUNICIPIO WHERE NMMUNICIPIO = 'BELEM'), '26/12/2003', 'M', '8129170', 'SSP', 'PA', '27/01/2023', '1', '7' , '1');</v>
      </c>
      <c r="ET24"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(22, 22, 5862, '100000-2-E1070', '01/12/2025', '01/04/2026', SYSDATE, 5862, '000000099991', '1', '', '', '', '', '', '', 'GABRIEL OLIVEIRA GIMARAES', '', '', '', '', '', '01/12/2026', '');</v>
      </c>
      <c r="EU24"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(64, 22, '', (SELECT MAX(NROCUPACAOM) FROM GPE_OCUPACAOH WHERE NRORG = 5862 AND CDINTEGRACAO = '0089-7'), (SELECT MAX(NROCUPACAOM) FROM GPE_OCUPACAOH WHERE NRORG = 5862 AND CDINTEGRACAO = '0089-7'), 5862, '01/01/2000', 'NUNCA', SYSDATE, 5862, '000000099991', '0', '0', '01/12/2025', 'SAL1', '', (SELECT MAX(NRESTRUTURAM) FROM ESTRUTURAM WHERE NRORG = 5862 AND CDINTESTRUTURA = 'est_MATSAUDE'), NVL((SELECT MAX(NRESTRUTURAM) FROM ESTRUTURAM WHERE NRORG = 5862 AND CDINTESTRUTURA = 'dep_100000'), 999992), NVL((SELECT MAX(NRESTRUTURAM) FROM ESTRUTURAM WHERE NRORG = 5862 AND CDINTESTRUTURA = ''), 999993), '1', 'UNICO', '', 2, '', 'N', (SELECT MAX(NRESCALATRABM) FROM GPE_ESCALATRABH WHERE NRORG = 5862 AND NRESCALATRABM = '000011') );</v>
      </c>
      <c r="EV24"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65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64;</v>
      </c>
      <c r="EW24"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66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64;</v>
      </c>
      <c r="EX24" s="63" t="str">
        <f t="shared" si="59"/>
        <v>INSERT INTO GPE_ALTESITUFUNC ( NRALTESITUFUNC, NRORG, NRSITUFUNCM, NRVINCULOM, DTINISITUFUNC, DTINCLUSAO, NRORGINCLUSAO, CDOPERINCLUSAO ) VALUES ( 22, 5862, (CASE WHEN '' IS NOT NULL THEN '' WHEN '01/04/2026' IS NULL THEN '1' ELSE '13' END), 22, '01/04/2026', SYSDATE, 5862, '000000099991' );</v>
      </c>
      <c r="EY24" s="63" t="str">
        <f t="shared" si="228"/>
        <v/>
      </c>
      <c r="EZ24" s="63" t="str">
        <f t="shared" si="229"/>
        <v/>
      </c>
      <c r="FA24" s="63" t="str">
        <f t="shared" si="61"/>
        <v>INSERT INTO COMUNICAPARC ( NRCOMUNICAPARC, NRPARCNEGOCIO, CDFORMACOMU, CDPREFIXCOMUPARC, CDCOMUNICAPARC, NRORG, IDATIVO, DTINCLUSAO, NRORGINCLUSAO, CDOPERINCLUSAO ) VALUES ( 24, 225, '02', '91', '981050249', 5862, 'S', SYSDATE, 5862, '000000099991' );</v>
      </c>
      <c r="FB24" s="63" t="str">
        <f t="shared" si="62"/>
        <v>INSERT INTO COMUNICAPARC ( NRCOMUNICAPARC, NRPARCNEGOCIO, CDFORMACOMU, CDCOMUNICAPARC, NRORG, IDATIVO, DTINCLUSAO, NRORGINCLUSAO, CDOPERINCLUSAO ) VALUES ( 51, 225, '05', 'oliveiragabriel2616@gmail.com', 5862, 'S', SYSDATE, 5862, '000000099991' );</v>
      </c>
      <c r="FC24" s="63" t="str">
        <f t="shared" si="230"/>
        <v>INSERT INTO ENDERECOPARC ( NRENDERECOPARC, NRPARCNEGOCIO, CDTIPOENDERECO, NRORG, IDATIVO, DTINCLUSAO, NRORGINCLUSAO, CDOPERINCLUSAO, CDPAIS, CDMUNICIPIO, CDLOGRADOURO, NMBAIRROENDERECO, DSCOMPLEENDERECO, NRCEPENDERECO, DSENDERECO, NRIMOVELENDERECO, SGESTADO ) VALUES ( 32, 225, 'PRINCIPAL', 5862, 'S', SYSDATE, 5862, '000000099991', '0055', ( SELECT MAX(CDMUNICIPIO) FROM MUNICIPIO WHERE NMMUNICIPIO = 'BELEM' AND SGESTADO = 'PA' ), 'PSG', 'GUAMA', '', '66073640', 'NAPOLEAO LAUREANO', '106', 'PA');</v>
      </c>
      <c r="FD24" s="63" t="str">
        <f t="shared" ca="1" si="231"/>
        <v>INSERT INTO GPE_MOVIMENTACAO ( NRMOVIMENTACAO, NRORG, NRVINCULOM, NRTIPOTRANSFER, NRTPMOVTRANSFM, NRESTRUTURAM, DTINIMOVIMENT, DSOBSERVACAO, DTINCLUSAO, NRORGINCLUSAO, CDOPERINCLUSAO, NRTIPOESTRUTURA ) VALUES ( 22, 5862, 22, 1, 1, (SELECT MAX(NRESTRUTURAM) FROM ESTRUTURAM WHERE NRORG = 5862 AND CDINTESTRUTURA = 'est_MATSAUDE' AND NRTIPOESTRUTURA = (SELECT NRTPESTRUTLEGAL FROM GPE_PARAMORG WHERE NRORG = 5862)), '01/12/2025', 'Movimentacao gerada via migracao ' || SYSDATE, SYSDATE, 5862, '000000099991', ( SELECT NRTPESTRUTLEGAL FROM GPE_PARAMORG WHERE NRORG = 5862 ) );</v>
      </c>
      <c r="FE24" s="63" t="str">
        <f t="shared" ca="1" si="232"/>
        <v>INSERT INTO GPE_MOVIMENTACAO ( NRMOVIMENTACAO, NRORG, NRVINCULOM, NRTIPOTRANSFER, NRTPMOVTRANSFM, NRESTRUTURAM, DTINIMOVIMENT, DSOBSERVACAO, DTINCLUSAO, NRORGINCLUSAO, CDOPERINCLUSAO, NRTIPOESTRUTURA ) VALUES ( 49, 5862, 22, 2, 1, (SELECT MAX(NRESTRUTURAM) FROM ESTRUTURAM WHERE NRORG = 5862 AND CDINTESTRUTURA = 'dep_100000' AND NRTIPOESTRUTURA = (SELECT NRTPESTRUTGEREN FROM GPE_PARAMORG WHERE NRORG = 5862)), '01/12/2025', 'Movimentacao gerada via migracao ' || SYSDATE, SYSDATE, 5862, '000000099991', ( SELECT NRTPESTRUTGEREN FROM GPE_PARAMORG WHERE NRORG = 5862 ) );</v>
      </c>
      <c r="FF24" s="63" t="str">
        <f t="shared" ca="1" si="233"/>
        <v/>
      </c>
      <c r="FG24" s="63" t="str">
        <f t="shared" si="181"/>
        <v>COMMIT;</v>
      </c>
      <c r="FI24" s="21" t="str">
        <f ca="1"/>
        <v>não</v>
      </c>
      <c r="FL24" s="21" t="str">
        <f ca="1"/>
        <v>existe</v>
      </c>
      <c r="FP24" s="21" t="str">
        <f ca="1"/>
        <v>existe</v>
      </c>
      <c r="FT24" s="21" t="str">
        <f ca="1"/>
        <v>existe</v>
      </c>
      <c r="FX24" s="21" t="str">
        <f ca="1"/>
        <v>existe</v>
      </c>
      <c r="GB24" s="21">
        <f ca="1"/>
        <v>0</v>
      </c>
    </row>
    <row r="25" spans="1:186" x14ac:dyDescent="0.3">
      <c r="A25" s="16" t="s">
        <v>849</v>
      </c>
      <c r="B25" s="16" t="s">
        <v>850</v>
      </c>
      <c r="C25" s="16" t="s">
        <v>865</v>
      </c>
      <c r="E25" s="16" t="s">
        <v>630</v>
      </c>
      <c r="F25" s="16" t="s">
        <v>391</v>
      </c>
      <c r="G25" s="16" t="s">
        <v>323</v>
      </c>
      <c r="H25" s="16" t="s">
        <v>866</v>
      </c>
      <c r="I25" s="16" t="s">
        <v>224</v>
      </c>
      <c r="J25" s="16" t="s">
        <v>867</v>
      </c>
      <c r="Q25" s="16" t="s">
        <v>868</v>
      </c>
      <c r="R25" s="16" t="s">
        <v>439</v>
      </c>
      <c r="S25" s="16" t="s">
        <v>396</v>
      </c>
      <c r="T25" s="16" t="s">
        <v>869</v>
      </c>
      <c r="AC25" s="16" t="s">
        <v>273</v>
      </c>
      <c r="AD25" s="16" t="s">
        <v>403</v>
      </c>
      <c r="AE25" t="s">
        <v>396</v>
      </c>
      <c r="AF25" s="16" t="s">
        <v>404</v>
      </c>
      <c r="AG25" s="16" t="s">
        <v>870</v>
      </c>
      <c r="AH25" s="16" t="s">
        <v>218</v>
      </c>
      <c r="AI25" s="16" t="s">
        <v>303</v>
      </c>
      <c r="AM25" s="16" t="s">
        <v>271</v>
      </c>
      <c r="AN25" s="16" t="s">
        <v>270</v>
      </c>
      <c r="AO25" t="s">
        <v>1746</v>
      </c>
      <c r="AP25" s="98" t="s">
        <v>2567</v>
      </c>
      <c r="AQ25" s="16" t="s">
        <v>590</v>
      </c>
      <c r="AR25" s="16" t="s">
        <v>1747</v>
      </c>
      <c r="AS25" s="16" t="s">
        <v>396</v>
      </c>
      <c r="AT25" s="16" t="s">
        <v>404</v>
      </c>
      <c r="AU25" s="16" t="s">
        <v>411</v>
      </c>
      <c r="AV25" s="16" t="s">
        <v>871</v>
      </c>
      <c r="AW25" s="16" t="s">
        <v>872</v>
      </c>
      <c r="AX25" s="16" t="s">
        <v>873</v>
      </c>
      <c r="AY25" s="16" t="s">
        <v>874</v>
      </c>
      <c r="AZ25" s="16" t="s">
        <v>875</v>
      </c>
      <c r="BA25" s="16" t="s">
        <v>270</v>
      </c>
      <c r="BB25" t="s">
        <v>1746</v>
      </c>
      <c r="BF25" s="16" t="s">
        <v>579</v>
      </c>
      <c r="BG25" s="16" t="s">
        <v>304</v>
      </c>
      <c r="BN25" t="s">
        <v>1746</v>
      </c>
      <c r="BP25" s="16" t="s">
        <v>849</v>
      </c>
      <c r="BQ25" s="16" t="s">
        <v>419</v>
      </c>
      <c r="BR25" s="16" t="s">
        <v>419</v>
      </c>
      <c r="BS25" s="16" t="s">
        <v>270</v>
      </c>
      <c r="BT25" s="16" t="s">
        <v>312</v>
      </c>
      <c r="BX25" s="16" t="s">
        <v>860</v>
      </c>
      <c r="CC25" s="16" t="s">
        <v>270</v>
      </c>
      <c r="CD25"/>
      <c r="CE25" s="16" t="s">
        <v>876</v>
      </c>
      <c r="CF25" s="16" t="s">
        <v>419</v>
      </c>
      <c r="CG25" s="16" t="s">
        <v>877</v>
      </c>
      <c r="CH25" s="16" t="s">
        <v>878</v>
      </c>
      <c r="CI25"/>
      <c r="CJ25" s="16" t="s">
        <v>428</v>
      </c>
      <c r="CK25" s="16" t="s">
        <v>879</v>
      </c>
      <c r="CM25" s="79"/>
      <c r="CN25" s="63"/>
      <c r="CO25" s="63"/>
      <c r="CP25" s="85">
        <f t="shared" ref="CP25:CS25" si="240">CP24+1</f>
        <v>226</v>
      </c>
      <c r="CQ25" s="85">
        <f t="shared" si="240"/>
        <v>23</v>
      </c>
      <c r="CR25" s="85">
        <f t="shared" si="240"/>
        <v>23</v>
      </c>
      <c r="CS25" s="85">
        <f t="shared" si="240"/>
        <v>23</v>
      </c>
      <c r="CT25" s="85">
        <f t="shared" ref="CT25:CV25" si="241">CT24+3</f>
        <v>67</v>
      </c>
      <c r="CU25" s="65">
        <f t="shared" si="241"/>
        <v>68</v>
      </c>
      <c r="CV25" s="65">
        <f t="shared" si="241"/>
        <v>69</v>
      </c>
      <c r="CW25" s="85">
        <f t="shared" si="132"/>
        <v>23</v>
      </c>
      <c r="CX25" s="85">
        <f t="shared" si="184"/>
        <v>11</v>
      </c>
      <c r="CY25" s="85">
        <f t="shared" si="185"/>
        <v>2</v>
      </c>
      <c r="CZ25" s="85">
        <f t="shared" si="186"/>
        <v>25</v>
      </c>
      <c r="DA25" s="85">
        <f t="shared" si="187"/>
        <v>52</v>
      </c>
      <c r="DB25" s="85">
        <f t="shared" si="133"/>
        <v>33</v>
      </c>
      <c r="DC25" s="85">
        <f ca="1">IF( OR( AP25 = "", FT25 &lt;&gt; "existe" ), "", LARGE( DC$2:DC24, 1 ) + 1 )</f>
        <v>23</v>
      </c>
      <c r="DD25" s="66">
        <f ca="1">IF( OR( AQ25 = "", FX25 &lt;&gt; "existe" ), "", LARGE( DD$2:DD24, 1 ) + 1 )</f>
        <v>50</v>
      </c>
      <c r="DE25" s="66" t="str">
        <f ca="1">IF( OR( BU25 = "", GB25 &lt;&gt; "existe" ), "", LARGE( DE$2:DE24, 1 ) + 1 )</f>
        <v/>
      </c>
      <c r="DF25" s="67" t="str">
        <f t="shared" si="188"/>
        <v>NUNCA</v>
      </c>
      <c r="DG25" s="67" t="str">
        <f t="shared" si="189"/>
        <v>BELEM</v>
      </c>
      <c r="DH25" s="67">
        <f t="shared" si="190"/>
        <v>1</v>
      </c>
      <c r="DI25" s="67" t="str">
        <f t="shared" si="191"/>
        <v>R</v>
      </c>
      <c r="DJ25" s="67" t="str">
        <f t="shared" si="192"/>
        <v>PASSAGEM SOL</v>
      </c>
      <c r="DK25" s="67" t="str">
        <f t="shared" si="193"/>
        <v>CREMACAO</v>
      </c>
      <c r="DL25" s="67" t="str">
        <f t="shared" si="194"/>
        <v>ENTRE AV CONSELHEIRO E 14 DE MARCO</v>
      </c>
      <c r="DM25" s="67" t="str">
        <f t="shared" si="195"/>
        <v>66040440</v>
      </c>
      <c r="DN25" s="70" t="str">
        <f t="shared" si="196"/>
        <v>0089-7</v>
      </c>
      <c r="DO25" s="70" t="str">
        <f t="shared" si="197"/>
        <v>0</v>
      </c>
      <c r="DP25" s="70" t="str">
        <f t="shared" si="198"/>
        <v>0</v>
      </c>
      <c r="DQ25" s="64" t="str">
        <f t="shared" si="199"/>
        <v/>
      </c>
      <c r="DR25" s="64" t="str">
        <f t="shared" si="200"/>
        <v>5308870</v>
      </c>
      <c r="DS25" s="64" t="str">
        <f t="shared" si="201"/>
        <v>000</v>
      </c>
      <c r="DT25" s="64" t="str">
        <f t="shared" si="202"/>
        <v/>
      </c>
      <c r="DU25" s="64" t="str">
        <f t="shared" si="203"/>
        <v/>
      </c>
      <c r="DV25" s="60" t="str">
        <f t="shared" si="204"/>
        <v>0055</v>
      </c>
      <c r="DW25" s="67" t="str">
        <f t="shared" si="205"/>
        <v>BELEM</v>
      </c>
      <c r="DX25" s="60" t="str" cm="1">
        <f t="array" ref="DX25">TEXT( MIG_NORMA.NÚMERICO( J25 ), "00000000000" )</f>
        <v>96864516253</v>
      </c>
      <c r="DY25" s="60" t="str" cm="1">
        <f t="array" ref="DY25">TEXT( MIG_NORMA.NÚMERICO( K25 ), "0000000" )</f>
        <v/>
      </c>
      <c r="DZ25" s="64" t="str">
        <f t="shared" si="206"/>
        <v>01/12/2025</v>
      </c>
      <c r="EA25" s="64" t="str">
        <f t="shared" si="207"/>
        <v>01/04/2026</v>
      </c>
      <c r="EB25" s="64" t="str">
        <f t="shared" si="208"/>
        <v>28/01/1991</v>
      </c>
      <c r="EC25" s="64" t="str">
        <f t="shared" si="209"/>
        <v/>
      </c>
      <c r="ED25" s="64" t="str">
        <f t="shared" si="210"/>
        <v/>
      </c>
      <c r="EE25" s="64" t="str">
        <f t="shared" si="211"/>
        <v/>
      </c>
      <c r="EF25" s="64" t="str">
        <f t="shared" si="212"/>
        <v>07/07/2020</v>
      </c>
      <c r="EG25" s="64" t="str">
        <f t="shared" si="213"/>
        <v/>
      </c>
      <c r="EH25" s="64" t="str">
        <f t="shared" si="214"/>
        <v/>
      </c>
      <c r="EI25" s="68" t="str">
        <f t="shared" si="215"/>
        <v/>
      </c>
      <c r="EJ25" s="64" t="str">
        <f t="shared" si="216"/>
        <v>01/12/2026</v>
      </c>
      <c r="EK25" s="64" t="str">
        <f t="shared" si="217"/>
        <v/>
      </c>
      <c r="EL25" s="64" t="str">
        <f t="shared" si="218"/>
        <v/>
      </c>
      <c r="EM25" s="64" t="str">
        <f t="shared" si="219"/>
        <v>01/12/2025</v>
      </c>
      <c r="EN25" s="64" t="str">
        <f t="shared" si="220"/>
        <v>01/04/2026</v>
      </c>
      <c r="EO25" s="64" t="str">
        <f t="shared" si="221"/>
        <v/>
      </c>
      <c r="EP25" s="64" t="str">
        <f t="shared" si="222"/>
        <v/>
      </c>
      <c r="EQ25" s="63" t="str">
        <f t="shared" si="223"/>
        <v>INSERT INTO PARCNEGOCIO ( NRPARCNEGOCIO, NRORG, NMPRINCIPALPARC, NMSECUNDARIPARC, DTNASCIFUNDPARC, NRINSCRICAOPARC, IDATIVO, DTINCLUSAO, NRORGINCLUSAO, CDOPERINCLUSAO, CDTIPOPARCPRINCIPAL, CDTIPOINSCRICAO, IDPESSOAFISICA, IDINSTITUICAO, IDPARCFUNDIDO ) VALUES ( 226, 5862, 'CAROLINE LIMA RODRIGUES', 'CAROLINE LIMA RODRIGUES', '28/01/1991', '96864516253', 'S', SYSDATE, 5862, '000000099991', 'PESSOA', 'CPF', 'S', 'N', 'N' );</v>
      </c>
      <c r="ER25" s="63" t="str">
        <f t="shared" si="224"/>
        <v>INSERT INTO GPE_PESSOA ( NRPESSOA, NRORG, NRPARCNEGOCIO, DTINCLUSAO, NRORGINCLUSAO, CDOPERINCLUSAO ) VALUES ( 23, 5862, 226, SYSDATE, 5862, '000000099991' );</v>
      </c>
      <c r="ES25"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( 23, 23, 5862, '01/01/2000', 'CAROLINE LIMA RODRIGUES', 'S', '96864516253', '', '', '', '', '', '', '', '', '', '', '', '', (SELECT NRCATMILITARPE FROM GPE_CATMILITARPE WHERE NRCATMILITARPE = ''), '', SYSDATE, 5862, '000000099991', '5', '1058', 'PA', (SELECT MAX(CDMUNICIPIO) FROM MUNICIPIO WHERE NMMUNICIPIO = 'BELEM'), '28/01/1991', 'F', '5308870', 'PC', 'PA', '07/07/2020', '1', '7' , '1');</v>
      </c>
      <c r="ET25"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(23, 23, 5862, '270000-2-E1071', '01/12/2025', '01/04/2026', SYSDATE, 5862, '000000099991', '1', '', '', '', '', '', '', 'CAROLINE LIMA RODRIGUES', '', '', '', '', '', '01/12/2026', '');</v>
      </c>
      <c r="EU25"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(67, 23, '', (SELECT MAX(NROCUPACAOM) FROM GPE_OCUPACAOH WHERE NRORG = 5862 AND CDINTEGRACAO = '0089-7'), (SELECT MAX(NROCUPACAOM) FROM GPE_OCUPACAOH WHERE NRORG = 5862 AND CDINTEGRACAO = '0089-7'), 5862, '01/01/2000', 'NUNCA', SYSDATE, 5862, '000000099991', '0', '0', '01/12/2025', 'SAL1', '', (SELECT MAX(NRESTRUTURAM) FROM ESTRUTURAM WHERE NRORG = 5862 AND CDINTESTRUTURA = 'est_MATSAUDE'), NVL((SELECT MAX(NRESTRUTURAM) FROM ESTRUTURAM WHERE NRORG = 5862 AND CDINTESTRUTURA = 'dep_270000'), 999992), NVL((SELECT MAX(NRESTRUTURAM) FROM ESTRUTURAM WHERE NRORG = 5862 AND CDINTESTRUTURA = ''), 999993), '1', 'UNICO', '', 2, '', 'N', (SELECT MAX(NRESCALATRABM) FROM GPE_ESCALATRABH WHERE NRORG = 5862 AND NRESCALATRABM = '000011') );</v>
      </c>
      <c r="EV25"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68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67;</v>
      </c>
      <c r="EW25"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69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67;</v>
      </c>
      <c r="EX25" s="63" t="str">
        <f t="shared" si="59"/>
        <v>INSERT INTO GPE_ALTESITUFUNC ( NRALTESITUFUNC, NRORG, NRSITUFUNCM, NRVINCULOM, DTINISITUFUNC, DTINCLUSAO, NRORGINCLUSAO, CDOPERINCLUSAO ) VALUES ( 23, 5862, (CASE WHEN '' IS NOT NULL THEN '' WHEN '01/04/2026' IS NULL THEN '1' ELSE '13' END), 23, '01/04/2026', SYSDATE, 5862, '000000099991' );</v>
      </c>
      <c r="EY25" s="63" t="str">
        <f t="shared" si="228"/>
        <v/>
      </c>
      <c r="EZ25" s="63" t="str">
        <f t="shared" si="229"/>
        <v/>
      </c>
      <c r="FA25" s="63" t="str">
        <f t="shared" si="61"/>
        <v>INSERT INTO COMUNICAPARC ( NRCOMUNICAPARC, NRPARCNEGOCIO, CDFORMACOMU, CDPREFIXCOMUPARC, CDCOMUNICAPARC, NRORG, IDATIVO, DTINCLUSAO, NRORGINCLUSAO, CDOPERINCLUSAO ) VALUES ( 25, 226, '02', '91', '984468020', 5862, 'S', SYSDATE, 5862, '000000099991' );</v>
      </c>
      <c r="FB25" s="63" t="str">
        <f t="shared" si="62"/>
        <v>INSERT INTO COMUNICAPARC ( NRCOMUNICAPARC, NRPARCNEGOCIO, CDFORMACOMU, CDCOMUNICAPARC, NRORG, IDATIVO, DTINCLUSAO, NRORGINCLUSAO, CDOPERINCLUSAO ) VALUES ( 52, 226, '05', 'caraolt.amor@hotmail.com', 5862, 'S', SYSDATE, 5862, '000000099991' );</v>
      </c>
      <c r="FC25" s="63" t="str">
        <f t="shared" si="230"/>
        <v>INSERT INTO ENDERECOPARC ( NRENDERECOPARC, NRPARCNEGOCIO, CDTIPOENDERECO, NRORG, IDATIVO, DTINCLUSAO, NRORGINCLUSAO, CDOPERINCLUSAO, CDPAIS, CDMUNICIPIO, CDLOGRADOURO, NMBAIRROENDERECO, DSCOMPLEENDERECO, NRCEPENDERECO, DSENDERECO, NRIMOVELENDERECO, SGESTADO ) VALUES ( 33, 226, 'PRINCIPAL', 5862, 'S', SYSDATE, 5862, '000000099991', '0055', ( SELECT MAX(CDMUNICIPIO) FROM MUNICIPIO WHERE NMMUNICIPIO = 'BELEM' AND SGESTADO = 'PA' ), 'R', 'CREMACAO', 'ENTRE AV CONSELHEIRO E 14 DE MARCO', '66040440', 'PASSAGEM SOL', '65', 'PA');</v>
      </c>
      <c r="FD25" s="63" t="str">
        <f t="shared" ca="1" si="231"/>
        <v>INSERT INTO GPE_MOVIMENTACAO ( NRMOVIMENTACAO, NRORG, NRVINCULOM, NRTIPOTRANSFER, NRTPMOVTRANSFM, NRESTRUTURAM, DTINIMOVIMENT, DSOBSERVACAO, DTINCLUSAO, NRORGINCLUSAO, CDOPERINCLUSAO, NRTIPOESTRUTURA ) VALUES ( 23, 5862, 23, 1, 1, (SELECT MAX(NRESTRUTURAM) FROM ESTRUTURAM WHERE NRORG = 5862 AND CDINTESTRUTURA = 'est_MATSAUDE' AND NRTIPOESTRUTURA = (SELECT NRTPESTRUTLEGAL FROM GPE_PARAMORG WHERE NRORG = 5862)), '01/12/2025', 'Movimentacao gerada via migracao ' || SYSDATE, SYSDATE, 5862, '000000099991', ( SELECT NRTPESTRUTLEGAL FROM GPE_PARAMORG WHERE NRORG = 5862 ) );</v>
      </c>
      <c r="FE25" s="63" t="str">
        <f t="shared" ca="1" si="232"/>
        <v>INSERT INTO GPE_MOVIMENTACAO ( NRMOVIMENTACAO, NRORG, NRVINCULOM, NRTIPOTRANSFER, NRTPMOVTRANSFM, NRESTRUTURAM, DTINIMOVIMENT, DSOBSERVACAO, DTINCLUSAO, NRORGINCLUSAO, CDOPERINCLUSAO, NRTIPOESTRUTURA ) VALUES ( 50, 5862, 23, 2, 1, (SELECT MAX(NRESTRUTURAM) FROM ESTRUTURAM WHERE NRORG = 5862 AND CDINTESTRUTURA = 'dep_270000' AND NRTIPOESTRUTURA = (SELECT NRTPESTRUTGEREN FROM GPE_PARAMORG WHERE NRORG = 5862)), '01/12/2025', 'Movimentacao gerada via migracao ' || SYSDATE, SYSDATE, 5862, '000000099991', ( SELECT NRTPESTRUTGEREN FROM GPE_PARAMORG WHERE NRORG = 5862 ) );</v>
      </c>
      <c r="FF25" s="63" t="str">
        <f t="shared" ca="1" si="233"/>
        <v/>
      </c>
      <c r="FG25" s="63" t="str">
        <f t="shared" si="181"/>
        <v>COMMIT;</v>
      </c>
      <c r="FI25" s="21" t="str">
        <f ca="1"/>
        <v>não</v>
      </c>
      <c r="FL25" s="21" t="str">
        <f ca="1"/>
        <v>existe</v>
      </c>
      <c r="FP25" s="21" t="str">
        <f ca="1"/>
        <v>existe</v>
      </c>
      <c r="FT25" s="21" t="str">
        <f ca="1"/>
        <v>existe</v>
      </c>
      <c r="FX25" s="21" t="str">
        <f ca="1"/>
        <v>existe</v>
      </c>
      <c r="GB25" s="21">
        <f ca="1"/>
        <v>0</v>
      </c>
    </row>
    <row r="26" spans="1:186" x14ac:dyDescent="0.3">
      <c r="A26" s="16" t="s">
        <v>849</v>
      </c>
      <c r="B26" s="16" t="s">
        <v>880</v>
      </c>
      <c r="C26" s="16" t="s">
        <v>881</v>
      </c>
      <c r="E26" s="16" t="s">
        <v>432</v>
      </c>
      <c r="F26" s="16" t="s">
        <v>391</v>
      </c>
      <c r="G26" s="16" t="s">
        <v>323</v>
      </c>
      <c r="H26" s="16" t="s">
        <v>882</v>
      </c>
      <c r="I26" s="16" t="s">
        <v>224</v>
      </c>
      <c r="J26" s="16" t="s">
        <v>883</v>
      </c>
      <c r="Q26" s="16" t="s">
        <v>884</v>
      </c>
      <c r="R26" s="16" t="s">
        <v>324</v>
      </c>
      <c r="S26" s="16" t="s">
        <v>396</v>
      </c>
      <c r="T26" s="16" t="s">
        <v>885</v>
      </c>
      <c r="AC26" s="16" t="s">
        <v>273</v>
      </c>
      <c r="AD26" s="16" t="s">
        <v>403</v>
      </c>
      <c r="AE26" t="s">
        <v>396</v>
      </c>
      <c r="AF26" s="16" t="s">
        <v>404</v>
      </c>
      <c r="AG26" s="16" t="s">
        <v>886</v>
      </c>
      <c r="AH26" s="16" t="s">
        <v>218</v>
      </c>
      <c r="AI26" s="16" t="s">
        <v>303</v>
      </c>
      <c r="AJ26" s="16" t="s">
        <v>406</v>
      </c>
      <c r="AK26" s="16" t="s">
        <v>887</v>
      </c>
      <c r="AL26" s="16" t="s">
        <v>888</v>
      </c>
      <c r="AM26" s="16" t="s">
        <v>271</v>
      </c>
      <c r="AN26" s="16" t="s">
        <v>270</v>
      </c>
      <c r="AO26" s="16" t="s">
        <v>219</v>
      </c>
      <c r="AP26" s="98" t="s">
        <v>2567</v>
      </c>
      <c r="AQ26" s="16" t="s">
        <v>410</v>
      </c>
      <c r="AR26" s="16" t="s">
        <v>1747</v>
      </c>
      <c r="AS26" s="16" t="s">
        <v>396</v>
      </c>
      <c r="AT26" s="16" t="s">
        <v>404</v>
      </c>
      <c r="AU26" s="16" t="s">
        <v>469</v>
      </c>
      <c r="AV26" s="16" t="s">
        <v>889</v>
      </c>
      <c r="AW26" s="16" t="s">
        <v>890</v>
      </c>
      <c r="AX26" s="16" t="s">
        <v>891</v>
      </c>
      <c r="AY26" s="16" t="s">
        <v>892</v>
      </c>
      <c r="AZ26" s="16" t="s">
        <v>893</v>
      </c>
      <c r="BA26" s="16" t="s">
        <v>270</v>
      </c>
      <c r="BB26" t="s">
        <v>1746</v>
      </c>
      <c r="BF26" s="16" t="s">
        <v>451</v>
      </c>
      <c r="BG26" s="16" t="s">
        <v>304</v>
      </c>
      <c r="BN26" t="s">
        <v>1746</v>
      </c>
      <c r="BP26" s="16" t="s">
        <v>849</v>
      </c>
      <c r="BQ26" s="16" t="s">
        <v>419</v>
      </c>
      <c r="BR26" s="16" t="s">
        <v>419</v>
      </c>
      <c r="BS26" s="16" t="s">
        <v>270</v>
      </c>
      <c r="BT26" s="16" t="s">
        <v>313</v>
      </c>
      <c r="BX26" s="16" t="s">
        <v>860</v>
      </c>
      <c r="CC26" s="16" t="s">
        <v>270</v>
      </c>
      <c r="CD26"/>
      <c r="CE26" s="16" t="s">
        <v>894</v>
      </c>
      <c r="CF26" s="16" t="s">
        <v>453</v>
      </c>
      <c r="CG26" s="16" t="s">
        <v>895</v>
      </c>
      <c r="CH26" s="16" t="s">
        <v>896</v>
      </c>
      <c r="CI26"/>
      <c r="CJ26" s="16" t="s">
        <v>428</v>
      </c>
      <c r="CK26" s="16" t="s">
        <v>897</v>
      </c>
      <c r="CM26" s="79"/>
      <c r="CN26" s="63"/>
      <c r="CO26" s="63"/>
      <c r="CP26" s="85">
        <f t="shared" ref="CP26:CS26" si="242">CP25+1</f>
        <v>227</v>
      </c>
      <c r="CQ26" s="85">
        <f t="shared" si="242"/>
        <v>24</v>
      </c>
      <c r="CR26" s="85">
        <f t="shared" si="242"/>
        <v>24</v>
      </c>
      <c r="CS26" s="85">
        <f t="shared" si="242"/>
        <v>24</v>
      </c>
      <c r="CT26" s="85">
        <f t="shared" ref="CT26:CV26" si="243">CT25+3</f>
        <v>70</v>
      </c>
      <c r="CU26" s="65">
        <f t="shared" si="243"/>
        <v>71</v>
      </c>
      <c r="CV26" s="65">
        <f t="shared" si="243"/>
        <v>72</v>
      </c>
      <c r="CW26" s="85">
        <f t="shared" si="132"/>
        <v>24</v>
      </c>
      <c r="CX26" s="85">
        <f t="shared" si="184"/>
        <v>12</v>
      </c>
      <c r="CY26" s="85">
        <f t="shared" si="185"/>
        <v>2</v>
      </c>
      <c r="CZ26" s="85">
        <f t="shared" si="186"/>
        <v>26</v>
      </c>
      <c r="DA26" s="85">
        <f t="shared" si="187"/>
        <v>53</v>
      </c>
      <c r="DB26" s="85">
        <f t="shared" si="133"/>
        <v>34</v>
      </c>
      <c r="DC26" s="85">
        <f ca="1">IF( OR( AP26 = "", FT26 &lt;&gt; "existe" ), "", LARGE( DC$2:DC25, 1 ) + 1 )</f>
        <v>24</v>
      </c>
      <c r="DD26" s="66">
        <f ca="1">IF( OR( AQ26 = "", FX26 &lt;&gt; "existe" ), "", LARGE( DD$2:DD25, 1 ) + 1 )</f>
        <v>51</v>
      </c>
      <c r="DE26" s="66" t="str">
        <f ca="1">IF( OR( BU26 = "", GB26 &lt;&gt; "existe" ), "", LARGE( DE$2:DE25, 1 ) + 1 )</f>
        <v/>
      </c>
      <c r="DF26" s="67" t="str">
        <f t="shared" si="188"/>
        <v>NUNCA</v>
      </c>
      <c r="DG26" s="67" t="str">
        <f t="shared" si="189"/>
        <v>BELEM</v>
      </c>
      <c r="DH26" s="67">
        <f t="shared" si="190"/>
        <v>1</v>
      </c>
      <c r="DI26" s="67" t="str">
        <f t="shared" si="191"/>
        <v>TV</v>
      </c>
      <c r="DJ26" s="67" t="str">
        <f t="shared" si="192"/>
        <v>TRES DE MAIO</v>
      </c>
      <c r="DK26" s="67" t="str">
        <f t="shared" si="193"/>
        <v>SAO BRAS</v>
      </c>
      <c r="DL26" s="67" t="str">
        <f t="shared" si="194"/>
        <v>FUNDOS</v>
      </c>
      <c r="DM26" s="67" t="str">
        <f t="shared" si="195"/>
        <v>66063383</v>
      </c>
      <c r="DN26" s="70" t="str">
        <f t="shared" si="196"/>
        <v>0089-1</v>
      </c>
      <c r="DO26" s="70" t="str">
        <f t="shared" si="197"/>
        <v>0</v>
      </c>
      <c r="DP26" s="70" t="str">
        <f t="shared" si="198"/>
        <v>0</v>
      </c>
      <c r="DQ26" s="64" t="str">
        <f t="shared" si="199"/>
        <v/>
      </c>
      <c r="DR26" s="64" t="str">
        <f t="shared" si="200"/>
        <v>9350823</v>
      </c>
      <c r="DS26" s="64" t="str">
        <f t="shared" si="201"/>
        <v>237</v>
      </c>
      <c r="DT26" s="64" t="str">
        <f t="shared" si="202"/>
        <v>63473</v>
      </c>
      <c r="DU26" s="64" t="str">
        <f t="shared" si="203"/>
        <v>6734987</v>
      </c>
      <c r="DV26" s="60" t="str">
        <f t="shared" si="204"/>
        <v>0055</v>
      </c>
      <c r="DW26" s="67" t="str">
        <f t="shared" si="205"/>
        <v>BELEM</v>
      </c>
      <c r="DX26" s="60" t="str" cm="1">
        <f t="array" ref="DX26">TEXT( MIG_NORMA.NÚMERICO( J26 ), "00000000000" )</f>
        <v>01815942266</v>
      </c>
      <c r="DY26" s="60" t="str" cm="1">
        <f t="array" ref="DY26">TEXT( MIG_NORMA.NÚMERICO( K26 ), "0000000" )</f>
        <v/>
      </c>
      <c r="DZ26" s="64" t="str">
        <f t="shared" si="206"/>
        <v>01/12/2025</v>
      </c>
      <c r="EA26" s="64" t="str">
        <f t="shared" si="207"/>
        <v>30/11/2027</v>
      </c>
      <c r="EB26" s="64" t="str">
        <f t="shared" si="208"/>
        <v>28/11/2004</v>
      </c>
      <c r="EC26" s="64" t="str">
        <f t="shared" si="209"/>
        <v/>
      </c>
      <c r="ED26" s="64" t="str">
        <f t="shared" si="210"/>
        <v/>
      </c>
      <c r="EE26" s="64" t="str">
        <f t="shared" si="211"/>
        <v/>
      </c>
      <c r="EF26" s="64" t="str">
        <f t="shared" si="212"/>
        <v>18/07/2023</v>
      </c>
      <c r="EG26" s="64" t="str">
        <f t="shared" si="213"/>
        <v/>
      </c>
      <c r="EH26" s="64" t="str">
        <f t="shared" si="214"/>
        <v/>
      </c>
      <c r="EI26" s="68" t="str">
        <f t="shared" si="215"/>
        <v/>
      </c>
      <c r="EJ26" s="64" t="str">
        <f t="shared" si="216"/>
        <v>01/12/2026</v>
      </c>
      <c r="EK26" s="64" t="str">
        <f t="shared" si="217"/>
        <v/>
      </c>
      <c r="EL26" s="64" t="str">
        <f t="shared" si="218"/>
        <v/>
      </c>
      <c r="EM26" s="64" t="str">
        <f t="shared" si="219"/>
        <v>01/12/2025</v>
      </c>
      <c r="EN26" s="64" t="str">
        <f t="shared" si="220"/>
        <v>30/11/2027</v>
      </c>
      <c r="EO26" s="64" t="str">
        <f t="shared" si="221"/>
        <v/>
      </c>
      <c r="EP26" s="64" t="str">
        <f t="shared" si="222"/>
        <v/>
      </c>
      <c r="EQ26" s="63" t="str">
        <f t="shared" si="223"/>
        <v>INSERT INTO PARCNEGOCIO ( NRPARCNEGOCIO, NRORG, NMPRINCIPALPARC, NMSECUNDARIPARC, DTNASCIFUNDPARC, NRINSCRICAOPARC, IDATIVO, DTINCLUSAO, NRORGINCLUSAO, CDOPERINCLUSAO, CDTIPOPARCPRINCIPAL, CDTIPOINSCRICAO, IDPESSOAFISICA, IDINSTITUICAO, IDPARCFUNDIDO ) VALUES ( 227, 5862, 'LUDMYLLA SAMYA MACIEL VEIGA', 'LUDMYLLA SAMYA MACIEL VEIGA', '28/11/2004', '01815942266', 'S', SYSDATE, 5862, '000000099991', 'PESSOA', 'CPF', 'S', 'N', 'N' );</v>
      </c>
      <c r="ER26" s="63" t="str">
        <f t="shared" si="224"/>
        <v>INSERT INTO GPE_PESSOA ( NRPESSOA, NRORG, NRPARCNEGOCIO, DTINCLUSAO, NRORGINCLUSAO, CDOPERINCLUSAO ) VALUES ( 24, 5862, 227, SYSDATE, 5862, '000000099991' );</v>
      </c>
      <c r="ES26"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( 24, 24, 5862, '01/01/2000', 'LUDMYLLA SAMYA MACIEL VEIGA', 'S', '01815942266', '', '', '', '', '', '', '', '', '', '', '', '', (SELECT NRCATMILITARPE FROM GPE_CATMILITARPE WHERE NRCATMILITARPE = ''), '', SYSDATE, 5862, '000000099991', '5', '1058', 'PA', (SELECT MAX(CDMUNICIPIO) FROM MUNICIPIO WHERE NMMUNICIPIO = 'BELEM'), '28/11/2004', 'F', '9350823', 'SSP', 'PA', '18/07/2023', '1', '8' , '1');</v>
      </c>
      <c r="ET26"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(24, 24, 5862, '290000-2-E1073', '01/12/2025', '30/11/2027', SYSDATE, 5862, '000000099991', '1', '', '', '', '', '', '', 'LUDMYLLA SAMYA MACIEL VEIGA', '', '', '', '', '', '01/12/2026', '');</v>
      </c>
      <c r="EU26"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(70, 24, '', (SELECT MAX(NROCUPACAOM) FROM GPE_OCUPACAOH WHERE NRORG = 5862 AND CDINTEGRACAO = '0089-1'), (SELECT MAX(NROCUPACAOM) FROM GPE_OCUPACAOH WHERE NRORG = 5862 AND CDINTEGRACAO = '0089-1'), 5862, '01/01/2000', 'NUNCA', SYSDATE, 5862, '000000099991', '0', '0', '01/12/2025', 'SAL1', 'MENSAL', (SELECT MAX(NRESTRUTURAM) FROM ESTRUTURAM WHERE NRORG = 5862 AND CDINTESTRUTURA = 'est_MATSAUDE'), NVL((SELECT MAX(NRESTRUTURAM) FROM ESTRUTURAM WHERE NRORG = 5862 AND CDINTESTRUTURA = 'dep_290000'), 999992), NVL((SELECT MAX(NRESTRUTURAM) FROM ESTRUTURAM WHERE NRORG = 5862 AND CDINTESTRUTURA = ''), 999993), '1', 'UNICO', '', 2, '', 'N', (SELECT MAX(NRESCALATRABM) FROM GPE_ESCALATRABH WHERE NRORG = 5862 AND NRESCALATRABM = '000007') );</v>
      </c>
      <c r="EV26"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71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70;</v>
      </c>
      <c r="EW26"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72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70;</v>
      </c>
      <c r="EX26" s="63" t="str">
        <f t="shared" si="59"/>
        <v>INSERT INTO GPE_ALTESITUFUNC ( NRALTESITUFUNC, NRORG, NRSITUFUNCM, NRVINCULOM, DTINISITUFUNC, DTINCLUSAO, NRORGINCLUSAO, CDOPERINCLUSAO ) VALUES ( 24, 5862, (CASE WHEN '' IS NOT NULL THEN '' WHEN '30/11/2027' IS NULL THEN '1' ELSE '13' END), 24, '30/11/2027', SYSDATE, 5862, '000000099991' );</v>
      </c>
      <c r="EY26" s="63" t="str">
        <f t="shared" si="228"/>
        <v>INSERT INTO CONTCORRPARC ( NRCONTCORRPARC, NRORG, NRPARCNEGOCIO, CDBANCO, CDAGENCIA, CDCONTCORR, NRTPCONTCORR, DTINCLUSAO, NRORGINCLUSAO, CDOPERINCLUSAO, IDATIVO ) VALUES ( 12, 5862, 227, '237', '63473', '6734987', '2', SYSDATE, 5862, '000000099991', 'S' );</v>
      </c>
      <c r="EZ26" s="63" t="str">
        <f t="shared" si="229"/>
        <v/>
      </c>
      <c r="FA26" s="63" t="str">
        <f t="shared" si="61"/>
        <v>INSERT INTO COMUNICAPARC ( NRCOMUNICAPARC, NRPARCNEGOCIO, CDFORMACOMU, CDPREFIXCOMUPARC, CDCOMUNICAPARC, NRORG, IDATIVO, DTINCLUSAO, NRORGINCLUSAO, CDOPERINCLUSAO ) VALUES ( 26, 227, '02', '91', '981147417', 5862, 'S', SYSDATE, 5862, '000000099991' );</v>
      </c>
      <c r="FB26" s="63" t="str">
        <f t="shared" si="62"/>
        <v>INSERT INTO COMUNICAPARC ( NRCOMUNICAPARC, NRPARCNEGOCIO, CDFORMACOMU, CDCOMUNICAPARC, NRORG, IDATIVO, DTINCLUSAO, NRORGINCLUSAO, CDOPERINCLUSAO ) VALUES ( 53, 227, '05', '01815942266@finama.edu.br', 5862, 'S', SYSDATE, 5862, '000000099991' );</v>
      </c>
      <c r="FC26" s="63" t="str">
        <f t="shared" si="230"/>
        <v>INSERT INTO ENDERECOPARC ( NRENDERECOPARC, NRPARCNEGOCIO, CDTIPOENDERECO, NRORG, IDATIVO, DTINCLUSAO, NRORGINCLUSAO, CDOPERINCLUSAO, CDPAIS, CDMUNICIPIO, CDLOGRADOURO, NMBAIRROENDERECO, DSCOMPLEENDERECO, NRCEPENDERECO, DSENDERECO, NRIMOVELENDERECO, SGESTADO ) VALUES ( 34, 227, 'PRINCIPAL', 5862, 'S', SYSDATE, 5862, '000000099991', '0055', ( SELECT MAX(CDMUNICIPIO) FROM MUNICIPIO WHERE NMMUNICIPIO = 'BELEM' AND SGESTADO = 'PA' ), 'TV', 'SAO BRAS', 'FUNDOS', '66063383', 'TRES DE MAIO', '259', 'PA');</v>
      </c>
      <c r="FD26" s="63" t="str">
        <f t="shared" ca="1" si="231"/>
        <v>INSERT INTO GPE_MOVIMENTACAO ( NRMOVIMENTACAO, NRORG, NRVINCULOM, NRTIPOTRANSFER, NRTPMOVTRANSFM, NRESTRUTURAM, DTINIMOVIMENT, DSOBSERVACAO, DTINCLUSAO, NRORGINCLUSAO, CDOPERINCLUSAO, NRTIPOESTRUTURA ) VALUES ( 24, 5862, 24, 1, 1, (SELECT MAX(NRESTRUTURAM) FROM ESTRUTURAM WHERE NRORG = 5862 AND CDINTESTRUTURA = 'est_MATSAUDE' AND NRTIPOESTRUTURA = (SELECT NRTPESTRUTLEGAL FROM GPE_PARAMORG WHERE NRORG = 5862)), '01/12/2025', 'Movimentacao gerada via migracao ' || SYSDATE, SYSDATE, 5862, '000000099991', ( SELECT NRTPESTRUTLEGAL FROM GPE_PARAMORG WHERE NRORG = 5862 ) );</v>
      </c>
      <c r="FE26" s="63" t="str">
        <f t="shared" ca="1" si="232"/>
        <v>INSERT INTO GPE_MOVIMENTACAO ( NRMOVIMENTACAO, NRORG, NRVINCULOM, NRTIPOTRANSFER, NRTPMOVTRANSFM, NRESTRUTURAM, DTINIMOVIMENT, DSOBSERVACAO, DTINCLUSAO, NRORGINCLUSAO, CDOPERINCLUSAO, NRTIPOESTRUTURA ) VALUES ( 51, 5862, 24, 2, 1, (SELECT MAX(NRESTRUTURAM) FROM ESTRUTURAM WHERE NRORG = 5862 AND CDINTESTRUTURA = 'dep_290000' AND NRTIPOESTRUTURA = (SELECT NRTPESTRUTGEREN FROM GPE_PARAMORG WHERE NRORG = 5862)), '01/12/2025', 'Movimentacao gerada via migracao ' || SYSDATE, SYSDATE, 5862, '000000099991', ( SELECT NRTPESTRUTGEREN FROM GPE_PARAMORG WHERE NRORG = 5862 ) );</v>
      </c>
      <c r="FF26" s="63" t="str">
        <f t="shared" ca="1" si="233"/>
        <v/>
      </c>
      <c r="FG26" s="63" t="str">
        <f t="shared" si="181"/>
        <v>COMMIT;</v>
      </c>
      <c r="FI26" s="21" t="str">
        <f ca="1"/>
        <v>não</v>
      </c>
      <c r="FL26" s="21" t="str">
        <f ca="1"/>
        <v>existe</v>
      </c>
      <c r="FP26" s="21" t="str">
        <f ca="1"/>
        <v>existe</v>
      </c>
      <c r="FT26" s="21" t="str">
        <f ca="1"/>
        <v>existe</v>
      </c>
      <c r="FX26" s="21" t="str">
        <f ca="1"/>
        <v>existe</v>
      </c>
      <c r="GB26" s="21">
        <f ca="1"/>
        <v>0</v>
      </c>
    </row>
    <row r="27" spans="1:186" x14ac:dyDescent="0.3">
      <c r="A27" s="16" t="s">
        <v>849</v>
      </c>
      <c r="B27"/>
      <c r="C27" s="16" t="s">
        <v>898</v>
      </c>
      <c r="E27" s="16" t="s">
        <v>390</v>
      </c>
      <c r="F27" s="16" t="s">
        <v>391</v>
      </c>
      <c r="G27" s="16" t="s">
        <v>323</v>
      </c>
      <c r="H27" s="16" t="s">
        <v>899</v>
      </c>
      <c r="I27" s="16" t="s">
        <v>224</v>
      </c>
      <c r="J27" s="16" t="s">
        <v>900</v>
      </c>
      <c r="K27" s="16" t="s">
        <v>901</v>
      </c>
      <c r="L27" s="16" t="s">
        <v>902</v>
      </c>
      <c r="M27" s="16" t="s">
        <v>396</v>
      </c>
      <c r="N27" s="16" t="s">
        <v>903</v>
      </c>
      <c r="O27" s="16" t="s">
        <v>904</v>
      </c>
      <c r="Q27" s="16" t="s">
        <v>905</v>
      </c>
      <c r="R27" s="16" t="s">
        <v>439</v>
      </c>
      <c r="S27" s="16" t="s">
        <v>396</v>
      </c>
      <c r="T27" s="16" t="s">
        <v>906</v>
      </c>
      <c r="U27" s="16" t="s">
        <v>907</v>
      </c>
      <c r="V27" s="16" t="s">
        <v>818</v>
      </c>
      <c r="W27" s="16" t="s">
        <v>908</v>
      </c>
      <c r="AC27" s="16" t="s">
        <v>273</v>
      </c>
      <c r="AD27" s="16" t="s">
        <v>403</v>
      </c>
      <c r="AE27" t="s">
        <v>396</v>
      </c>
      <c r="AF27" s="16" t="s">
        <v>909</v>
      </c>
      <c r="AG27" s="16" t="s">
        <v>910</v>
      </c>
      <c r="AH27" s="16" t="s">
        <v>218</v>
      </c>
      <c r="AI27" s="16" t="s">
        <v>303</v>
      </c>
      <c r="AJ27" s="16" t="s">
        <v>406</v>
      </c>
      <c r="AK27" s="16" t="s">
        <v>551</v>
      </c>
      <c r="AL27" s="16" t="s">
        <v>911</v>
      </c>
      <c r="AM27" s="16" t="s">
        <v>271</v>
      </c>
      <c r="AN27" s="16" t="s">
        <v>270</v>
      </c>
      <c r="AO27" s="16" t="s">
        <v>219</v>
      </c>
      <c r="AP27" s="98" t="s">
        <v>2567</v>
      </c>
      <c r="AQ27" s="16" t="s">
        <v>912</v>
      </c>
      <c r="AR27" s="16" t="s">
        <v>1747</v>
      </c>
      <c r="AS27" s="16" t="s">
        <v>396</v>
      </c>
      <c r="AT27" s="16" t="s">
        <v>404</v>
      </c>
      <c r="AU27" s="16" t="s">
        <v>913</v>
      </c>
      <c r="AV27" s="16" t="s">
        <v>914</v>
      </c>
      <c r="AW27" s="16" t="s">
        <v>915</v>
      </c>
      <c r="AX27" s="16" t="s">
        <v>916</v>
      </c>
      <c r="AY27" s="16" t="s">
        <v>917</v>
      </c>
      <c r="AZ27" s="16" t="s">
        <v>918</v>
      </c>
      <c r="BA27" s="16" t="s">
        <v>270</v>
      </c>
      <c r="BB27" t="s">
        <v>1746</v>
      </c>
      <c r="BC27" s="16" t="s">
        <v>849</v>
      </c>
      <c r="BF27" s="16" t="s">
        <v>919</v>
      </c>
      <c r="BG27" s="16" t="s">
        <v>304</v>
      </c>
      <c r="BM27" s="16" t="s">
        <v>920</v>
      </c>
      <c r="BN27" s="16" t="s">
        <v>270</v>
      </c>
      <c r="BO27" s="16" t="s">
        <v>270</v>
      </c>
      <c r="BP27" s="16" t="s">
        <v>849</v>
      </c>
      <c r="BQ27" s="16" t="s">
        <v>419</v>
      </c>
      <c r="BR27" s="16" t="s">
        <v>419</v>
      </c>
      <c r="BS27" s="16" t="s">
        <v>270</v>
      </c>
      <c r="BT27" s="16" t="s">
        <v>314</v>
      </c>
      <c r="BU27" s="16" t="s">
        <v>532</v>
      </c>
      <c r="BV27" s="16" t="s">
        <v>334</v>
      </c>
      <c r="BW27" s="16" t="s">
        <v>334</v>
      </c>
      <c r="BX27" s="16" t="s">
        <v>860</v>
      </c>
      <c r="CC27" s="16" t="s">
        <v>270</v>
      </c>
      <c r="CD27"/>
      <c r="CE27" s="16" t="s">
        <v>921</v>
      </c>
      <c r="CF27" s="16" t="s">
        <v>922</v>
      </c>
      <c r="CG27" s="16" t="s">
        <v>923</v>
      </c>
      <c r="CH27" s="16" t="s">
        <v>924</v>
      </c>
      <c r="CI27"/>
      <c r="CJ27" s="16" t="s">
        <v>428</v>
      </c>
      <c r="CK27" s="16" t="s">
        <v>925</v>
      </c>
      <c r="CM27" s="79"/>
      <c r="CN27" s="63"/>
      <c r="CO27" s="63"/>
      <c r="CP27" s="85">
        <f t="shared" ref="CP27:CS27" si="244">CP26+1</f>
        <v>228</v>
      </c>
      <c r="CQ27" s="85">
        <f t="shared" si="244"/>
        <v>25</v>
      </c>
      <c r="CR27" s="85">
        <f t="shared" si="244"/>
        <v>25</v>
      </c>
      <c r="CS27" s="85">
        <f t="shared" si="244"/>
        <v>25</v>
      </c>
      <c r="CT27" s="85">
        <f t="shared" ref="CT27:CV27" si="245">CT26+3</f>
        <v>73</v>
      </c>
      <c r="CU27" s="65">
        <f t="shared" si="245"/>
        <v>74</v>
      </c>
      <c r="CV27" s="65">
        <f t="shared" si="245"/>
        <v>75</v>
      </c>
      <c r="CW27" s="85">
        <f t="shared" si="132"/>
        <v>25</v>
      </c>
      <c r="CX27" s="85">
        <f t="shared" si="184"/>
        <v>13</v>
      </c>
      <c r="CY27" s="85">
        <f t="shared" si="185"/>
        <v>2</v>
      </c>
      <c r="CZ27" s="85">
        <f t="shared" si="186"/>
        <v>27</v>
      </c>
      <c r="DA27" s="85">
        <f t="shared" si="187"/>
        <v>54</v>
      </c>
      <c r="DB27" s="85">
        <f t="shared" si="133"/>
        <v>35</v>
      </c>
      <c r="DC27" s="85">
        <f ca="1">IF( OR( AP27 = "", FT27 &lt;&gt; "existe" ), "", LARGE( DC$2:DC26, 1 ) + 1 )</f>
        <v>25</v>
      </c>
      <c r="DD27" s="66">
        <f ca="1">IF( OR( AQ27 = "", FX27 &lt;&gt; "existe" ), "", LARGE( DD$2:DD26, 1 ) + 1 )</f>
        <v>52</v>
      </c>
      <c r="DE27" s="66">
        <f ca="1">IF( OR( BU27 = "", GB27 &lt;&gt; "existe" ), "", LARGE( DE$2:DE26, 1 ) + 1 )</f>
        <v>63</v>
      </c>
      <c r="DF27" s="67" t="str">
        <f t="shared" si="188"/>
        <v>NUNCA</v>
      </c>
      <c r="DG27" s="67" t="str">
        <f t="shared" si="189"/>
        <v>BRAGANCA</v>
      </c>
      <c r="DH27" s="67">
        <f t="shared" si="190"/>
        <v>1</v>
      </c>
      <c r="DI27" s="67" t="str">
        <f t="shared" si="191"/>
        <v>CJ</v>
      </c>
      <c r="DJ27" s="67" t="str">
        <f t="shared" si="192"/>
        <v>CDP - WE QUADRA 30</v>
      </c>
      <c r="DK27" s="67" t="str">
        <f t="shared" si="193"/>
        <v>CDP</v>
      </c>
      <c r="DL27" s="67" t="str">
        <f t="shared" si="194"/>
        <v>PROXIMO AO POSTO DE SAUDE</v>
      </c>
      <c r="DM27" s="67" t="str">
        <f t="shared" si="195"/>
        <v>66110010</v>
      </c>
      <c r="DN27" s="70" t="str">
        <f t="shared" si="196"/>
        <v>0150-00000001</v>
      </c>
      <c r="DO27" s="70" t="str">
        <f t="shared" si="197"/>
        <v>0</v>
      </c>
      <c r="DP27" s="70" t="str">
        <f t="shared" si="198"/>
        <v>0</v>
      </c>
      <c r="DQ27" s="64" t="str">
        <f t="shared" si="199"/>
        <v/>
      </c>
      <c r="DR27" s="64" t="str">
        <f t="shared" si="200"/>
        <v>2314199</v>
      </c>
      <c r="DS27" s="64" t="str">
        <f t="shared" si="201"/>
        <v>237</v>
      </c>
      <c r="DT27" s="64" t="str">
        <f t="shared" si="202"/>
        <v>04871</v>
      </c>
      <c r="DU27" s="64" t="str">
        <f t="shared" si="203"/>
        <v>397482</v>
      </c>
      <c r="DV27" s="60" t="str">
        <f t="shared" si="204"/>
        <v>0055</v>
      </c>
      <c r="DW27" s="67" t="str">
        <f t="shared" si="205"/>
        <v>BELEM</v>
      </c>
      <c r="DX27" s="60" t="str" cm="1">
        <f t="array" ref="DX27">TEXT( MIG_NORMA.NÚMERICO( J27 ), "00000000000" )</f>
        <v>37918818253</v>
      </c>
      <c r="DY27" s="60" t="str" cm="1">
        <f t="array" ref="DY27">TEXT( MIG_NORMA.NÚMERICO( K27 ), "0000000" )</f>
        <v>0013285</v>
      </c>
      <c r="DZ27" s="64" t="str">
        <f t="shared" si="206"/>
        <v>01/12/2025</v>
      </c>
      <c r="EA27" s="64" t="str">
        <f t="shared" si="207"/>
        <v/>
      </c>
      <c r="EB27" s="64" t="str">
        <f t="shared" si="208"/>
        <v>24/03/1971</v>
      </c>
      <c r="EC27" s="64" t="str">
        <f t="shared" si="209"/>
        <v>19/04/2012</v>
      </c>
      <c r="ED27" s="64" t="str">
        <f t="shared" si="210"/>
        <v/>
      </c>
      <c r="EE27" s="64" t="str">
        <f t="shared" si="211"/>
        <v/>
      </c>
      <c r="EF27" s="64" t="str">
        <f t="shared" si="212"/>
        <v>16/10/2020</v>
      </c>
      <c r="EG27" s="64" t="str">
        <f t="shared" si="213"/>
        <v>01/12/2025</v>
      </c>
      <c r="EH27" s="64" t="str">
        <f t="shared" si="214"/>
        <v/>
      </c>
      <c r="EI27" s="68" t="str">
        <f t="shared" si="215"/>
        <v/>
      </c>
      <c r="EJ27" s="64" t="str">
        <f t="shared" si="216"/>
        <v>01/12/2026</v>
      </c>
      <c r="EK27" s="64" t="str">
        <f t="shared" si="217"/>
        <v/>
      </c>
      <c r="EL27" s="64" t="str">
        <f t="shared" si="218"/>
        <v/>
      </c>
      <c r="EM27" s="64" t="str">
        <f t="shared" si="219"/>
        <v>01/12/2025</v>
      </c>
      <c r="EN27" s="64" t="str">
        <f t="shared" si="220"/>
        <v>01/12/2025</v>
      </c>
      <c r="EO27" s="64" t="str">
        <f t="shared" si="221"/>
        <v>14/01/2026</v>
      </c>
      <c r="EP27" s="64" t="str">
        <f t="shared" si="222"/>
        <v/>
      </c>
      <c r="EQ27" s="63" t="str">
        <f t="shared" si="223"/>
        <v>INSERT INTO PARCNEGOCIO ( NRPARCNEGOCIO, NRORG, NMPRINCIPALPARC, NMSECUNDARIPARC, DTNASCIFUNDPARC, NRINSCRICAOPARC, IDATIVO, DTINCLUSAO, NRORGINCLUSAO, CDOPERINCLUSAO, CDTIPOPARCPRINCIPAL, CDTIPOINSCRICAO, IDPESSOAFISICA, IDINSTITUICAO, IDPARCFUNDIDO ) VALUES ( 228, 5862, 'TELMA LUCIA RIBEIRO DA FONSECA', 'TELMA LUCIA RIBEIRO DA FONSECA', '24/03/1971', '37918818253', 'S', SYSDATE, 5862, '000000099991', 'PESSOA', 'CPF', 'S', 'N', 'N' );</v>
      </c>
      <c r="ER27" s="63" t="str">
        <f t="shared" si="224"/>
        <v>INSERT INTO GPE_PESSOA ( NRPESSOA, NRORG, NRPARCNEGOCIO, DTINCLUSAO, NRORGINCLUSAO, CDOPERINCLUSAO ) VALUES ( 25, 5862, 228, SYSDATE, 5862, '000000099991' );</v>
      </c>
      <c r="ES27"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( 25, 25, 5862, '01/01/2000', 'TELMA LUCIA RIBEIRO DA FONSECA', 'S', '37918818253', '0013285', '00018', 'PA', '19/04/2012', '13052329420', '', '020144651325', '25', '97', '', '', '', (SELECT NRCATMILITARPE FROM GPE_CATMILITARPE WHERE NRCATMILITARPE = ''), '', SYSDATE, 5862, '000000099991', '5', '1058', 'PA', (SELECT MAX(CDMUNICIPIO) FROM MUNICIPIO WHERE NMMUNICIPIO = 'BRAGANCA'), '24/03/1971', 'F', '2314199', 'PC', 'PA', '16/10/2020', '1', '9' , '1');</v>
      </c>
      <c r="ET27"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(25, 25, 5862, '410000-0-01635', '01/12/2025', '', SYSDATE, 5862, '000000099991', '1', '1', '1', '', '01/12/2025', '', '', 'TELMA LUCIA RIBEIRO DA FONSECA', '', '', '', '45', '45', '01/12/2026', '');</v>
      </c>
      <c r="EU27"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(73, 25, '', (SELECT MAX(NROCUPACAOM) FROM GPE_OCUPACAOH WHERE NRORG = 5862 AND CDINTEGRACAO = '0150-00000001'), (SELECT MAX(NROCUPACAOM) FROM GPE_OCUPACAOH WHERE NRORG = 5862 AND CDINTEGRACAO = '0150-00000001'), 5862, '01/01/2000', 'NUNCA', SYSDATE, 5862, '000000099991', '0', '0', '01/12/2025', 'SAL1', 'MENSAL', (SELECT MAX(NRESTRUTURAM) FROM ESTRUTURAM WHERE NRORG = 5862 AND CDINTESTRUTURA = 'est_MATSAUDE'), NVL((SELECT MAX(NRESTRUTURAM) FROM ESTRUTURAM WHERE NRORG = 5862 AND CDINTESTRUTURA = 'dep_410000'), 999992), NVL((SELECT MAX(NRESTRUTURAM) FROM ESTRUTURAM WHERE NRORG = 5862 AND CDINTESTRUTURA = 'sin_01'), 999993), '1', 'UNICO', '', 2, '14/01/2026', 'N', (SELECT MAX(NRESCALATRABM) FROM GPE_ESCALATRABH WHERE NRORG = 5862 AND NRESCALATRABM = '000001') );</v>
      </c>
      <c r="EV27"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74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73;</v>
      </c>
      <c r="EW27"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75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73;</v>
      </c>
      <c r="EX27" s="63" t="str">
        <f t="shared" si="59"/>
        <v>INSERT INTO GPE_ALTESITUFUNC ( NRALTESITUFUNC, NRORG, NRSITUFUNCM, NRVINCULOM, DTINISITUFUNC, DTINCLUSAO, NRORGINCLUSAO, CDOPERINCLUSAO ) VALUES ( 25, 5862, (CASE WHEN '' IS NOT NULL THEN '' WHEN '' IS NULL THEN '1' ELSE '13' END), 25, '01/12/2025', SYSDATE, 5862, '000000099991' );</v>
      </c>
      <c r="EY27" s="63" t="str">
        <f t="shared" si="228"/>
        <v>INSERT INTO CONTCORRPARC ( NRCONTCORRPARC, NRORG, NRPARCNEGOCIO, CDBANCO, CDAGENCIA, CDCONTCORR, NRTPCONTCORR, DTINCLUSAO, NRORGINCLUSAO, CDOPERINCLUSAO, IDATIVO ) VALUES ( 13, 5862, 228, '237', '04871', '397482', '2', SYSDATE, 5862, '000000099991', 'S' );</v>
      </c>
      <c r="EZ27" s="63" t="str">
        <f t="shared" si="229"/>
        <v/>
      </c>
      <c r="FA27" s="63" t="str">
        <f t="shared" si="61"/>
        <v>INSERT INTO COMUNICAPARC ( NRCOMUNICAPARC, NRPARCNEGOCIO, CDFORMACOMU, CDPREFIXCOMUPARC, CDCOMUNICAPARC, NRORG, IDATIVO, DTINCLUSAO, NRORGINCLUSAO, CDOPERINCLUSAO ) VALUES ( 27, 228, '02', '91', '981454170', 5862, 'S', SYSDATE, 5862, '000000099991' );</v>
      </c>
      <c r="FB27" s="63" t="str">
        <f t="shared" si="62"/>
        <v>INSERT INTO COMUNICAPARC ( NRCOMUNICAPARC, NRPARCNEGOCIO, CDFORMACOMU, CDCOMUNICAPARC, NRORG, IDATIVO, DTINCLUSAO, NRORGINCLUSAO, CDOPERINCLUSAO ) VALUES ( 54, 228, '05', 'ribeiroteelma@hotmail.com', 5862, 'S', SYSDATE, 5862, '000000099991' );</v>
      </c>
      <c r="FC27" s="63" t="str">
        <f t="shared" si="230"/>
        <v>INSERT INTO ENDERECOPARC ( NRENDERECOPARC, NRPARCNEGOCIO, CDTIPOENDERECO, NRORG, IDATIVO, DTINCLUSAO, NRORGINCLUSAO, CDOPERINCLUSAO, CDPAIS, CDMUNICIPIO, CDLOGRADOURO, NMBAIRROENDERECO, DSCOMPLEENDERECO, NRCEPENDERECO, DSENDERECO, NRIMOVELENDERECO, SGESTADO ) VALUES ( 35, 228, 'PRINCIPAL', 5862, 'S', SYSDATE, 5862, '000000099991', '0055', ( SELECT MAX(CDMUNICIPIO) FROM MUNICIPIO WHERE NMMUNICIPIO = 'BELEM' AND SGESTADO = 'PA' ), 'CJ', 'CDP', 'PROXIMO AO POSTO DE SAUDE', '66110010', 'CDP - WE QUADRA 30', '26', 'PA');</v>
      </c>
      <c r="FD27" s="63" t="str">
        <f t="shared" ca="1" si="231"/>
        <v>INSERT INTO GPE_MOVIMENTACAO ( NRMOVIMENTACAO, NRORG, NRVINCULOM, NRTIPOTRANSFER, NRTPMOVTRANSFM, NRESTRUTURAM, DTINIMOVIMENT, DSOBSERVACAO, DTINCLUSAO, NRORGINCLUSAO, CDOPERINCLUSAO, NRTIPOESTRUTURA ) VALUES ( 25, 5862, 25, 1, 1, (SELECT MAX(NRESTRUTURAM) FROM ESTRUTURAM WHERE NRORG = 5862 AND CDINTESTRUTURA = 'est_MATSAUDE' AND NRTIPOESTRUTURA = (SELECT NRTPESTRUTLEGAL FROM GPE_PARAMORG WHERE NRORG = 5862)), '01/12/2025', 'Movimentacao gerada via migracao ' || SYSDATE, SYSDATE, 5862, '000000099991', ( SELECT NRTPESTRUTLEGAL FROM GPE_PARAMORG WHERE NRORG = 5862 ) );</v>
      </c>
      <c r="FE27" s="63" t="str">
        <f t="shared" ca="1" si="232"/>
        <v>INSERT INTO GPE_MOVIMENTACAO ( NRMOVIMENTACAO, NRORG, NRVINCULOM, NRTIPOTRANSFER, NRTPMOVTRANSFM, NRESTRUTURAM, DTINIMOVIMENT, DSOBSERVACAO, DTINCLUSAO, NRORGINCLUSAO, CDOPERINCLUSAO, NRTIPOESTRUTURA ) VALUES ( 52, 5862, 25, 2, 1, (SELECT MAX(NRESTRUTURAM) FROM ESTRUTURAM WHERE NRORG = 5862 AND CDINTESTRUTURA = 'dep_410000' AND NRTIPOESTRUTURA = (SELECT NRTPESTRUTGEREN FROM GPE_PARAMORG WHERE NRORG = 5862)), '01/12/2025', 'Movimentacao gerada via migracao ' || SYSDATE, SYSDATE, 5862, '000000099991', ( SELECT NRTPESTRUTGEREN FROM GPE_PARAMORG WHERE NRORG = 5862 ) );</v>
      </c>
      <c r="FF27" s="63" t="str">
        <f t="shared" ca="1" si="233"/>
        <v>INSERT INTO GPE_MOVIMENTACAO ( NRMOVIMENTACAO, NRORG, NRVINCULOM, NRTIPOTRANSFER, NRTPMOVTRANSFM, NRESTRUTURAM, DTINIMOVIMENT, DSOBSERVACAO, DTINCLUSAO, NRORGINCLUSAO, CDOPERINCLUSAO, NRTIPOESTRUTURA ) VALUES ( 63, 5862, 25, 1, 1, (SELECT MAX(NRESTRUTURAM) FROM ESTRUTURAM WHERE NRORG = 5862 AND CDINTESTRUTURA = 'sin_01' AND NRTIPOESTRUTURA = 10), '01/12/2025', 'Movimentacao gerada via migracao ' || SYSDATE, SYSDATE, 5862, '000000099991', 10 );</v>
      </c>
      <c r="FG27" s="63" t="str">
        <f t="shared" si="181"/>
        <v>COMMIT;</v>
      </c>
      <c r="FI27" s="21" t="str">
        <f ca="1"/>
        <v>não</v>
      </c>
      <c r="FL27" s="21" t="str">
        <f ca="1"/>
        <v>existe</v>
      </c>
      <c r="FP27" s="21" t="str">
        <f ca="1"/>
        <v>existe</v>
      </c>
      <c r="FT27" s="21" t="str">
        <f ca="1"/>
        <v>existe</v>
      </c>
      <c r="FX27" s="21" t="str">
        <f ca="1"/>
        <v>existe</v>
      </c>
      <c r="GB27" s="21" t="str">
        <f ca="1"/>
        <v>existe</v>
      </c>
    </row>
    <row r="28" spans="1:186" x14ac:dyDescent="0.3">
      <c r="A28" s="16" t="s">
        <v>849</v>
      </c>
      <c r="B28" s="16" t="s">
        <v>850</v>
      </c>
      <c r="C28" s="16" t="s">
        <v>926</v>
      </c>
      <c r="E28" s="16" t="s">
        <v>432</v>
      </c>
      <c r="F28" s="16" t="s">
        <v>391</v>
      </c>
      <c r="G28" s="16" t="s">
        <v>323</v>
      </c>
      <c r="H28" s="16" t="s">
        <v>927</v>
      </c>
      <c r="I28" s="16" t="s">
        <v>224</v>
      </c>
      <c r="J28" s="16" t="s">
        <v>928</v>
      </c>
      <c r="Q28" s="16" t="s">
        <v>929</v>
      </c>
      <c r="R28" s="16" t="s">
        <v>324</v>
      </c>
      <c r="S28" s="16" t="s">
        <v>396</v>
      </c>
      <c r="T28" s="16" t="s">
        <v>930</v>
      </c>
      <c r="AC28" s="16" t="s">
        <v>273</v>
      </c>
      <c r="AD28" s="16" t="s">
        <v>403</v>
      </c>
      <c r="AE28" t="s">
        <v>396</v>
      </c>
      <c r="AF28" s="16" t="s">
        <v>931</v>
      </c>
      <c r="AG28" s="16" t="s">
        <v>932</v>
      </c>
      <c r="AH28" s="16" t="s">
        <v>218</v>
      </c>
      <c r="AI28" s="16" t="s">
        <v>303</v>
      </c>
      <c r="AM28" s="16" t="s">
        <v>271</v>
      </c>
      <c r="AN28" s="16" t="s">
        <v>270</v>
      </c>
      <c r="AO28" t="s">
        <v>1746</v>
      </c>
      <c r="AP28" s="98" t="s">
        <v>2567</v>
      </c>
      <c r="AQ28" s="16" t="s">
        <v>699</v>
      </c>
      <c r="AR28" s="16" t="s">
        <v>1747</v>
      </c>
      <c r="AS28" s="16" t="s">
        <v>396</v>
      </c>
      <c r="AT28" s="16" t="s">
        <v>404</v>
      </c>
      <c r="AU28" s="16" t="s">
        <v>933</v>
      </c>
      <c r="AV28" s="16" t="s">
        <v>934</v>
      </c>
      <c r="AW28" s="16" t="s">
        <v>935</v>
      </c>
      <c r="AX28" s="16" t="s">
        <v>936</v>
      </c>
      <c r="AY28" s="16" t="s">
        <v>937</v>
      </c>
      <c r="AZ28" s="16" t="s">
        <v>938</v>
      </c>
      <c r="BA28" s="16" t="s">
        <v>270</v>
      </c>
      <c r="BB28" t="s">
        <v>1746</v>
      </c>
      <c r="BF28" s="16" t="s">
        <v>579</v>
      </c>
      <c r="BG28" s="16" t="s">
        <v>304</v>
      </c>
      <c r="BN28" t="s">
        <v>1746</v>
      </c>
      <c r="BP28" s="16" t="s">
        <v>849</v>
      </c>
      <c r="BQ28" s="16" t="s">
        <v>419</v>
      </c>
      <c r="BR28" s="16" t="s">
        <v>419</v>
      </c>
      <c r="BS28" s="16" t="s">
        <v>270</v>
      </c>
      <c r="BT28" s="16" t="s">
        <v>312</v>
      </c>
      <c r="BX28" s="16" t="s">
        <v>860</v>
      </c>
      <c r="CC28" s="16" t="s">
        <v>270</v>
      </c>
      <c r="CD28"/>
      <c r="CE28" s="16" t="s">
        <v>939</v>
      </c>
      <c r="CF28" s="16" t="s">
        <v>419</v>
      </c>
      <c r="CG28" s="16" t="s">
        <v>940</v>
      </c>
      <c r="CH28" s="16" t="s">
        <v>941</v>
      </c>
      <c r="CI28"/>
      <c r="CJ28" s="16" t="s">
        <v>428</v>
      </c>
      <c r="CK28" s="16" t="s">
        <v>942</v>
      </c>
      <c r="CM28" s="79"/>
      <c r="CN28" s="63"/>
      <c r="CO28" s="63"/>
      <c r="CP28" s="85">
        <f t="shared" ref="CP28:CS28" si="246">CP27+1</f>
        <v>229</v>
      </c>
      <c r="CQ28" s="85">
        <f t="shared" si="246"/>
        <v>26</v>
      </c>
      <c r="CR28" s="85">
        <f t="shared" si="246"/>
        <v>26</v>
      </c>
      <c r="CS28" s="85">
        <f t="shared" si="246"/>
        <v>26</v>
      </c>
      <c r="CT28" s="85">
        <f t="shared" ref="CT28:CV28" si="247">CT27+3</f>
        <v>76</v>
      </c>
      <c r="CU28" s="65">
        <f t="shared" si="247"/>
        <v>77</v>
      </c>
      <c r="CV28" s="65">
        <f t="shared" si="247"/>
        <v>78</v>
      </c>
      <c r="CW28" s="85">
        <f t="shared" si="132"/>
        <v>26</v>
      </c>
      <c r="CX28" s="85">
        <f t="shared" si="184"/>
        <v>13</v>
      </c>
      <c r="CY28" s="85">
        <f t="shared" si="185"/>
        <v>2</v>
      </c>
      <c r="CZ28" s="85">
        <f t="shared" si="186"/>
        <v>28</v>
      </c>
      <c r="DA28" s="85">
        <f t="shared" si="187"/>
        <v>55</v>
      </c>
      <c r="DB28" s="85">
        <f t="shared" si="133"/>
        <v>36</v>
      </c>
      <c r="DC28" s="85">
        <f ca="1">IF( OR( AP28 = "", FT28 &lt;&gt; "existe" ), "", LARGE( DC$2:DC27, 1 ) + 1 )</f>
        <v>26</v>
      </c>
      <c r="DD28" s="66">
        <f ca="1">IF( OR( AQ28 = "", FX28 &lt;&gt; "existe" ), "", LARGE( DD$2:DD27, 1 ) + 1 )</f>
        <v>53</v>
      </c>
      <c r="DE28" s="66" t="str">
        <f ca="1">IF( OR( BU28 = "", GB28 &lt;&gt; "existe" ), "", LARGE( DE$2:DE27, 1 ) + 1 )</f>
        <v/>
      </c>
      <c r="DF28" s="67" t="str">
        <f t="shared" si="188"/>
        <v>NUNCA</v>
      </c>
      <c r="DG28" s="67" t="str">
        <f t="shared" si="189"/>
        <v>CHAVES</v>
      </c>
      <c r="DH28" s="67">
        <f t="shared" si="190"/>
        <v>1</v>
      </c>
      <c r="DI28" s="67" t="str">
        <f t="shared" si="191"/>
        <v>VL</v>
      </c>
      <c r="DJ28" s="67" t="str">
        <f t="shared" si="192"/>
        <v>JARDIM</v>
      </c>
      <c r="DK28" s="67" t="str">
        <f t="shared" si="193"/>
        <v>JURUNAS</v>
      </c>
      <c r="DL28" s="67" t="str">
        <f t="shared" si="194"/>
        <v>FUNDOS / PRINCIPAL MUNDURUCUS No 47</v>
      </c>
      <c r="DM28" s="67" t="str">
        <f t="shared" si="195"/>
        <v>66025320</v>
      </c>
      <c r="DN28" s="70" t="str">
        <f t="shared" si="196"/>
        <v>0089-7</v>
      </c>
      <c r="DO28" s="70" t="str">
        <f t="shared" si="197"/>
        <v>0</v>
      </c>
      <c r="DP28" s="70" t="str">
        <f t="shared" si="198"/>
        <v>0</v>
      </c>
      <c r="DQ28" s="64" t="str">
        <f t="shared" si="199"/>
        <v/>
      </c>
      <c r="DR28" s="64" t="str">
        <f t="shared" si="200"/>
        <v>7969794</v>
      </c>
      <c r="DS28" s="64" t="str">
        <f t="shared" si="201"/>
        <v>000</v>
      </c>
      <c r="DT28" s="64" t="str">
        <f t="shared" si="202"/>
        <v/>
      </c>
      <c r="DU28" s="64" t="str">
        <f t="shared" si="203"/>
        <v/>
      </c>
      <c r="DV28" s="60" t="str">
        <f t="shared" si="204"/>
        <v>0055</v>
      </c>
      <c r="DW28" s="67" t="str">
        <f t="shared" si="205"/>
        <v>BELEM</v>
      </c>
      <c r="DX28" s="60" t="str" cm="1">
        <f t="array" ref="DX28">TEXT( MIG_NORMA.NÚMERICO( J28 ), "00000000000" )</f>
        <v>02717017224</v>
      </c>
      <c r="DY28" s="60" t="str" cm="1">
        <f t="array" ref="DY28">TEXT( MIG_NORMA.NÚMERICO( K28 ), "0000000" )</f>
        <v/>
      </c>
      <c r="DZ28" s="64" t="str">
        <f t="shared" si="206"/>
        <v>01/12/2025</v>
      </c>
      <c r="EA28" s="64" t="str">
        <f t="shared" si="207"/>
        <v>01/04/2026</v>
      </c>
      <c r="EB28" s="64" t="str">
        <f t="shared" si="208"/>
        <v>02/12/1994</v>
      </c>
      <c r="EC28" s="64" t="str">
        <f t="shared" si="209"/>
        <v/>
      </c>
      <c r="ED28" s="64" t="str">
        <f t="shared" si="210"/>
        <v/>
      </c>
      <c r="EE28" s="64" t="str">
        <f t="shared" si="211"/>
        <v/>
      </c>
      <c r="EF28" s="64" t="str">
        <f t="shared" si="212"/>
        <v>15/12/2019</v>
      </c>
      <c r="EG28" s="64" t="str">
        <f t="shared" si="213"/>
        <v/>
      </c>
      <c r="EH28" s="64" t="str">
        <f t="shared" si="214"/>
        <v/>
      </c>
      <c r="EI28" s="68" t="str">
        <f t="shared" si="215"/>
        <v/>
      </c>
      <c r="EJ28" s="64" t="str">
        <f t="shared" si="216"/>
        <v>01/12/2026</v>
      </c>
      <c r="EK28" s="64" t="str">
        <f t="shared" si="217"/>
        <v/>
      </c>
      <c r="EL28" s="64" t="str">
        <f t="shared" si="218"/>
        <v/>
      </c>
      <c r="EM28" s="64" t="str">
        <f t="shared" si="219"/>
        <v>01/12/2025</v>
      </c>
      <c r="EN28" s="64" t="str">
        <f t="shared" si="220"/>
        <v>01/04/2026</v>
      </c>
      <c r="EO28" s="64" t="str">
        <f t="shared" si="221"/>
        <v/>
      </c>
      <c r="EP28" s="64" t="str">
        <f t="shared" si="222"/>
        <v/>
      </c>
      <c r="EQ28" s="63" t="str">
        <f t="shared" si="223"/>
        <v>INSERT INTO PARCNEGOCIO ( NRPARCNEGOCIO, NRORG, NMPRINCIPALPARC, NMSECUNDARIPARC, DTNASCIFUNDPARC, NRINSCRICAOPARC, IDATIVO, DTINCLUSAO, NRORGINCLUSAO, CDOPERINCLUSAO, CDTIPOPARCPRINCIPAL, CDTIPOINSCRICAO, IDPESSOAFISICA, IDINSTITUICAO, IDPARCFUNDIDO ) VALUES ( 229, 5862, 'ARIELY DE ALMEIDA', 'ARIELY DE ALMEIDA', '02/12/1994', '02717017224', 'S', SYSDATE, 5862, '000000099991', 'PESSOA', 'CPF', 'S', 'N', 'N' );</v>
      </c>
      <c r="ER28" s="63" t="str">
        <f t="shared" si="224"/>
        <v>INSERT INTO GPE_PESSOA ( NRPESSOA, NRORG, NRPARCNEGOCIO, DTINCLUSAO, NRORGINCLUSAO, CDOPERINCLUSAO ) VALUES ( 26, 5862, 229, SYSDATE, 5862, '000000099991' );</v>
      </c>
      <c r="ES28"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( 26, 26, 5862, '01/01/2000', 'ARIELY DE ALMEIDA', 'S', '02717017224', '', '', '', '', '', '', '', '', '', '', '', '', (SELECT NRCATMILITARPE FROM GPE_CATMILITARPE WHERE NRCATMILITARPE = ''), '', SYSDATE, 5862, '000000099991', '5', '1058', 'PA', (SELECT MAX(CDMUNICIPIO) FROM MUNICIPIO WHERE NMMUNICIPIO = 'CHAVES'), '02/12/1994', 'F', '7969794', 'SSP', 'PA', '15/12/2019', '1', '7' , '1');</v>
      </c>
      <c r="ET28"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(26, 26, 5862, '650000-2-E1072', '01/12/2025', '01/04/2026', SYSDATE, 5862, '000000099991', '1', '', '', '', '', '', '', 'ARIELY DE ALMEIDA', '', '', '', '', '', '01/12/2026', '');</v>
      </c>
      <c r="EU28"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(76, 26, '', (SELECT MAX(NROCUPACAOM) FROM GPE_OCUPACAOH WHERE NRORG = 5862 AND CDINTEGRACAO = '0089-7'), (SELECT MAX(NROCUPACAOM) FROM GPE_OCUPACAOH WHERE NRORG = 5862 AND CDINTEGRACAO = '0089-7'), 5862, '01/01/2000', 'NUNCA', SYSDATE, 5862, '000000099991', '0', '0', '01/12/2025', 'SAL1', '', (SELECT MAX(NRESTRUTURAM) FROM ESTRUTURAM WHERE NRORG = 5862 AND CDINTESTRUTURA = 'est_MATSAUDE'), NVL((SELECT MAX(NRESTRUTURAM) FROM ESTRUTURAM WHERE NRORG = 5862 AND CDINTESTRUTURA = 'dep_650000'), 999992), NVL((SELECT MAX(NRESTRUTURAM) FROM ESTRUTURAM WHERE NRORG = 5862 AND CDINTESTRUTURA = ''), 999993), '1', 'UNICO', '', 2, '', 'N', (SELECT MAX(NRESCALATRABM) FROM GPE_ESCALATRABH WHERE NRORG = 5862 AND NRESCALATRABM = '000007') );</v>
      </c>
      <c r="EV28"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77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76;</v>
      </c>
      <c r="EW28"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78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76;</v>
      </c>
      <c r="EX28" s="63" t="str">
        <f t="shared" si="59"/>
        <v>INSERT INTO GPE_ALTESITUFUNC ( NRALTESITUFUNC, NRORG, NRSITUFUNCM, NRVINCULOM, DTINISITUFUNC, DTINCLUSAO, NRORGINCLUSAO, CDOPERINCLUSAO ) VALUES ( 26, 5862, (CASE WHEN '' IS NOT NULL THEN '' WHEN '01/04/2026' IS NULL THEN '1' ELSE '13' END), 26, '01/04/2026', SYSDATE, 5862, '000000099991' );</v>
      </c>
      <c r="EY28" s="63" t="str">
        <f t="shared" si="228"/>
        <v/>
      </c>
      <c r="EZ28" s="63" t="str">
        <f t="shared" si="229"/>
        <v/>
      </c>
      <c r="FA28" s="63" t="str">
        <f t="shared" si="61"/>
        <v>INSERT INTO COMUNICAPARC ( NRCOMUNICAPARC, NRPARCNEGOCIO, CDFORMACOMU, CDPREFIXCOMUPARC, CDCOMUNICAPARC, NRORG, IDATIVO, DTINCLUSAO, NRORGINCLUSAO, CDOPERINCLUSAO ) VALUES ( 28, 229, '02', '91', '989115285', 5862, 'S', SYSDATE, 5862, '000000099991' );</v>
      </c>
      <c r="FB28" s="63" t="str">
        <f t="shared" si="62"/>
        <v>INSERT INTO COMUNICAPARC ( NRCOMUNICAPARC, NRPARCNEGOCIO, CDFORMACOMU, CDCOMUNICAPARC, NRORG, IDATIVO, DTINCLUSAO, NRORGINCLUSAO, CDOPERINCLUSAO ) VALUES ( 55, 229, '05', 'arielydealmeida58@gmail.com', 5862, 'S', SYSDATE, 5862, '000000099991' );</v>
      </c>
      <c r="FC28" s="63" t="str">
        <f t="shared" si="230"/>
        <v>INSERT INTO ENDERECOPARC ( NRENDERECOPARC, NRPARCNEGOCIO, CDTIPOENDERECO, NRORG, IDATIVO, DTINCLUSAO, NRORGINCLUSAO, CDOPERINCLUSAO, CDPAIS, CDMUNICIPIO, CDLOGRADOURO, NMBAIRROENDERECO, DSCOMPLEENDERECO, NRCEPENDERECO, DSENDERECO, NRIMOVELENDERECO, SGESTADO ) VALUES ( 36, 229, 'PRINCIPAL', 5862, 'S', SYSDATE, 5862, '000000099991', '0055', ( SELECT MAX(CDMUNICIPIO) FROM MUNICIPIO WHERE NMMUNICIPIO = 'BELEM' AND SGESTADO = 'PA' ), 'VL', 'JURUNAS', 'FUNDOS / PRINCIPAL MUNDURUCUS No 47', '66025320', 'JARDIM', '60', 'PA');</v>
      </c>
      <c r="FD28" s="63" t="str">
        <f t="shared" ca="1" si="231"/>
        <v>INSERT INTO GPE_MOVIMENTACAO ( NRMOVIMENTACAO, NRORG, NRVINCULOM, NRTIPOTRANSFER, NRTPMOVTRANSFM, NRESTRUTURAM, DTINIMOVIMENT, DSOBSERVACAO, DTINCLUSAO, NRORGINCLUSAO, CDOPERINCLUSAO, NRTIPOESTRUTURA ) VALUES ( 26, 5862, 26, 1, 1, (SELECT MAX(NRESTRUTURAM) FROM ESTRUTURAM WHERE NRORG = 5862 AND CDINTESTRUTURA = 'est_MATSAUDE' AND NRTIPOESTRUTURA = (SELECT NRTPESTRUTLEGAL FROM GPE_PARAMORG WHERE NRORG = 5862)), '01/12/2025', 'Movimentacao gerada via migracao ' || SYSDATE, SYSDATE, 5862, '000000099991', ( SELECT NRTPESTRUTLEGAL FROM GPE_PARAMORG WHERE NRORG = 5862 ) );</v>
      </c>
      <c r="FE28" s="63" t="str">
        <f t="shared" ca="1" si="232"/>
        <v>INSERT INTO GPE_MOVIMENTACAO ( NRMOVIMENTACAO, NRORG, NRVINCULOM, NRTIPOTRANSFER, NRTPMOVTRANSFM, NRESTRUTURAM, DTINIMOVIMENT, DSOBSERVACAO, DTINCLUSAO, NRORGINCLUSAO, CDOPERINCLUSAO, NRTIPOESTRUTURA ) VALUES ( 53, 5862, 26, 2, 1, (SELECT MAX(NRESTRUTURAM) FROM ESTRUTURAM WHERE NRORG = 5862 AND CDINTESTRUTURA = 'dep_650000' AND NRTIPOESTRUTURA = (SELECT NRTPESTRUTGEREN FROM GPE_PARAMORG WHERE NRORG = 5862)), '01/12/2025', 'Movimentacao gerada via migracao ' || SYSDATE, SYSDATE, 5862, '000000099991', ( SELECT NRTPESTRUTGEREN FROM GPE_PARAMORG WHERE NRORG = 5862 ) );</v>
      </c>
      <c r="FF28" s="63" t="str">
        <f t="shared" ca="1" si="233"/>
        <v/>
      </c>
      <c r="FG28" s="63" t="str">
        <f t="shared" si="181"/>
        <v>COMMIT;</v>
      </c>
      <c r="FI28" s="21" t="str">
        <f ca="1"/>
        <v>não</v>
      </c>
      <c r="FL28" s="21" t="str">
        <f ca="1"/>
        <v>existe</v>
      </c>
      <c r="FP28" s="21" t="str">
        <f ca="1"/>
        <v>existe</v>
      </c>
      <c r="FT28" s="21" t="str">
        <f ca="1"/>
        <v>existe</v>
      </c>
      <c r="FX28" s="21" t="str">
        <f ca="1"/>
        <v>existe</v>
      </c>
      <c r="GB28" s="21">
        <f ca="1"/>
        <v>0</v>
      </c>
    </row>
    <row r="29" spans="1:186" x14ac:dyDescent="0.3">
      <c r="A29" s="16" t="s">
        <v>943</v>
      </c>
      <c r="B29" s="16" t="s">
        <v>944</v>
      </c>
      <c r="C29" s="16" t="s">
        <v>945</v>
      </c>
      <c r="E29" s="16" t="s">
        <v>630</v>
      </c>
      <c r="F29" s="16" t="s">
        <v>391</v>
      </c>
      <c r="G29" s="16" t="s">
        <v>323</v>
      </c>
      <c r="H29" s="16" t="s">
        <v>946</v>
      </c>
      <c r="I29" s="16" t="s">
        <v>224</v>
      </c>
      <c r="J29" s="16" t="s">
        <v>947</v>
      </c>
      <c r="K29" s="16" t="s">
        <v>948</v>
      </c>
      <c r="L29" s="16" t="s">
        <v>949</v>
      </c>
      <c r="M29" s="16" t="s">
        <v>396</v>
      </c>
      <c r="N29" s="16" t="s">
        <v>950</v>
      </c>
      <c r="Q29" s="16" t="s">
        <v>951</v>
      </c>
      <c r="R29" s="16" t="s">
        <v>324</v>
      </c>
      <c r="S29" s="16" t="s">
        <v>396</v>
      </c>
      <c r="T29" s="16" t="s">
        <v>952</v>
      </c>
      <c r="AC29" s="16" t="s">
        <v>273</v>
      </c>
      <c r="AD29" s="16" t="s">
        <v>403</v>
      </c>
      <c r="AE29" t="s">
        <v>396</v>
      </c>
      <c r="AF29" s="16" t="s">
        <v>404</v>
      </c>
      <c r="AG29" s="16" t="s">
        <v>953</v>
      </c>
      <c r="AH29" s="16" t="s">
        <v>218</v>
      </c>
      <c r="AI29" s="16" t="s">
        <v>303</v>
      </c>
      <c r="AM29" s="16" t="s">
        <v>271</v>
      </c>
      <c r="AN29" s="16" t="s">
        <v>270</v>
      </c>
      <c r="AO29" t="s">
        <v>1746</v>
      </c>
      <c r="AP29" s="98" t="s">
        <v>2567</v>
      </c>
      <c r="AQ29" s="16" t="s">
        <v>410</v>
      </c>
      <c r="AR29" s="16" t="s">
        <v>1747</v>
      </c>
      <c r="AS29" s="16" t="s">
        <v>396</v>
      </c>
      <c r="AT29" s="16" t="s">
        <v>404</v>
      </c>
      <c r="AU29" s="16" t="s">
        <v>554</v>
      </c>
      <c r="AV29" s="16" t="s">
        <v>954</v>
      </c>
      <c r="AW29" s="16" t="s">
        <v>314</v>
      </c>
      <c r="AX29" s="16" t="s">
        <v>592</v>
      </c>
      <c r="AY29" s="16" t="s">
        <v>955</v>
      </c>
      <c r="AZ29" s="16" t="s">
        <v>956</v>
      </c>
      <c r="BA29" s="16" t="s">
        <v>270</v>
      </c>
      <c r="BB29" t="s">
        <v>1746</v>
      </c>
      <c r="BF29" s="16" t="s">
        <v>579</v>
      </c>
      <c r="BG29" s="16" t="s">
        <v>304</v>
      </c>
      <c r="BN29" t="s">
        <v>1746</v>
      </c>
      <c r="BP29" s="16" t="s">
        <v>943</v>
      </c>
      <c r="BQ29" s="16" t="s">
        <v>419</v>
      </c>
      <c r="BR29" s="16" t="s">
        <v>419</v>
      </c>
      <c r="BS29" s="16" t="s">
        <v>270</v>
      </c>
      <c r="BT29" s="16" t="s">
        <v>312</v>
      </c>
      <c r="BX29" s="16" t="s">
        <v>957</v>
      </c>
      <c r="CC29" s="16" t="s">
        <v>270</v>
      </c>
      <c r="CD29"/>
      <c r="CE29" s="16" t="s">
        <v>958</v>
      </c>
      <c r="CF29" s="16" t="s">
        <v>419</v>
      </c>
      <c r="CG29" s="16" t="s">
        <v>959</v>
      </c>
      <c r="CH29" s="16" t="s">
        <v>960</v>
      </c>
      <c r="CI29"/>
      <c r="CJ29" s="16" t="s">
        <v>428</v>
      </c>
      <c r="CK29" s="16" t="s">
        <v>961</v>
      </c>
      <c r="CM29" s="79"/>
      <c r="CN29" s="63"/>
      <c r="CO29" s="63"/>
      <c r="CP29" s="85">
        <f t="shared" ref="CP29:CS29" si="248">CP28+1</f>
        <v>230</v>
      </c>
      <c r="CQ29" s="85">
        <f t="shared" si="248"/>
        <v>27</v>
      </c>
      <c r="CR29" s="85">
        <f t="shared" si="248"/>
        <v>27</v>
      </c>
      <c r="CS29" s="85">
        <f t="shared" si="248"/>
        <v>27</v>
      </c>
      <c r="CT29" s="85">
        <f t="shared" ref="CT29:CV29" si="249">CT28+3</f>
        <v>79</v>
      </c>
      <c r="CU29" s="65">
        <f t="shared" si="249"/>
        <v>80</v>
      </c>
      <c r="CV29" s="65">
        <f t="shared" si="249"/>
        <v>81</v>
      </c>
      <c r="CW29" s="85">
        <f t="shared" si="132"/>
        <v>27</v>
      </c>
      <c r="CX29" s="85">
        <f t="shared" si="184"/>
        <v>13</v>
      </c>
      <c r="CY29" s="85">
        <f t="shared" si="185"/>
        <v>2</v>
      </c>
      <c r="CZ29" s="85">
        <f t="shared" si="186"/>
        <v>29</v>
      </c>
      <c r="DA29" s="85">
        <f t="shared" si="187"/>
        <v>56</v>
      </c>
      <c r="DB29" s="85">
        <f t="shared" si="133"/>
        <v>37</v>
      </c>
      <c r="DC29" s="85">
        <f ca="1">IF( OR( AP29 = "", FT29 &lt;&gt; "existe" ), "", LARGE( DC$2:DC28, 1 ) + 1 )</f>
        <v>27</v>
      </c>
      <c r="DD29" s="66">
        <f ca="1">IF( OR( AQ29 = "", FX29 &lt;&gt; "existe" ), "", LARGE( DD$2:DD28, 1 ) + 1 )</f>
        <v>54</v>
      </c>
      <c r="DE29" s="66" t="str">
        <f ca="1">IF( OR( BU29 = "", GB29 &lt;&gt; "existe" ), "", LARGE( DE$2:DE28, 1 ) + 1 )</f>
        <v/>
      </c>
      <c r="DF29" s="67" t="str">
        <f t="shared" si="188"/>
        <v>NUNCA</v>
      </c>
      <c r="DG29" s="67" t="str">
        <f t="shared" si="189"/>
        <v>BELEM</v>
      </c>
      <c r="DH29" s="67">
        <f t="shared" si="190"/>
        <v>1</v>
      </c>
      <c r="DI29" s="67" t="str">
        <f t="shared" si="191"/>
        <v>AL</v>
      </c>
      <c r="DJ29" s="67" t="str">
        <f t="shared" si="192"/>
        <v>VINTE E OITO</v>
      </c>
      <c r="DK29" s="67" t="str">
        <f t="shared" si="193"/>
        <v>COQUEIRO</v>
      </c>
      <c r="DL29" s="67" t="str">
        <f t="shared" si="194"/>
        <v>CJ JD MAGUARI/ROD AUGUSTO MONTENEGRO</v>
      </c>
      <c r="DM29" s="67" t="str">
        <f t="shared" si="195"/>
        <v>66823096</v>
      </c>
      <c r="DN29" s="70" t="str">
        <f t="shared" si="196"/>
        <v>0089-7</v>
      </c>
      <c r="DO29" s="70" t="str">
        <f t="shared" si="197"/>
        <v>0</v>
      </c>
      <c r="DP29" s="70" t="str">
        <f t="shared" si="198"/>
        <v>0</v>
      </c>
      <c r="DQ29" s="64" t="str">
        <f t="shared" si="199"/>
        <v/>
      </c>
      <c r="DR29" s="64" t="str">
        <f t="shared" si="200"/>
        <v>5184850</v>
      </c>
      <c r="DS29" s="64" t="str">
        <f t="shared" si="201"/>
        <v>000</v>
      </c>
      <c r="DT29" s="64" t="str">
        <f t="shared" si="202"/>
        <v/>
      </c>
      <c r="DU29" s="64" t="str">
        <f t="shared" si="203"/>
        <v/>
      </c>
      <c r="DV29" s="60" t="str">
        <f t="shared" si="204"/>
        <v>0055</v>
      </c>
      <c r="DW29" s="67" t="str">
        <f t="shared" si="205"/>
        <v>BELEM</v>
      </c>
      <c r="DX29" s="60" t="str" cm="1">
        <f t="array" ref="DX29">TEXT( MIG_NORMA.NÚMERICO( J29 ), "00000000000" )</f>
        <v>89469909291</v>
      </c>
      <c r="DY29" s="60" t="str" cm="1">
        <f t="array" ref="DY29">TEXT( MIG_NORMA.NÚMERICO( K29 ), "0000000" )</f>
        <v>0072591</v>
      </c>
      <c r="DZ29" s="64" t="str">
        <f t="shared" si="206"/>
        <v>17/11/2025</v>
      </c>
      <c r="EA29" s="64" t="str">
        <f t="shared" si="207"/>
        <v>03/12/2025</v>
      </c>
      <c r="EB29" s="64" t="str">
        <f t="shared" si="208"/>
        <v>16/11/1985</v>
      </c>
      <c r="EC29" s="64" t="str">
        <f t="shared" si="209"/>
        <v>18/09/2008</v>
      </c>
      <c r="ED29" s="64" t="str">
        <f t="shared" si="210"/>
        <v/>
      </c>
      <c r="EE29" s="64" t="str">
        <f t="shared" si="211"/>
        <v/>
      </c>
      <c r="EF29" s="64" t="str">
        <f t="shared" si="212"/>
        <v>25/08/2021</v>
      </c>
      <c r="EG29" s="64" t="str">
        <f t="shared" si="213"/>
        <v/>
      </c>
      <c r="EH29" s="64" t="str">
        <f t="shared" si="214"/>
        <v/>
      </c>
      <c r="EI29" s="68" t="str">
        <f t="shared" si="215"/>
        <v/>
      </c>
      <c r="EJ29" s="64" t="str">
        <f t="shared" si="216"/>
        <v>17/11/2026</v>
      </c>
      <c r="EK29" s="64" t="str">
        <f t="shared" si="217"/>
        <v/>
      </c>
      <c r="EL29" s="64" t="str">
        <f t="shared" si="218"/>
        <v/>
      </c>
      <c r="EM29" s="64" t="str">
        <f t="shared" si="219"/>
        <v>17/11/2025</v>
      </c>
      <c r="EN29" s="64" t="str">
        <f t="shared" si="220"/>
        <v>03/12/2025</v>
      </c>
      <c r="EO29" s="64" t="str">
        <f t="shared" si="221"/>
        <v/>
      </c>
      <c r="EP29" s="64" t="str">
        <f t="shared" si="222"/>
        <v/>
      </c>
      <c r="EQ29" s="63" t="str">
        <f t="shared" si="223"/>
        <v>INSERT INTO PARCNEGOCIO ( NRPARCNEGOCIO, NRORG, NMPRINCIPALPARC, NMSECUNDARIPARC, DTNASCIFUNDPARC, NRINSCRICAOPARC, IDATIVO, DTINCLUSAO, NRORGINCLUSAO, CDOPERINCLUSAO, CDTIPOPARCPRINCIPAL, CDTIPOINSCRICAO, IDPESSOAFISICA, IDINSTITUICAO, IDPARCFUNDIDO ) VALUES ( 230, 5862, 'CARLA LUCIENE RODRIGUES DA COSTA', 'CARLA LUCIENE RODRIGUES DA COSTA', '16/11/1985', '89469909291', 'S', SYSDATE, 5862, '000000099991', 'PESSOA', 'CPF', 'S', 'N', 'N' );</v>
      </c>
      <c r="ER29" s="63" t="str">
        <f t="shared" si="224"/>
        <v>INSERT INTO GPE_PESSOA ( NRPESSOA, NRORG, NRPARCNEGOCIO, DTINCLUSAO, NRORGINCLUSAO, CDOPERINCLUSAO ) VALUES ( 27, 5862, 230, SYSDATE, 5862, '000000099991' );</v>
      </c>
      <c r="ES29" s="63" t="str">
        <f t="shared" si="44"/>
        <v>INSERT INTO GPE_PESSOAH ( NRPESSOAH, NRPESSOA, NRORG, DTMESCOMPETENC, NMPESSOA, CDESTACIVIL, NRCPFPESSOA, NRCTPSPESSOA, NRSERIECTPSPES, SGUFCTPSPES, DTCTPSPESSOA, NRPISPASEPPES, DTINSCPISPASEP, NRTITUELEIPES, NRSECAELEIPES, NRZONAELEIPES, NRCARTHABPES, DTVALHABCARTPES, DSCATEGHABCART, NRCATMILITARPE, NRCERTRESEPES, DTINCLUSAO, NRORGINCLUSAO, CDOPERINCLUSAO, NRRACAPESSOA, CDPAIS, SGESTADO, CDMUNICIPIO, DTNASCPESSOA, IDSEXOPESSOA, NRRGPESSOA, CDEXRGPESSOA, SGUFRGPESSOA, DTEXRGPESSOA, NRNACIONALID, NRGRAUINSTR, NRCONDFISPES ) VALUES ( 27, 27, 5862, '01/01/2000', 'CARLA LUCIENE RODRIGUES DA COSTA', 'S', '89469909291', '0072591', '00058', 'PA', '18/09/2008', '', '', '', '', '', '', '', '', (SELECT NRCATMILITARPE FROM GPE_CATMILITARPE WHERE NRCATMILITARPE = ''), '', SYSDATE, 5862, '000000099991', '5', '1058', 'PA', (SELECT MAX(CDMUNICIPIO) FROM MUNICIPIO WHERE NMMUNICIPIO = 'BELEM'), '16/11/1985', 'F', '5184850', 'SSP', 'PA', '25/08/2021', '1', '7' , '1');</v>
      </c>
      <c r="ET29" s="63" t="str">
        <f t="shared" si="225"/>
        <v>INSERT INTO GPE_VINCULOM (NRVINCULOM, NRPESSOA, NRORG, CDMATRICULA, DTADMISSAOVINC, DTRESCISAOVINC, DTINCLUSAO, NRORGINCLUSAO, CDOPERINCLUSAO, NRTIPOVINCULOM, NRVINCULOEMPREG, NRTPADMISSAO, NRTPDEMISSAO, DTOPCAOFGTS, DTAPOSENTAFGTS, DTPRIMADMISSAO, NMVINCULOM, NRMOTIVORESC, DSOBSRESCISAO, DTAVISOPREVIO, NRDIASCONTRATOEXP, NRDIASCONTRATOEXPPRO, DTEXAMEMEDICO, DTAVISOTRCT) VALUES (27, 27, 5862, '290000-2-E1067', '17/11/2025', '03/12/2025', SYSDATE, 5862, '000000099991', '1', '', '', '', '', '', '', 'CARLA LUCIENE RODRIGUES DA COSTA', '', '', '', '', '', '17/11/2026', '');</v>
      </c>
      <c r="EU29" s="63" t="str">
        <f t="shared" si="58"/>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VALUES (79, 27, '', (SELECT MAX(NROCUPACAOM) FROM GPE_OCUPACAOH WHERE NRORG = 5862 AND CDINTEGRACAO = '0089-7'), (SELECT MAX(NROCUPACAOM) FROM GPE_OCUPACAOH WHERE NRORG = 5862 AND CDINTEGRACAO = '0089-7'), 5862, '01/01/2000', 'NUNCA', SYSDATE, 5862, '000000099991', '0', '0', '17/11/2025', 'SAL1', '', (SELECT MAX(NRESTRUTURAM) FROM ESTRUTURAM WHERE NRORG = 5862 AND CDINTESTRUTURA = 'est_MATSAUDE'), NVL((SELECT MAX(NRESTRUTURAM) FROM ESTRUTURAM WHERE NRORG = 5862 AND CDINTESTRUTURA = 'dep_290000'), 999992), NVL((SELECT MAX(NRESTRUTURAM) FROM ESTRUTURAM WHERE NRORG = 5862 AND CDINTESTRUTURA = ''), 999993), '1', 'UNICO', '', 2, '', 'N', (SELECT MAX(NRESCALATRABM) FROM GPE_ESCALATRABH WHERE NRORG = 5862 AND NRESCALATRABM = '000011') );</v>
      </c>
      <c r="EV29" s="63" t="str">
        <f t="shared" si="226"/>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80 NRVINCULOH, NRVINCULOM, NRSITUFUNCM, NRCARGO, NRFUNCAO, NRORG, '01/01/2024'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79;</v>
      </c>
      <c r="EW29" s="63" t="str">
        <f t="shared" si="227"/>
        <v>INSERT INTO GPE_VINCULOH (NRVINCULOH, NRVINCULOM, NRSITUFUNCM, NRCARGO, NRFUNCAO, NRORG, DTMESCOMPETENC, IDCONTRIBUISIND, DTINCLUSAO, NRORGINCLUSAO, CDOPERINCLUSAO, NRDEPENDIR, NRDEPENDSFAM, DTBASEFERIAS, IDREMUNERACAO, IDTPPAGAMENTO, NRESTRUTLEGAL, NRESTRUTGEREN, NRESTRUTSIND, NRTPMODALIDSAL, IDMULTVINC, CDCONTRIBINDIVIDUAL, NRTPMOVTRANSFM, DTFIMCONTRDETERMIN, CONFIDENCIAL, NRESCALATRABM) SELECT 81 NRVINCULOH, NRVINCULOM, NRSITUFUNCM, NRCARGO, NRFUNCAO, NRORG, '01/01/2025' DTMESCOMPETENC, IDCONTRIBUISIND, SYSDATE DTINCLUSAO, NRORGINCLUSAO, CDOPERINCLUSAO, NRDEPENDIR, NRDEPENDSFAM, DTBASEFERIAS, IDREMUNERACAO, IDTPPAGAMENTO, NRESTRUTLEGAL, NRESTRUTGEREN, NRESTRUTSIND, NRTPMODALIDSAL, IDMULTVINC, CDCONTRIBINDIVIDUAL, NRTPMOVTRANSFM, DTFIMCONTRDETERMIN, CONFIDENCIAL, NRESCALATRABM FROM GPE_VINCULOH WHERE NRORG = 5862 AND NRVINCULOH = 79;</v>
      </c>
      <c r="EX29" s="63" t="str">
        <f t="shared" si="59"/>
        <v>INSERT INTO GPE_ALTESITUFUNC ( NRALTESITUFUNC, NRORG, NRSITUFUNCM, NRVINCULOM, DTINISITUFUNC, DTINCLUSAO, NRORGINCLUSAO, CDOPERINCLUSAO ) VALUES ( 27, 5862, (CASE WHEN '' IS NOT NULL THEN '' WHEN '03/12/2025' IS NULL THEN '1' ELSE '13' END), 27, '03/12/2025', SYSDATE, 5862, '000000099991' );</v>
      </c>
      <c r="EY29" s="63" t="str">
        <f t="shared" si="228"/>
        <v/>
      </c>
      <c r="EZ29" s="63" t="str">
        <f t="shared" si="229"/>
        <v/>
      </c>
      <c r="FA29" s="63" t="str">
        <f t="shared" si="61"/>
        <v>INSERT INTO COMUNICAPARC ( NRCOMUNICAPARC, NRPARCNEGOCIO, CDFORMACOMU, CDPREFIXCOMUPARC, CDCOMUNICAPARC, NRORG, IDATIVO, DTINCLUSAO, NRORGINCLUSAO, CDOPERINCLUSAO ) VALUES ( 29, 230, '02', '91', '980422435', 5862, 'S', SYSDATE, 5862, '000000099991' );</v>
      </c>
      <c r="FB29" s="63" t="str">
        <f t="shared" si="62"/>
        <v>INSERT INTO COMUNICAPARC ( NRCOMUNICAPARC, NRPARCNEGOCIO, CDFORMACOMU, CDCOMUNICAPARC, NRORG, IDATIVO, DTINCLUSAO, NRORGINCLUSAO, CDOPERINCLUSAO ) VALUES ( 56, 230, '05', 'carlaluciene25@gmail.com', 5862, 'S', SYSDATE, 5862, '000000099991' );</v>
      </c>
      <c r="FC29" s="63" t="str">
        <f t="shared" si="230"/>
        <v>INSERT INTO ENDERECOPARC ( NRENDERECOPARC, NRPARCNEGOCIO, CDTIPOENDERECO, NRORG, IDATIVO, DTINCLUSAO, NRORGINCLUSAO, CDOPERINCLUSAO, CDPAIS, CDMUNICIPIO, CDLOGRADOURO, NMBAIRROENDERECO, DSCOMPLEENDERECO, NRCEPENDERECO, DSENDERECO, NRIMOVELENDERECO, SGESTADO ) VALUES ( 37, 230, 'PRINCIPAL', 5862, 'S', SYSDATE, 5862, '000000099991', '0055', ( SELECT MAX(CDMUNICIPIO) FROM MUNICIPIO WHERE NMMUNICIPIO = 'BELEM' AND SGESTADO = 'PA' ), 'AL', 'COQUEIRO', 'CJ JD MAGUARI/ROD AUGUSTO MONTENEGRO', '66823096', 'VINTE E OITO', '9', 'PA');</v>
      </c>
      <c r="FD29" s="63" t="str">
        <f t="shared" ca="1" si="231"/>
        <v>INSERT INTO GPE_MOVIMENTACAO ( NRMOVIMENTACAO, NRORG, NRVINCULOM, NRTIPOTRANSFER, NRTPMOVTRANSFM, NRESTRUTURAM, DTINIMOVIMENT, DSOBSERVACAO, DTINCLUSAO, NRORGINCLUSAO, CDOPERINCLUSAO, NRTIPOESTRUTURA ) VALUES ( 27, 5862, 27, 1, 1, (SELECT MAX(NRESTRUTURAM) FROM ESTRUTURAM WHERE NRORG = 5862 AND CDINTESTRUTURA = 'est_MATSAUDE' AND NRTIPOESTRUTURA = (SELECT NRTPESTRUTLEGAL FROM GPE_PARAMORG WHERE NRORG = 5862)), '17/11/2025', 'Movimentacao gerada via migracao ' || SYSDATE, SYSDATE, 5862, '000000099991', ( SELECT NRTPESTRUTLEGAL FROM GPE_PARAMORG WHERE NRORG = 5862 ) );</v>
      </c>
      <c r="FE29" s="63" t="str">
        <f t="shared" ca="1" si="232"/>
        <v>INSERT INTO GPE_MOVIMENTACAO ( NRMOVIMENTACAO, NRORG, NRVINCULOM, NRTIPOTRANSFER, NRTPMOVTRANSFM, NRESTRUTURAM, DTINIMOVIMENT, DSOBSERVACAO, DTINCLUSAO, NRORGINCLUSAO, CDOPERINCLUSAO, NRTIPOESTRUTURA ) VALUES ( 54, 5862, 27, 2, 1, (SELECT MAX(NRESTRUTURAM) FROM ESTRUTURAM WHERE NRORG = 5862 AND CDINTESTRUTURA = 'dep_290000' AND NRTIPOESTRUTURA = (SELECT NRTPESTRUTGEREN FROM GPE_PARAMORG WHERE NRORG = 5862)), '17/11/2025', 'Movimentacao gerada via migracao ' || SYSDATE, SYSDATE, 5862, '000000099991', ( SELECT NRTPESTRUTGEREN FROM GPE_PARAMORG WHERE NRORG = 5862 ) );</v>
      </c>
      <c r="FF29" s="63" t="str">
        <f t="shared" ca="1" si="233"/>
        <v/>
      </c>
      <c r="FG29" s="63" t="str">
        <f t="shared" si="181"/>
        <v>COMMIT;</v>
      </c>
      <c r="FI29" s="21" t="str">
        <f ca="1"/>
        <v>não</v>
      </c>
      <c r="FL29" s="21" t="str">
        <f ca="1"/>
        <v>existe</v>
      </c>
      <c r="FP29" s="21" t="str">
        <f ca="1"/>
        <v>existe</v>
      </c>
      <c r="FT29" s="21" t="str">
        <f ca="1"/>
        <v>existe</v>
      </c>
      <c r="FX29" s="21" t="str">
        <f ca="1"/>
        <v>existe</v>
      </c>
      <c r="GB29" s="21">
        <f ca="1"/>
        <v>0</v>
      </c>
    </row>
  </sheetData>
  <autoFilter ref="A2:CD29" xr:uid="{DEEE56EC-37F5-4752-833A-EF1CEFE41C47}"/>
  <conditionalFormatting sqref="C2">
    <cfRule type="duplicateValues" dxfId="2" priority="14"/>
    <cfRule type="duplicateValues" dxfId="1" priority="210"/>
  </conditionalFormatting>
  <conditionalFormatting sqref="C3:C20">
    <cfRule type="duplicateValues" dxfId="0" priority="211"/>
  </conditionalFormatting>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A1166-293A-4CF4-82BE-53744E4D703B}">
  <dimension ref="A1:S680"/>
  <sheetViews>
    <sheetView workbookViewId="0">
      <pane ySplit="1" topLeftCell="A2" activePane="bottomLeft" state="frozen"/>
      <selection pane="bottomLeft" activeCell="F1" sqref="F1"/>
    </sheetView>
  </sheetViews>
  <sheetFormatPr defaultColWidth="9.109375" defaultRowHeight="14.4" x14ac:dyDescent="0.3"/>
  <cols>
    <col min="1" max="1" width="16.44140625" style="72" bestFit="1" customWidth="1"/>
    <col min="2" max="2" width="16" style="72" bestFit="1" customWidth="1"/>
    <col min="3" max="3" width="20" style="72" bestFit="1" customWidth="1"/>
    <col min="4" max="4" width="18.6640625" style="72" bestFit="1" customWidth="1"/>
    <col min="5" max="5" width="64" style="16" bestFit="1" customWidth="1"/>
    <col min="6" max="6" width="16.5546875" style="74" bestFit="1" customWidth="1"/>
    <col min="7" max="7" width="35.6640625" style="16" bestFit="1" customWidth="1"/>
    <col min="8" max="8" width="15.33203125" style="74" bestFit="1" customWidth="1"/>
    <col min="9" max="9" width="15.88671875" style="74" bestFit="1" customWidth="1"/>
    <col min="10" max="10" width="18.33203125" style="74" bestFit="1" customWidth="1"/>
    <col min="11" max="11" width="23.44140625" style="74" customWidth="1"/>
    <col min="12" max="12" width="65.88671875" style="16" bestFit="1" customWidth="1"/>
    <col min="13" max="13" width="25" style="89" bestFit="1" customWidth="1"/>
    <col min="14" max="14" width="17" style="74" bestFit="1" customWidth="1"/>
    <col min="15" max="15" width="21.44140625" style="74" customWidth="1"/>
    <col min="16" max="16" width="35.33203125" style="74" customWidth="1"/>
    <col min="17" max="17" width="71.33203125" style="16" bestFit="1" customWidth="1"/>
    <col min="18" max="16384" width="9.109375" style="16"/>
  </cols>
  <sheetData>
    <row r="1" spans="1:19" ht="184.8" x14ac:dyDescent="0.3">
      <c r="A1" s="73" t="s">
        <v>254</v>
      </c>
      <c r="B1" s="73" t="s">
        <v>243</v>
      </c>
      <c r="C1" s="73" t="s">
        <v>255</v>
      </c>
      <c r="D1" s="73" t="s">
        <v>256</v>
      </c>
      <c r="E1" s="71" t="s">
        <v>257</v>
      </c>
      <c r="F1" s="75" t="s">
        <v>258</v>
      </c>
      <c r="G1" s="71" t="s">
        <v>259</v>
      </c>
      <c r="H1" s="75" t="s">
        <v>260</v>
      </c>
      <c r="I1" s="75" t="s">
        <v>261</v>
      </c>
      <c r="J1" s="75" t="s">
        <v>262</v>
      </c>
      <c r="K1" s="75" t="s">
        <v>263</v>
      </c>
      <c r="L1" s="71" t="s">
        <v>264</v>
      </c>
      <c r="M1" s="16" t="s">
        <v>265</v>
      </c>
      <c r="N1" s="75" t="s">
        <v>266</v>
      </c>
      <c r="O1" s="75" t="s">
        <v>267</v>
      </c>
      <c r="P1" s="75" t="s">
        <v>268</v>
      </c>
      <c r="Q1" s="71" t="s">
        <v>269</v>
      </c>
    </row>
    <row r="2" spans="1:19" x14ac:dyDescent="0.3">
      <c r="F2" s="74" t="s">
        <v>270</v>
      </c>
      <c r="H2" s="74" t="s">
        <v>1748</v>
      </c>
      <c r="I2" s="74" t="s">
        <v>1749</v>
      </c>
      <c r="J2" s="74" t="s">
        <v>271</v>
      </c>
      <c r="K2" s="74" t="s">
        <v>1750</v>
      </c>
      <c r="M2" s="90" t="str" cm="1">
        <f t="array" aca="1" ref="M2:M104" ca="1">"'" &amp; INDIRECT( "N2:N" &amp; COUNTA( O:O ) ) &amp; "'"</f>
        <v>'dep_001'</v>
      </c>
      <c r="N2" s="74" t="s">
        <v>2451</v>
      </c>
      <c r="O2" s="74" t="s">
        <v>318</v>
      </c>
      <c r="P2" s="74" t="s">
        <v>2452</v>
      </c>
      <c r="S2"/>
    </row>
    <row r="3" spans="1:19" x14ac:dyDescent="0.3">
      <c r="F3" s="74" t="s">
        <v>271</v>
      </c>
      <c r="H3" s="74" t="s">
        <v>1751</v>
      </c>
      <c r="I3" s="74" t="s">
        <v>270</v>
      </c>
      <c r="J3" s="74" t="s">
        <v>271</v>
      </c>
      <c r="K3" s="74" t="s">
        <v>1752</v>
      </c>
      <c r="M3" s="89" t="str">
        <f ca="1"/>
        <v>'dep_010000'</v>
      </c>
      <c r="N3" s="74" t="s">
        <v>994</v>
      </c>
      <c r="O3" s="74" t="s">
        <v>328</v>
      </c>
      <c r="P3" s="74" t="s">
        <v>2453</v>
      </c>
    </row>
    <row r="4" spans="1:19" x14ac:dyDescent="0.3">
      <c r="F4" s="74" t="s">
        <v>272</v>
      </c>
      <c r="H4" s="74" t="s">
        <v>1753</v>
      </c>
      <c r="I4" s="74" t="s">
        <v>271</v>
      </c>
      <c r="J4" s="74" t="s">
        <v>271</v>
      </c>
      <c r="K4" s="74" t="s">
        <v>1752</v>
      </c>
      <c r="M4" s="89" t="str">
        <f ca="1"/>
        <v>'dep_020000'</v>
      </c>
      <c r="N4" s="74" t="s">
        <v>1439</v>
      </c>
      <c r="O4" s="74" t="s">
        <v>329</v>
      </c>
      <c r="P4" s="74" t="s">
        <v>2454</v>
      </c>
    </row>
    <row r="5" spans="1:19" x14ac:dyDescent="0.3">
      <c r="F5" s="74" t="s">
        <v>310</v>
      </c>
      <c r="H5" s="74" t="s">
        <v>1754</v>
      </c>
      <c r="I5" s="74" t="s">
        <v>272</v>
      </c>
      <c r="J5" s="74" t="s">
        <v>271</v>
      </c>
      <c r="K5" s="74" t="s">
        <v>1755</v>
      </c>
      <c r="M5" s="89" t="str">
        <f ca="1"/>
        <v>'dep_030000'</v>
      </c>
      <c r="N5" s="74" t="s">
        <v>1051</v>
      </c>
      <c r="O5" s="74" t="s">
        <v>1182</v>
      </c>
      <c r="P5" s="74" t="s">
        <v>2455</v>
      </c>
    </row>
    <row r="6" spans="1:19" x14ac:dyDescent="0.3">
      <c r="F6" s="74" t="s">
        <v>273</v>
      </c>
      <c r="H6" s="74" t="s">
        <v>1756</v>
      </c>
      <c r="I6" s="74" t="s">
        <v>310</v>
      </c>
      <c r="J6" s="74" t="s">
        <v>271</v>
      </c>
      <c r="K6" s="74" t="s">
        <v>1757</v>
      </c>
      <c r="M6" s="89" t="str">
        <f ca="1"/>
        <v>'dep_040000'</v>
      </c>
      <c r="N6" s="74" t="s">
        <v>1078</v>
      </c>
      <c r="O6" s="74" t="s">
        <v>679</v>
      </c>
      <c r="P6" s="74" t="s">
        <v>2456</v>
      </c>
    </row>
    <row r="7" spans="1:19" x14ac:dyDescent="0.3">
      <c r="F7" s="74" t="s">
        <v>311</v>
      </c>
      <c r="H7" s="74" t="s">
        <v>1758</v>
      </c>
      <c r="I7" s="74" t="s">
        <v>273</v>
      </c>
      <c r="J7" s="74" t="s">
        <v>271</v>
      </c>
      <c r="K7" s="74" t="s">
        <v>1757</v>
      </c>
      <c r="M7" s="89" t="str">
        <f ca="1"/>
        <v>'dep_050000'</v>
      </c>
      <c r="N7" s="74" t="s">
        <v>2457</v>
      </c>
      <c r="O7" s="74" t="s">
        <v>975</v>
      </c>
      <c r="P7" s="74" t="s">
        <v>2458</v>
      </c>
    </row>
    <row r="8" spans="1:19" x14ac:dyDescent="0.3">
      <c r="F8" s="74" t="s">
        <v>312</v>
      </c>
      <c r="H8" s="74" t="s">
        <v>1451</v>
      </c>
      <c r="I8" s="74" t="s">
        <v>311</v>
      </c>
      <c r="J8" s="74" t="s">
        <v>271</v>
      </c>
      <c r="K8" s="74" t="s">
        <v>1757</v>
      </c>
      <c r="M8" s="89" t="str">
        <f ca="1"/>
        <v>'dep_050010'</v>
      </c>
      <c r="N8" s="74" t="s">
        <v>1740</v>
      </c>
      <c r="O8" s="74" t="s">
        <v>497</v>
      </c>
      <c r="P8" s="74" t="s">
        <v>2459</v>
      </c>
    </row>
    <row r="9" spans="1:19" x14ac:dyDescent="0.3">
      <c r="F9" s="74" t="s">
        <v>313</v>
      </c>
      <c r="H9" s="74" t="s">
        <v>1445</v>
      </c>
      <c r="I9" s="74" t="s">
        <v>312</v>
      </c>
      <c r="J9" s="74" t="s">
        <v>271</v>
      </c>
      <c r="K9" s="74" t="s">
        <v>1757</v>
      </c>
      <c r="M9" s="89" t="str">
        <f ca="1"/>
        <v>'dep_050020'</v>
      </c>
      <c r="N9" s="74" t="s">
        <v>2460</v>
      </c>
      <c r="O9" s="74" t="s">
        <v>818</v>
      </c>
      <c r="P9" s="74" t="s">
        <v>2461</v>
      </c>
    </row>
    <row r="10" spans="1:19" x14ac:dyDescent="0.3">
      <c r="F10" s="74" t="s">
        <v>314</v>
      </c>
      <c r="H10" s="74" t="s">
        <v>1384</v>
      </c>
      <c r="I10" s="74" t="s">
        <v>313</v>
      </c>
      <c r="J10" s="74" t="s">
        <v>271</v>
      </c>
      <c r="K10" s="74" t="s">
        <v>1757</v>
      </c>
      <c r="M10" s="89" t="str">
        <f ca="1"/>
        <v>'dep_050030'</v>
      </c>
      <c r="N10" s="74" t="s">
        <v>2462</v>
      </c>
      <c r="O10" s="74" t="s">
        <v>915</v>
      </c>
      <c r="P10" s="74" t="s">
        <v>2463</v>
      </c>
    </row>
    <row r="11" spans="1:19" x14ac:dyDescent="0.3">
      <c r="F11" s="74" t="s">
        <v>315</v>
      </c>
      <c r="H11" s="74" t="s">
        <v>1265</v>
      </c>
      <c r="I11" s="74" t="s">
        <v>314</v>
      </c>
      <c r="J11" s="74" t="s">
        <v>271</v>
      </c>
      <c r="K11" s="74" t="s">
        <v>1759</v>
      </c>
      <c r="M11" s="89" t="str">
        <f ca="1"/>
        <v>'dep_060000'</v>
      </c>
      <c r="N11" s="74" t="s">
        <v>2464</v>
      </c>
      <c r="O11" s="74" t="s">
        <v>1031</v>
      </c>
      <c r="P11" s="74" t="s">
        <v>2456</v>
      </c>
    </row>
    <row r="12" spans="1:19" x14ac:dyDescent="0.3">
      <c r="F12" s="74" t="s">
        <v>305</v>
      </c>
      <c r="H12" s="74" t="s">
        <v>1760</v>
      </c>
      <c r="I12" s="74" t="s">
        <v>315</v>
      </c>
      <c r="J12" s="74" t="s">
        <v>271</v>
      </c>
      <c r="K12" s="74" t="s">
        <v>1759</v>
      </c>
      <c r="M12" s="89" t="str">
        <f ca="1"/>
        <v>'dep_070000'</v>
      </c>
      <c r="N12" s="74" t="s">
        <v>1133</v>
      </c>
      <c r="O12" s="74" t="s">
        <v>402</v>
      </c>
      <c r="P12" s="74" t="s">
        <v>2465</v>
      </c>
    </row>
    <row r="13" spans="1:19" x14ac:dyDescent="0.3">
      <c r="H13" s="74" t="s">
        <v>1761</v>
      </c>
      <c r="I13" s="74" t="s">
        <v>305</v>
      </c>
      <c r="J13" s="74" t="s">
        <v>271</v>
      </c>
      <c r="K13" s="74" t="s">
        <v>1759</v>
      </c>
      <c r="M13" s="89" t="str">
        <f ca="1"/>
        <v>'dep_080000'</v>
      </c>
      <c r="N13" s="74" t="s">
        <v>1480</v>
      </c>
      <c r="O13" s="74" t="s">
        <v>1070</v>
      </c>
      <c r="P13" s="74" t="s">
        <v>2466</v>
      </c>
    </row>
    <row r="14" spans="1:19" x14ac:dyDescent="0.3">
      <c r="H14" s="74" t="s">
        <v>1762</v>
      </c>
      <c r="I14" s="74" t="s">
        <v>316</v>
      </c>
      <c r="J14" s="74" t="s">
        <v>271</v>
      </c>
      <c r="K14" s="74" t="s">
        <v>1759</v>
      </c>
      <c r="M14" s="89" t="str">
        <f ca="1"/>
        <v>'dep_090000'</v>
      </c>
      <c r="N14" s="74" t="s">
        <v>467</v>
      </c>
      <c r="O14" s="74" t="s">
        <v>686</v>
      </c>
      <c r="P14" s="74" t="s">
        <v>2467</v>
      </c>
    </row>
    <row r="15" spans="1:19" x14ac:dyDescent="0.3">
      <c r="H15" s="74" t="s">
        <v>1763</v>
      </c>
      <c r="I15" s="74" t="s">
        <v>317</v>
      </c>
      <c r="J15" s="74" t="s">
        <v>271</v>
      </c>
      <c r="K15" s="74" t="s">
        <v>1759</v>
      </c>
      <c r="M15" s="89" t="str">
        <f ca="1"/>
        <v>'dep_100000'</v>
      </c>
      <c r="N15" s="74" t="s">
        <v>574</v>
      </c>
      <c r="O15" s="74" t="s">
        <v>330</v>
      </c>
      <c r="P15" s="74" t="s">
        <v>2468</v>
      </c>
    </row>
    <row r="16" spans="1:19" x14ac:dyDescent="0.3">
      <c r="H16" s="74" t="s">
        <v>1764</v>
      </c>
      <c r="I16" s="74" t="s">
        <v>306</v>
      </c>
      <c r="J16" s="74" t="s">
        <v>271</v>
      </c>
      <c r="K16" s="74" t="s">
        <v>1759</v>
      </c>
      <c r="M16" s="89" t="str">
        <f ca="1"/>
        <v>'dep_110000'</v>
      </c>
      <c r="N16" s="74" t="s">
        <v>2469</v>
      </c>
      <c r="O16" s="74" t="s">
        <v>331</v>
      </c>
      <c r="P16" s="74" t="s">
        <v>2470</v>
      </c>
    </row>
    <row r="17" spans="8:16" x14ac:dyDescent="0.3">
      <c r="H17" s="74" t="s">
        <v>1228</v>
      </c>
      <c r="I17" s="74" t="s">
        <v>325</v>
      </c>
      <c r="J17" s="74" t="s">
        <v>271</v>
      </c>
      <c r="K17" s="74" t="s">
        <v>1759</v>
      </c>
      <c r="M17" s="89" t="str">
        <f ca="1"/>
        <v>'dep_120000'</v>
      </c>
      <c r="N17" s="74" t="s">
        <v>2471</v>
      </c>
      <c r="O17" s="74" t="s">
        <v>1106</v>
      </c>
      <c r="P17" s="74" t="s">
        <v>2472</v>
      </c>
    </row>
    <row r="18" spans="8:16" x14ac:dyDescent="0.3">
      <c r="H18" s="74" t="s">
        <v>981</v>
      </c>
      <c r="I18" s="74" t="s">
        <v>326</v>
      </c>
      <c r="J18" s="74" t="s">
        <v>271</v>
      </c>
      <c r="K18" s="74" t="s">
        <v>1765</v>
      </c>
      <c r="M18" s="89" t="str">
        <f ca="1"/>
        <v>'dep_130000'</v>
      </c>
      <c r="N18" s="74" t="s">
        <v>2473</v>
      </c>
      <c r="O18" s="74" t="s">
        <v>1056</v>
      </c>
      <c r="P18" s="74" t="s">
        <v>2474</v>
      </c>
    </row>
    <row r="19" spans="8:16" x14ac:dyDescent="0.3">
      <c r="H19" s="74" t="s">
        <v>1766</v>
      </c>
      <c r="I19" s="74" t="s">
        <v>327</v>
      </c>
      <c r="J19" s="74" t="s">
        <v>271</v>
      </c>
      <c r="K19" s="74" t="s">
        <v>1767</v>
      </c>
      <c r="M19" s="89" t="str">
        <f ca="1"/>
        <v>'dep_140000'</v>
      </c>
      <c r="N19" s="74" t="s">
        <v>1109</v>
      </c>
      <c r="O19" s="74" t="s">
        <v>966</v>
      </c>
      <c r="P19" s="74" t="s">
        <v>2475</v>
      </c>
    </row>
    <row r="20" spans="8:16" x14ac:dyDescent="0.3">
      <c r="H20" s="74" t="s">
        <v>1768</v>
      </c>
      <c r="I20" s="74" t="s">
        <v>318</v>
      </c>
      <c r="J20" s="74" t="s">
        <v>271</v>
      </c>
      <c r="K20" s="74" t="s">
        <v>1769</v>
      </c>
      <c r="M20" s="89" t="str">
        <f ca="1"/>
        <v>'dep_150000'</v>
      </c>
      <c r="N20" s="74" t="s">
        <v>1189</v>
      </c>
      <c r="O20" s="74" t="s">
        <v>1027</v>
      </c>
      <c r="P20" s="74" t="s">
        <v>2476</v>
      </c>
    </row>
    <row r="21" spans="8:16" x14ac:dyDescent="0.3">
      <c r="H21" s="74" t="s">
        <v>1770</v>
      </c>
      <c r="I21" s="74" t="s">
        <v>328</v>
      </c>
      <c r="J21" s="74" t="s">
        <v>271</v>
      </c>
      <c r="K21" s="74" t="s">
        <v>1769</v>
      </c>
      <c r="M21" s="89" t="str">
        <f ca="1"/>
        <v>'dep_160000'</v>
      </c>
      <c r="N21" s="74" t="s">
        <v>2477</v>
      </c>
      <c r="O21" s="74" t="s">
        <v>1065</v>
      </c>
      <c r="P21" s="74" t="s">
        <v>2478</v>
      </c>
    </row>
    <row r="22" spans="8:16" x14ac:dyDescent="0.3">
      <c r="H22" s="74" t="s">
        <v>1771</v>
      </c>
      <c r="I22" s="74" t="s">
        <v>329</v>
      </c>
      <c r="J22" s="74" t="s">
        <v>271</v>
      </c>
      <c r="K22" s="74" t="s">
        <v>1772</v>
      </c>
      <c r="M22" s="89" t="str">
        <f ca="1"/>
        <v>'dep_170000'</v>
      </c>
      <c r="N22" s="74" t="s">
        <v>2479</v>
      </c>
      <c r="O22" s="74" t="s">
        <v>970</v>
      </c>
      <c r="P22" s="74" t="s">
        <v>2480</v>
      </c>
    </row>
    <row r="23" spans="8:16" x14ac:dyDescent="0.3">
      <c r="H23" s="74" t="s">
        <v>1773</v>
      </c>
      <c r="I23" s="74" t="s">
        <v>1182</v>
      </c>
      <c r="J23" s="74" t="s">
        <v>271</v>
      </c>
      <c r="K23" s="74" t="s">
        <v>1774</v>
      </c>
      <c r="M23" s="89" t="str">
        <f ca="1"/>
        <v>'dep_180000'</v>
      </c>
      <c r="N23" s="74" t="s">
        <v>2481</v>
      </c>
      <c r="O23" s="74" t="s">
        <v>974</v>
      </c>
      <c r="P23" s="74" t="s">
        <v>2482</v>
      </c>
    </row>
    <row r="24" spans="8:16" x14ac:dyDescent="0.3">
      <c r="H24" s="74" t="s">
        <v>1775</v>
      </c>
      <c r="I24" s="74" t="s">
        <v>679</v>
      </c>
      <c r="J24" s="74" t="s">
        <v>271</v>
      </c>
      <c r="K24" s="74" t="s">
        <v>1776</v>
      </c>
      <c r="M24" s="89" t="str">
        <f ca="1"/>
        <v>'dep_190000'</v>
      </c>
      <c r="N24" s="74" t="s">
        <v>2483</v>
      </c>
      <c r="O24" s="74" t="s">
        <v>1214</v>
      </c>
      <c r="P24" s="74" t="s">
        <v>2484</v>
      </c>
    </row>
    <row r="25" spans="8:16" x14ac:dyDescent="0.3">
      <c r="H25" s="74" t="s">
        <v>1777</v>
      </c>
      <c r="I25" s="74" t="s">
        <v>975</v>
      </c>
      <c r="J25" s="74" t="s">
        <v>271</v>
      </c>
      <c r="K25" s="74" t="s">
        <v>1778</v>
      </c>
      <c r="M25" s="89" t="str">
        <f ca="1"/>
        <v>'dep_200000'</v>
      </c>
      <c r="N25" s="74" t="s">
        <v>2485</v>
      </c>
      <c r="O25" s="74" t="s">
        <v>332</v>
      </c>
      <c r="P25" s="74" t="s">
        <v>2486</v>
      </c>
    </row>
    <row r="26" spans="8:16" x14ac:dyDescent="0.3">
      <c r="H26" s="74" t="s">
        <v>1604</v>
      </c>
      <c r="I26" s="74" t="s">
        <v>497</v>
      </c>
      <c r="J26" s="74" t="s">
        <v>271</v>
      </c>
      <c r="K26" s="74" t="s">
        <v>1778</v>
      </c>
      <c r="M26" s="89" t="str">
        <f ca="1"/>
        <v>'dep_210000'</v>
      </c>
      <c r="N26" s="74" t="s">
        <v>2487</v>
      </c>
      <c r="O26" s="74" t="s">
        <v>319</v>
      </c>
      <c r="P26" s="74" t="s">
        <v>2488</v>
      </c>
    </row>
    <row r="27" spans="8:16" x14ac:dyDescent="0.3">
      <c r="H27" s="74" t="s">
        <v>1779</v>
      </c>
      <c r="I27" s="74" t="s">
        <v>818</v>
      </c>
      <c r="J27" s="74" t="s">
        <v>271</v>
      </c>
      <c r="K27" s="74" t="s">
        <v>1778</v>
      </c>
      <c r="M27" s="89" t="str">
        <f ca="1"/>
        <v>'dep_220000'</v>
      </c>
      <c r="N27" s="74" t="s">
        <v>2489</v>
      </c>
      <c r="O27" s="74" t="s">
        <v>333</v>
      </c>
      <c r="P27" s="74" t="s">
        <v>2490</v>
      </c>
    </row>
    <row r="28" spans="8:16" x14ac:dyDescent="0.3">
      <c r="H28" s="74" t="s">
        <v>1780</v>
      </c>
      <c r="I28" s="74" t="s">
        <v>915</v>
      </c>
      <c r="J28" s="74" t="s">
        <v>271</v>
      </c>
      <c r="K28" s="74" t="s">
        <v>1778</v>
      </c>
      <c r="M28" s="89" t="str">
        <f ca="1"/>
        <v>'dep_230000'</v>
      </c>
      <c r="N28" s="74" t="s">
        <v>2491</v>
      </c>
      <c r="O28" s="74" t="s">
        <v>320</v>
      </c>
      <c r="P28" s="74" t="s">
        <v>2492</v>
      </c>
    </row>
    <row r="29" spans="8:16" x14ac:dyDescent="0.3">
      <c r="H29" s="74" t="s">
        <v>1708</v>
      </c>
      <c r="I29" s="74" t="s">
        <v>1031</v>
      </c>
      <c r="J29" s="74" t="s">
        <v>271</v>
      </c>
      <c r="K29" s="74" t="s">
        <v>1778</v>
      </c>
      <c r="M29" s="89" t="str">
        <f ca="1"/>
        <v>'dep_240000'</v>
      </c>
      <c r="N29" s="74" t="s">
        <v>2493</v>
      </c>
      <c r="O29" s="74" t="s">
        <v>321</v>
      </c>
      <c r="P29" s="74" t="s">
        <v>2494</v>
      </c>
    </row>
    <row r="30" spans="8:16" x14ac:dyDescent="0.3">
      <c r="H30" s="74" t="s">
        <v>1781</v>
      </c>
      <c r="I30" s="74" t="s">
        <v>402</v>
      </c>
      <c r="J30" s="74" t="s">
        <v>271</v>
      </c>
      <c r="K30" s="74" t="s">
        <v>1782</v>
      </c>
      <c r="M30" s="89" t="str">
        <f ca="1"/>
        <v>'dep_250000'</v>
      </c>
      <c r="N30" s="74" t="s">
        <v>991</v>
      </c>
      <c r="O30" s="74" t="s">
        <v>334</v>
      </c>
      <c r="P30" s="74" t="s">
        <v>2495</v>
      </c>
    </row>
    <row r="31" spans="8:16" x14ac:dyDescent="0.3">
      <c r="H31" s="74" t="s">
        <v>1783</v>
      </c>
      <c r="I31" s="74" t="s">
        <v>1070</v>
      </c>
      <c r="J31" s="74" t="s">
        <v>271</v>
      </c>
      <c r="K31" s="74" t="s">
        <v>1784</v>
      </c>
      <c r="M31" s="89" t="str">
        <f ca="1"/>
        <v>'dep_260000'</v>
      </c>
      <c r="N31" s="74" t="s">
        <v>1002</v>
      </c>
      <c r="O31" s="74" t="s">
        <v>1089</v>
      </c>
      <c r="P31" s="74" t="s">
        <v>2496</v>
      </c>
    </row>
    <row r="32" spans="8:16" x14ac:dyDescent="0.3">
      <c r="H32" s="74" t="s">
        <v>979</v>
      </c>
      <c r="I32" s="74" t="s">
        <v>686</v>
      </c>
      <c r="J32" s="74" t="s">
        <v>271</v>
      </c>
      <c r="K32" s="74" t="s">
        <v>1785</v>
      </c>
      <c r="M32" s="89" t="str">
        <f ca="1"/>
        <v>'dep_270000'</v>
      </c>
      <c r="N32" s="74" t="s">
        <v>590</v>
      </c>
      <c r="O32" s="74" t="s">
        <v>654</v>
      </c>
      <c r="P32" s="74" t="s">
        <v>2497</v>
      </c>
    </row>
    <row r="33" spans="8:16" x14ac:dyDescent="0.3">
      <c r="H33" s="74" t="s">
        <v>1786</v>
      </c>
      <c r="I33" s="74" t="s">
        <v>330</v>
      </c>
      <c r="J33" s="74" t="s">
        <v>271</v>
      </c>
      <c r="K33" s="74" t="s">
        <v>1787</v>
      </c>
      <c r="M33" s="89" t="str">
        <f ca="1"/>
        <v>'dep_280000'</v>
      </c>
      <c r="N33" s="74" t="s">
        <v>637</v>
      </c>
      <c r="O33" s="74" t="s">
        <v>1008</v>
      </c>
      <c r="P33" s="74" t="s">
        <v>2498</v>
      </c>
    </row>
    <row r="34" spans="8:16" x14ac:dyDescent="0.3">
      <c r="H34" s="74" t="s">
        <v>1788</v>
      </c>
      <c r="I34" s="74" t="s">
        <v>331</v>
      </c>
      <c r="J34" s="74" t="s">
        <v>271</v>
      </c>
      <c r="K34" s="74" t="s">
        <v>1787</v>
      </c>
      <c r="M34" s="89" t="str">
        <f ca="1"/>
        <v>'dep_290000'</v>
      </c>
      <c r="N34" s="74" t="s">
        <v>410</v>
      </c>
      <c r="O34" s="74" t="s">
        <v>622</v>
      </c>
      <c r="P34" s="74" t="s">
        <v>2499</v>
      </c>
    </row>
    <row r="35" spans="8:16" x14ac:dyDescent="0.3">
      <c r="H35" s="74" t="s">
        <v>1789</v>
      </c>
      <c r="I35" s="74" t="s">
        <v>1106</v>
      </c>
      <c r="J35" s="74" t="s">
        <v>271</v>
      </c>
      <c r="K35" s="74" t="s">
        <v>1790</v>
      </c>
      <c r="M35" s="89" t="str">
        <f ca="1"/>
        <v>'dep_300000'</v>
      </c>
      <c r="N35" s="74" t="s">
        <v>1071</v>
      </c>
      <c r="O35" s="74" t="s">
        <v>335</v>
      </c>
      <c r="P35" s="74" t="s">
        <v>2500</v>
      </c>
    </row>
    <row r="36" spans="8:16" x14ac:dyDescent="0.3">
      <c r="H36" s="74" t="s">
        <v>1791</v>
      </c>
      <c r="I36" s="74" t="s">
        <v>1056</v>
      </c>
      <c r="J36" s="74" t="s">
        <v>271</v>
      </c>
      <c r="K36" s="74" t="s">
        <v>1792</v>
      </c>
      <c r="M36" s="89" t="str">
        <f ca="1"/>
        <v>'dep_310000'</v>
      </c>
      <c r="N36" s="74" t="s">
        <v>1018</v>
      </c>
      <c r="O36" s="74" t="s">
        <v>1041</v>
      </c>
      <c r="P36" s="74" t="s">
        <v>2501</v>
      </c>
    </row>
    <row r="37" spans="8:16" x14ac:dyDescent="0.3">
      <c r="H37" s="74" t="s">
        <v>1793</v>
      </c>
      <c r="I37" s="74" t="s">
        <v>1027</v>
      </c>
      <c r="J37" s="74" t="s">
        <v>271</v>
      </c>
      <c r="K37" s="74" t="s">
        <v>1794</v>
      </c>
      <c r="M37" s="89" t="str">
        <f ca="1"/>
        <v>'dep_320000'</v>
      </c>
      <c r="N37" s="74" t="s">
        <v>1044</v>
      </c>
      <c r="O37" s="74" t="s">
        <v>336</v>
      </c>
      <c r="P37" s="74" t="s">
        <v>2502</v>
      </c>
    </row>
    <row r="38" spans="8:16" x14ac:dyDescent="0.3">
      <c r="H38" s="74" t="s">
        <v>1795</v>
      </c>
      <c r="I38" s="74" t="s">
        <v>1065</v>
      </c>
      <c r="J38" s="74" t="s">
        <v>271</v>
      </c>
      <c r="K38" s="74" t="s">
        <v>1794</v>
      </c>
      <c r="M38" s="89" t="str">
        <f ca="1"/>
        <v>'dep_330000'</v>
      </c>
      <c r="N38" s="74" t="s">
        <v>2503</v>
      </c>
      <c r="O38" s="74" t="s">
        <v>337</v>
      </c>
      <c r="P38" s="74" t="s">
        <v>2504</v>
      </c>
    </row>
    <row r="39" spans="8:16" x14ac:dyDescent="0.3">
      <c r="H39" s="74" t="s">
        <v>1796</v>
      </c>
      <c r="I39" s="74" t="s">
        <v>970</v>
      </c>
      <c r="J39" s="74" t="s">
        <v>271</v>
      </c>
      <c r="K39" s="74" t="s">
        <v>1797</v>
      </c>
      <c r="M39" s="89" t="str">
        <f ca="1"/>
        <v>'dep_340000'</v>
      </c>
      <c r="N39" s="74" t="s">
        <v>2505</v>
      </c>
      <c r="O39" s="74" t="s">
        <v>1179</v>
      </c>
      <c r="P39" s="74" t="s">
        <v>2506</v>
      </c>
    </row>
    <row r="40" spans="8:16" x14ac:dyDescent="0.3">
      <c r="H40" s="74" t="s">
        <v>1236</v>
      </c>
      <c r="I40" s="74" t="s">
        <v>974</v>
      </c>
      <c r="J40" s="74" t="s">
        <v>271</v>
      </c>
      <c r="K40" s="74" t="s">
        <v>1798</v>
      </c>
      <c r="M40" s="89" t="str">
        <f ca="1"/>
        <v>'dep_350000'</v>
      </c>
      <c r="N40" s="74" t="s">
        <v>1012</v>
      </c>
      <c r="O40" s="74" t="s">
        <v>998</v>
      </c>
      <c r="P40" s="74" t="s">
        <v>2507</v>
      </c>
    </row>
    <row r="41" spans="8:16" x14ac:dyDescent="0.3">
      <c r="H41" s="74" t="s">
        <v>1514</v>
      </c>
      <c r="I41" s="74" t="s">
        <v>1214</v>
      </c>
      <c r="J41" s="74" t="s">
        <v>271</v>
      </c>
      <c r="K41" s="74" t="s">
        <v>1798</v>
      </c>
      <c r="M41" s="89" t="str">
        <f ca="1"/>
        <v>'dep_360000'</v>
      </c>
      <c r="N41" s="74" t="s">
        <v>2508</v>
      </c>
      <c r="O41" s="74" t="s">
        <v>1050</v>
      </c>
      <c r="P41" s="74" t="s">
        <v>2509</v>
      </c>
    </row>
    <row r="42" spans="8:16" x14ac:dyDescent="0.3">
      <c r="H42" s="74" t="s">
        <v>1512</v>
      </c>
      <c r="I42" s="74" t="s">
        <v>332</v>
      </c>
      <c r="J42" s="74" t="s">
        <v>271</v>
      </c>
      <c r="K42" s="74" t="s">
        <v>1798</v>
      </c>
      <c r="M42" s="89" t="str">
        <f ca="1"/>
        <v>'dep_370000'</v>
      </c>
      <c r="N42" s="74" t="s">
        <v>446</v>
      </c>
      <c r="O42" s="74" t="s">
        <v>1021</v>
      </c>
      <c r="P42" s="74" t="s">
        <v>2510</v>
      </c>
    </row>
    <row r="43" spans="8:16" x14ac:dyDescent="0.3">
      <c r="H43" s="74" t="s">
        <v>1449</v>
      </c>
      <c r="I43" s="74" t="s">
        <v>319</v>
      </c>
      <c r="J43" s="74" t="s">
        <v>271</v>
      </c>
      <c r="K43" s="74" t="s">
        <v>1798</v>
      </c>
      <c r="M43" s="89" t="str">
        <f ca="1"/>
        <v>'dep_380000'</v>
      </c>
      <c r="N43" s="74" t="s">
        <v>1073</v>
      </c>
      <c r="O43" s="74" t="s">
        <v>1048</v>
      </c>
      <c r="P43" s="74" t="s">
        <v>2511</v>
      </c>
    </row>
    <row r="44" spans="8:16" x14ac:dyDescent="0.3">
      <c r="H44" s="74" t="s">
        <v>1274</v>
      </c>
      <c r="I44" s="74" t="s">
        <v>333</v>
      </c>
      <c r="J44" s="74" t="s">
        <v>271</v>
      </c>
      <c r="K44" s="74" t="s">
        <v>1798</v>
      </c>
      <c r="M44" s="89" t="str">
        <f ca="1"/>
        <v>'dep_390000'</v>
      </c>
      <c r="N44" s="74" t="s">
        <v>962</v>
      </c>
      <c r="O44" s="74" t="s">
        <v>1103</v>
      </c>
      <c r="P44" s="74" t="s">
        <v>2512</v>
      </c>
    </row>
    <row r="45" spans="8:16" x14ac:dyDescent="0.3">
      <c r="H45" s="74" t="s">
        <v>1799</v>
      </c>
      <c r="I45" s="74" t="s">
        <v>320</v>
      </c>
      <c r="J45" s="74" t="s">
        <v>271</v>
      </c>
      <c r="K45" s="74" t="s">
        <v>1800</v>
      </c>
      <c r="M45" s="89" t="str">
        <f ca="1"/>
        <v>'dep_40000'</v>
      </c>
      <c r="N45" s="74" t="s">
        <v>999</v>
      </c>
      <c r="O45" s="74" t="s">
        <v>935</v>
      </c>
      <c r="P45" s="74" t="s">
        <v>2513</v>
      </c>
    </row>
    <row r="46" spans="8:16" x14ac:dyDescent="0.3">
      <c r="H46" s="74" t="s">
        <v>1801</v>
      </c>
      <c r="I46" s="74" t="s">
        <v>321</v>
      </c>
      <c r="J46" s="74" t="s">
        <v>271</v>
      </c>
      <c r="K46" s="74" t="s">
        <v>1802</v>
      </c>
      <c r="M46" s="89" t="str">
        <f ca="1"/>
        <v>'dep_400000'</v>
      </c>
      <c r="N46" s="74" t="s">
        <v>652</v>
      </c>
      <c r="O46" s="74" t="s">
        <v>338</v>
      </c>
      <c r="P46" s="74" t="s">
        <v>2513</v>
      </c>
    </row>
    <row r="47" spans="8:16" x14ac:dyDescent="0.3">
      <c r="H47" s="74" t="s">
        <v>1803</v>
      </c>
      <c r="I47" s="74" t="s">
        <v>334</v>
      </c>
      <c r="J47" s="74" t="s">
        <v>271</v>
      </c>
      <c r="K47" s="74" t="s">
        <v>1802</v>
      </c>
      <c r="M47" s="89" t="str">
        <f ca="1"/>
        <v>'dep_410000'</v>
      </c>
      <c r="N47" s="74" t="s">
        <v>912</v>
      </c>
      <c r="O47" s="74" t="s">
        <v>1105</v>
      </c>
      <c r="P47" s="74" t="s">
        <v>2514</v>
      </c>
    </row>
    <row r="48" spans="8:16" x14ac:dyDescent="0.3">
      <c r="H48" s="74" t="s">
        <v>1626</v>
      </c>
      <c r="I48" s="74" t="s">
        <v>1089</v>
      </c>
      <c r="J48" s="74" t="s">
        <v>271</v>
      </c>
      <c r="K48" s="74" t="s">
        <v>1802</v>
      </c>
      <c r="M48" s="89" t="str">
        <f ca="1"/>
        <v>'dep_420000'</v>
      </c>
      <c r="N48" s="74" t="s">
        <v>2515</v>
      </c>
      <c r="O48" s="74" t="s">
        <v>1004</v>
      </c>
      <c r="P48" s="74" t="s">
        <v>2492</v>
      </c>
    </row>
    <row r="49" spans="8:16" x14ac:dyDescent="0.3">
      <c r="H49" s="74" t="s">
        <v>1804</v>
      </c>
      <c r="I49" s="74" t="s">
        <v>654</v>
      </c>
      <c r="J49" s="74" t="s">
        <v>271</v>
      </c>
      <c r="K49" s="74" t="s">
        <v>1802</v>
      </c>
      <c r="M49" s="89" t="str">
        <f ca="1"/>
        <v>'dep_430000'</v>
      </c>
      <c r="N49" s="74" t="s">
        <v>1366</v>
      </c>
      <c r="O49" s="74" t="s">
        <v>1117</v>
      </c>
      <c r="P49" s="74" t="s">
        <v>2516</v>
      </c>
    </row>
    <row r="50" spans="8:16" x14ac:dyDescent="0.3">
      <c r="H50" s="74" t="s">
        <v>1510</v>
      </c>
      <c r="I50" s="74" t="s">
        <v>1008</v>
      </c>
      <c r="J50" s="74" t="s">
        <v>271</v>
      </c>
      <c r="K50" s="74" t="s">
        <v>1802</v>
      </c>
      <c r="M50" s="89" t="str">
        <f ca="1"/>
        <v>'dep_440000'</v>
      </c>
      <c r="N50" s="74" t="s">
        <v>677</v>
      </c>
      <c r="O50" s="74" t="s">
        <v>872</v>
      </c>
      <c r="P50" s="74" t="s">
        <v>2517</v>
      </c>
    </row>
    <row r="51" spans="8:16" x14ac:dyDescent="0.3">
      <c r="H51" s="74" t="s">
        <v>1174</v>
      </c>
      <c r="I51" s="74" t="s">
        <v>622</v>
      </c>
      <c r="J51" s="74" t="s">
        <v>271</v>
      </c>
      <c r="K51" s="74" t="s">
        <v>1802</v>
      </c>
      <c r="M51" s="89" t="str">
        <f ca="1"/>
        <v>'dep_450000'</v>
      </c>
      <c r="N51" s="74" t="s">
        <v>2518</v>
      </c>
      <c r="O51" s="74" t="s">
        <v>1058</v>
      </c>
      <c r="P51" s="74" t="s">
        <v>2519</v>
      </c>
    </row>
    <row r="52" spans="8:16" x14ac:dyDescent="0.3">
      <c r="H52" s="74" t="s">
        <v>1511</v>
      </c>
      <c r="I52" s="74" t="s">
        <v>335</v>
      </c>
      <c r="J52" s="74" t="s">
        <v>271</v>
      </c>
      <c r="K52" s="74" t="s">
        <v>1805</v>
      </c>
      <c r="M52" s="89" t="str">
        <f ca="1"/>
        <v>'dep_460000'</v>
      </c>
      <c r="N52" s="74" t="s">
        <v>2520</v>
      </c>
      <c r="O52" s="74" t="s">
        <v>1329</v>
      </c>
      <c r="P52" s="74" t="s">
        <v>2521</v>
      </c>
    </row>
    <row r="53" spans="8:16" x14ac:dyDescent="0.3">
      <c r="H53" s="74" t="s">
        <v>1806</v>
      </c>
      <c r="I53" s="74" t="s">
        <v>1041</v>
      </c>
      <c r="J53" s="74" t="s">
        <v>271</v>
      </c>
      <c r="K53" s="74" t="s">
        <v>1805</v>
      </c>
      <c r="M53" s="89" t="str">
        <f ca="1"/>
        <v>'dep_470000'</v>
      </c>
      <c r="N53" s="74" t="s">
        <v>1017</v>
      </c>
      <c r="O53" s="74" t="s">
        <v>1099</v>
      </c>
      <c r="P53" s="74" t="s">
        <v>2522</v>
      </c>
    </row>
    <row r="54" spans="8:16" x14ac:dyDescent="0.3">
      <c r="H54" s="74" t="s">
        <v>1256</v>
      </c>
      <c r="I54" s="74" t="s">
        <v>336</v>
      </c>
      <c r="J54" s="74" t="s">
        <v>271</v>
      </c>
      <c r="K54" s="74" t="s">
        <v>1805</v>
      </c>
      <c r="M54" s="89" t="str">
        <f ca="1"/>
        <v>'dep_480000'</v>
      </c>
      <c r="N54" s="74" t="s">
        <v>2523</v>
      </c>
      <c r="O54" s="74" t="s">
        <v>1146</v>
      </c>
      <c r="P54" s="74" t="s">
        <v>2524</v>
      </c>
    </row>
    <row r="55" spans="8:16" x14ac:dyDescent="0.3">
      <c r="H55" s="74" t="s">
        <v>1807</v>
      </c>
      <c r="I55" s="74" t="s">
        <v>337</v>
      </c>
      <c r="J55" s="74" t="s">
        <v>271</v>
      </c>
      <c r="K55" s="74" t="s">
        <v>1805</v>
      </c>
      <c r="M55" s="89" t="str">
        <f ca="1"/>
        <v>'dep_490000'</v>
      </c>
      <c r="N55" s="74" t="s">
        <v>2525</v>
      </c>
      <c r="O55" s="74" t="s">
        <v>339</v>
      </c>
      <c r="P55" s="74" t="s">
        <v>2526</v>
      </c>
    </row>
    <row r="56" spans="8:16" x14ac:dyDescent="0.3">
      <c r="H56" s="74" t="s">
        <v>1211</v>
      </c>
      <c r="I56" s="74" t="s">
        <v>1179</v>
      </c>
      <c r="J56" s="74" t="s">
        <v>271</v>
      </c>
      <c r="K56" s="74" t="s">
        <v>1805</v>
      </c>
      <c r="M56" s="89" t="str">
        <f ca="1"/>
        <v>'dep_500000'</v>
      </c>
      <c r="N56" s="74" t="s">
        <v>1140</v>
      </c>
      <c r="O56" s="74" t="s">
        <v>340</v>
      </c>
      <c r="P56" s="74" t="s">
        <v>2527</v>
      </c>
    </row>
    <row r="57" spans="8:16" x14ac:dyDescent="0.3">
      <c r="H57" s="74" t="s">
        <v>1627</v>
      </c>
      <c r="I57" s="74" t="s">
        <v>998</v>
      </c>
      <c r="J57" s="74" t="s">
        <v>271</v>
      </c>
      <c r="K57" s="74" t="s">
        <v>1808</v>
      </c>
      <c r="M57" s="89" t="str">
        <f ca="1"/>
        <v>'dep_510000'</v>
      </c>
      <c r="N57" s="74" t="s">
        <v>1275</v>
      </c>
      <c r="O57" s="74" t="s">
        <v>341</v>
      </c>
      <c r="P57" s="74" t="s">
        <v>2528</v>
      </c>
    </row>
    <row r="58" spans="8:16" x14ac:dyDescent="0.3">
      <c r="H58" s="74" t="s">
        <v>1563</v>
      </c>
      <c r="I58" s="74" t="s">
        <v>1050</v>
      </c>
      <c r="J58" s="74" t="s">
        <v>271</v>
      </c>
      <c r="K58" s="74" t="s">
        <v>1809</v>
      </c>
      <c r="M58" s="89" t="str">
        <f ca="1"/>
        <v>'dep_520000'</v>
      </c>
      <c r="N58" s="74" t="s">
        <v>553</v>
      </c>
      <c r="O58" s="74" t="s">
        <v>342</v>
      </c>
      <c r="P58" s="74" t="s">
        <v>2529</v>
      </c>
    </row>
    <row r="59" spans="8:16" x14ac:dyDescent="0.3">
      <c r="H59" s="74" t="s">
        <v>1810</v>
      </c>
      <c r="I59" s="74" t="s">
        <v>1021</v>
      </c>
      <c r="J59" s="74" t="s">
        <v>271</v>
      </c>
      <c r="K59" s="74" t="s">
        <v>1809</v>
      </c>
      <c r="M59" s="89" t="str">
        <f ca="1"/>
        <v>'dep_530000'</v>
      </c>
      <c r="N59" s="74" t="s">
        <v>1592</v>
      </c>
      <c r="O59" s="74" t="s">
        <v>1064</v>
      </c>
      <c r="P59" s="74" t="s">
        <v>2530</v>
      </c>
    </row>
    <row r="60" spans="8:16" x14ac:dyDescent="0.3">
      <c r="H60" s="74" t="s">
        <v>1499</v>
      </c>
      <c r="I60" s="74" t="s">
        <v>1048</v>
      </c>
      <c r="J60" s="74" t="s">
        <v>271</v>
      </c>
      <c r="K60" s="74" t="s">
        <v>1809</v>
      </c>
      <c r="M60" s="89" t="str">
        <f ca="1"/>
        <v>'dep_540000'</v>
      </c>
      <c r="N60" s="74" t="s">
        <v>2531</v>
      </c>
      <c r="O60" s="74" t="s">
        <v>1096</v>
      </c>
      <c r="P60" s="74" t="s">
        <v>2532</v>
      </c>
    </row>
    <row r="61" spans="8:16" x14ac:dyDescent="0.3">
      <c r="H61" s="74" t="s">
        <v>1811</v>
      </c>
      <c r="I61" s="74" t="s">
        <v>1103</v>
      </c>
      <c r="J61" s="74" t="s">
        <v>271</v>
      </c>
      <c r="K61" s="74" t="s">
        <v>1809</v>
      </c>
      <c r="M61" s="89" t="str">
        <f ca="1"/>
        <v>'dep_550000'</v>
      </c>
      <c r="N61" s="74" t="s">
        <v>2533</v>
      </c>
      <c r="O61" s="74" t="s">
        <v>436</v>
      </c>
      <c r="P61" s="74" t="s">
        <v>2534</v>
      </c>
    </row>
    <row r="62" spans="8:16" x14ac:dyDescent="0.3">
      <c r="H62" s="74" t="s">
        <v>1656</v>
      </c>
      <c r="I62" s="74" t="s">
        <v>935</v>
      </c>
      <c r="J62" s="74" t="s">
        <v>271</v>
      </c>
      <c r="K62" s="74" t="s">
        <v>1809</v>
      </c>
      <c r="M62" s="89" t="str">
        <f ca="1"/>
        <v>'dep_560000'</v>
      </c>
      <c r="N62" s="74" t="s">
        <v>1111</v>
      </c>
      <c r="O62" s="74" t="s">
        <v>1085</v>
      </c>
      <c r="P62" s="74" t="s">
        <v>2535</v>
      </c>
    </row>
    <row r="63" spans="8:16" x14ac:dyDescent="0.3">
      <c r="H63" s="74" t="s">
        <v>1521</v>
      </c>
      <c r="I63" s="74" t="s">
        <v>338</v>
      </c>
      <c r="J63" s="74" t="s">
        <v>271</v>
      </c>
      <c r="K63" s="74" t="s">
        <v>1809</v>
      </c>
      <c r="M63" s="89" t="str">
        <f ca="1"/>
        <v>'dep_570000'</v>
      </c>
      <c r="N63" s="74" t="s">
        <v>2536</v>
      </c>
      <c r="O63" s="74" t="s">
        <v>984</v>
      </c>
      <c r="P63" s="74" t="s">
        <v>2537</v>
      </c>
    </row>
    <row r="64" spans="8:16" x14ac:dyDescent="0.3">
      <c r="H64" s="74" t="s">
        <v>1812</v>
      </c>
      <c r="I64" s="74" t="s">
        <v>1105</v>
      </c>
      <c r="J64" s="74" t="s">
        <v>271</v>
      </c>
      <c r="K64" s="74" t="s">
        <v>1809</v>
      </c>
      <c r="M64" s="89" t="str">
        <f ca="1"/>
        <v>'dep_580000'</v>
      </c>
      <c r="N64" s="74" t="s">
        <v>1557</v>
      </c>
      <c r="O64" s="74" t="s">
        <v>1000</v>
      </c>
      <c r="P64" s="74" t="s">
        <v>2538</v>
      </c>
    </row>
    <row r="65" spans="8:16" x14ac:dyDescent="0.3">
      <c r="H65" s="74" t="s">
        <v>1813</v>
      </c>
      <c r="I65" s="74" t="s">
        <v>1004</v>
      </c>
      <c r="J65" s="74" t="s">
        <v>271</v>
      </c>
      <c r="K65" s="74" t="s">
        <v>1809</v>
      </c>
      <c r="M65" s="89" t="str">
        <f ca="1"/>
        <v>'dep_590000'</v>
      </c>
      <c r="N65" s="74" t="s">
        <v>1030</v>
      </c>
      <c r="O65" s="74" t="s">
        <v>413</v>
      </c>
      <c r="P65" s="74" t="s">
        <v>2539</v>
      </c>
    </row>
    <row r="66" spans="8:16" x14ac:dyDescent="0.3">
      <c r="H66" s="74" t="s">
        <v>1458</v>
      </c>
      <c r="I66" s="74" t="s">
        <v>1117</v>
      </c>
      <c r="J66" s="74" t="s">
        <v>271</v>
      </c>
      <c r="K66" s="74" t="s">
        <v>1809</v>
      </c>
      <c r="M66" s="89" t="str">
        <f ca="1"/>
        <v>'dep_600000'</v>
      </c>
      <c r="N66" s="74" t="s">
        <v>1386</v>
      </c>
      <c r="O66" s="74" t="s">
        <v>490</v>
      </c>
      <c r="P66" s="74" t="s">
        <v>2540</v>
      </c>
    </row>
    <row r="67" spans="8:16" x14ac:dyDescent="0.3">
      <c r="H67" s="74" t="s">
        <v>1814</v>
      </c>
      <c r="I67" s="74" t="s">
        <v>872</v>
      </c>
      <c r="J67" s="74" t="s">
        <v>271</v>
      </c>
      <c r="K67" s="74" t="s">
        <v>1809</v>
      </c>
      <c r="M67" s="89" t="str">
        <f ca="1"/>
        <v>'dep_610000'</v>
      </c>
      <c r="N67" s="74" t="s">
        <v>1496</v>
      </c>
      <c r="O67" s="74" t="s">
        <v>1036</v>
      </c>
      <c r="P67" s="74" t="s">
        <v>2541</v>
      </c>
    </row>
    <row r="68" spans="8:16" x14ac:dyDescent="0.3">
      <c r="H68" s="74" t="s">
        <v>1815</v>
      </c>
      <c r="I68" s="74" t="s">
        <v>1058</v>
      </c>
      <c r="J68" s="74" t="s">
        <v>271</v>
      </c>
      <c r="K68" s="74" t="s">
        <v>1809</v>
      </c>
      <c r="M68" s="89" t="str">
        <f ca="1"/>
        <v>'dep_620000'</v>
      </c>
      <c r="N68" s="74" t="s">
        <v>1635</v>
      </c>
      <c r="O68" s="74" t="s">
        <v>1092</v>
      </c>
      <c r="P68" s="74" t="s">
        <v>2542</v>
      </c>
    </row>
    <row r="69" spans="8:16" x14ac:dyDescent="0.3">
      <c r="H69" s="74" t="s">
        <v>1816</v>
      </c>
      <c r="I69" s="74" t="s">
        <v>1329</v>
      </c>
      <c r="J69" s="74" t="s">
        <v>271</v>
      </c>
      <c r="K69" s="74" t="s">
        <v>1809</v>
      </c>
      <c r="M69" s="89" t="str">
        <f ca="1"/>
        <v>'dep_630000'</v>
      </c>
      <c r="N69" s="74" t="s">
        <v>963</v>
      </c>
      <c r="O69" s="74" t="s">
        <v>1365</v>
      </c>
      <c r="P69" s="74" t="s">
        <v>2543</v>
      </c>
    </row>
    <row r="70" spans="8:16" x14ac:dyDescent="0.3">
      <c r="H70" s="74" t="s">
        <v>1417</v>
      </c>
      <c r="I70" s="74" t="s">
        <v>1099</v>
      </c>
      <c r="J70" s="74" t="s">
        <v>271</v>
      </c>
      <c r="K70" s="74" t="s">
        <v>1809</v>
      </c>
      <c r="M70" s="89" t="str">
        <f ca="1"/>
        <v>'dep_640000'</v>
      </c>
      <c r="N70" s="74" t="s">
        <v>985</v>
      </c>
      <c r="O70" s="74" t="s">
        <v>606</v>
      </c>
      <c r="P70" s="74" t="s">
        <v>2544</v>
      </c>
    </row>
    <row r="71" spans="8:16" x14ac:dyDescent="0.3">
      <c r="H71" s="74" t="s">
        <v>1401</v>
      </c>
      <c r="I71" s="74" t="s">
        <v>1146</v>
      </c>
      <c r="J71" s="74" t="s">
        <v>271</v>
      </c>
      <c r="K71" s="74" t="s">
        <v>1809</v>
      </c>
      <c r="M71" s="89" t="str">
        <f ca="1"/>
        <v>'dep_650000'</v>
      </c>
      <c r="N71" s="74" t="s">
        <v>699</v>
      </c>
      <c r="O71" s="74" t="s">
        <v>1181</v>
      </c>
      <c r="P71" s="74" t="s">
        <v>2545</v>
      </c>
    </row>
    <row r="72" spans="8:16" x14ac:dyDescent="0.3">
      <c r="H72" s="74" t="s">
        <v>1260</v>
      </c>
      <c r="I72" s="74" t="s">
        <v>339</v>
      </c>
      <c r="J72" s="74" t="s">
        <v>271</v>
      </c>
      <c r="K72" s="74" t="s">
        <v>1809</v>
      </c>
      <c r="M72" s="89" t="str">
        <f ca="1"/>
        <v>'dep_660000'</v>
      </c>
      <c r="N72" s="74" t="s">
        <v>1325</v>
      </c>
      <c r="O72" s="74" t="s">
        <v>990</v>
      </c>
      <c r="P72" s="74" t="s">
        <v>2546</v>
      </c>
    </row>
    <row r="73" spans="8:16" x14ac:dyDescent="0.3">
      <c r="H73" s="74" t="s">
        <v>1392</v>
      </c>
      <c r="I73" s="74" t="s">
        <v>340</v>
      </c>
      <c r="J73" s="74" t="s">
        <v>271</v>
      </c>
      <c r="K73" s="74" t="s">
        <v>1809</v>
      </c>
      <c r="M73" s="89" t="str">
        <f ca="1"/>
        <v>'dep_670000'</v>
      </c>
      <c r="N73" s="74" t="s">
        <v>1537</v>
      </c>
      <c r="O73" s="74" t="s">
        <v>1060</v>
      </c>
      <c r="P73" s="74" t="s">
        <v>2547</v>
      </c>
    </row>
    <row r="74" spans="8:16" x14ac:dyDescent="0.3">
      <c r="H74" s="74" t="s">
        <v>1218</v>
      </c>
      <c r="I74" s="74" t="s">
        <v>341</v>
      </c>
      <c r="J74" s="74" t="s">
        <v>271</v>
      </c>
      <c r="K74" s="74" t="s">
        <v>1809</v>
      </c>
      <c r="M74" s="89" t="str">
        <f ca="1"/>
        <v>'dep_680000'</v>
      </c>
      <c r="N74" s="74" t="s">
        <v>1470</v>
      </c>
      <c r="O74" s="74" t="s">
        <v>1201</v>
      </c>
      <c r="P74" s="74" t="s">
        <v>2548</v>
      </c>
    </row>
    <row r="75" spans="8:16" x14ac:dyDescent="0.3">
      <c r="H75" s="74" t="s">
        <v>1526</v>
      </c>
      <c r="I75" s="74" t="s">
        <v>342</v>
      </c>
      <c r="J75" s="74" t="s">
        <v>271</v>
      </c>
      <c r="K75" s="74" t="s">
        <v>1809</v>
      </c>
      <c r="M75" s="89" t="str">
        <f ca="1"/>
        <v>'dep_690000'</v>
      </c>
      <c r="N75" s="74" t="s">
        <v>1460</v>
      </c>
      <c r="O75" s="74" t="s">
        <v>1007</v>
      </c>
      <c r="P75" s="74" t="s">
        <v>2549</v>
      </c>
    </row>
    <row r="76" spans="8:16" x14ac:dyDescent="0.3">
      <c r="H76" s="74" t="s">
        <v>1546</v>
      </c>
      <c r="I76" s="74" t="s">
        <v>1064</v>
      </c>
      <c r="J76" s="74" t="s">
        <v>271</v>
      </c>
      <c r="K76" s="74" t="s">
        <v>1809</v>
      </c>
      <c r="M76" s="89" t="str">
        <f ca="1"/>
        <v>'dep_700000'</v>
      </c>
      <c r="N76" s="74" t="s">
        <v>1438</v>
      </c>
      <c r="O76" s="74" t="s">
        <v>428</v>
      </c>
      <c r="P76" s="74" t="s">
        <v>2550</v>
      </c>
    </row>
    <row r="77" spans="8:16" x14ac:dyDescent="0.3">
      <c r="H77" s="74" t="s">
        <v>1817</v>
      </c>
      <c r="I77" s="74" t="s">
        <v>1096</v>
      </c>
      <c r="J77" s="74" t="s">
        <v>271</v>
      </c>
      <c r="K77" s="74" t="s">
        <v>1809</v>
      </c>
      <c r="M77" s="89" t="str">
        <f ca="1"/>
        <v>'dep_710000'</v>
      </c>
      <c r="N77" s="74" t="s">
        <v>1399</v>
      </c>
      <c r="O77" s="74" t="s">
        <v>1010</v>
      </c>
      <c r="P77" s="74" t="s">
        <v>2551</v>
      </c>
    </row>
    <row r="78" spans="8:16" x14ac:dyDescent="0.3">
      <c r="H78" s="74" t="s">
        <v>1337</v>
      </c>
      <c r="I78" s="74" t="s">
        <v>436</v>
      </c>
      <c r="J78" s="74" t="s">
        <v>271</v>
      </c>
      <c r="K78" s="74" t="s">
        <v>1809</v>
      </c>
      <c r="M78" s="89" t="str">
        <f ca="1"/>
        <v>'dep_720000'</v>
      </c>
      <c r="N78" s="74" t="s">
        <v>1246</v>
      </c>
      <c r="O78" s="74" t="s">
        <v>1167</v>
      </c>
      <c r="P78" s="74" t="s">
        <v>2552</v>
      </c>
    </row>
    <row r="79" spans="8:16" x14ac:dyDescent="0.3">
      <c r="H79" s="74" t="s">
        <v>1818</v>
      </c>
      <c r="I79" s="74" t="s">
        <v>1085</v>
      </c>
      <c r="J79" s="74" t="s">
        <v>271</v>
      </c>
      <c r="K79" s="74" t="s">
        <v>1809</v>
      </c>
      <c r="M79" s="89" t="str">
        <f ca="1"/>
        <v>'dep_730000'</v>
      </c>
      <c r="N79" s="74" t="s">
        <v>1006</v>
      </c>
      <c r="O79" s="74" t="s">
        <v>995</v>
      </c>
      <c r="P79" s="74" t="s">
        <v>2553</v>
      </c>
    </row>
    <row r="80" spans="8:16" x14ac:dyDescent="0.3">
      <c r="H80" s="74" t="s">
        <v>1484</v>
      </c>
      <c r="I80" s="74" t="s">
        <v>984</v>
      </c>
      <c r="J80" s="74" t="s">
        <v>271</v>
      </c>
      <c r="K80" s="74" t="s">
        <v>1809</v>
      </c>
      <c r="M80" s="89" t="str">
        <f ca="1"/>
        <v>'dep_740000'</v>
      </c>
      <c r="N80" s="74" t="s">
        <v>1252</v>
      </c>
      <c r="O80" s="74" t="s">
        <v>491</v>
      </c>
      <c r="P80" s="74" t="s">
        <v>2554</v>
      </c>
    </row>
    <row r="81" spans="8:16" x14ac:dyDescent="0.3">
      <c r="H81" s="74" t="s">
        <v>1632</v>
      </c>
      <c r="I81" s="74" t="s">
        <v>1000</v>
      </c>
      <c r="J81" s="74" t="s">
        <v>271</v>
      </c>
      <c r="K81" s="74" t="s">
        <v>1819</v>
      </c>
      <c r="M81" s="89" t="str">
        <f ca="1"/>
        <v>'dep_750000'</v>
      </c>
      <c r="N81" s="74" t="s">
        <v>1622</v>
      </c>
      <c r="O81" s="74" t="s">
        <v>639</v>
      </c>
      <c r="P81" s="74" t="s">
        <v>2470</v>
      </c>
    </row>
    <row r="82" spans="8:16" x14ac:dyDescent="0.3">
      <c r="H82" s="74" t="s">
        <v>1820</v>
      </c>
      <c r="I82" s="74" t="s">
        <v>413</v>
      </c>
      <c r="J82" s="74" t="s">
        <v>271</v>
      </c>
      <c r="K82" s="74" t="s">
        <v>1819</v>
      </c>
      <c r="M82" s="89" t="str">
        <f ca="1"/>
        <v>'dep_760000'</v>
      </c>
      <c r="N82" s="74" t="s">
        <v>1348</v>
      </c>
      <c r="O82" s="74" t="s">
        <v>908</v>
      </c>
      <c r="P82" s="74" t="s">
        <v>2555</v>
      </c>
    </row>
    <row r="83" spans="8:16" x14ac:dyDescent="0.3">
      <c r="H83" s="74" t="s">
        <v>1821</v>
      </c>
      <c r="I83" s="74" t="s">
        <v>490</v>
      </c>
      <c r="J83" s="74" t="s">
        <v>271</v>
      </c>
      <c r="K83" s="74" t="s">
        <v>1819</v>
      </c>
      <c r="M83" s="89" t="str">
        <f ca="1"/>
        <v>'dep_770000'</v>
      </c>
      <c r="N83" s="74" t="s">
        <v>1220</v>
      </c>
      <c r="O83" s="74" t="s">
        <v>969</v>
      </c>
      <c r="P83" s="74" t="s">
        <v>2556</v>
      </c>
    </row>
    <row r="84" spans="8:16" x14ac:dyDescent="0.3">
      <c r="H84" s="74" t="s">
        <v>1822</v>
      </c>
      <c r="I84" s="74" t="s">
        <v>1036</v>
      </c>
      <c r="J84" s="74" t="s">
        <v>271</v>
      </c>
      <c r="K84" s="74" t="s">
        <v>1819</v>
      </c>
      <c r="M84" s="89" t="str">
        <f ca="1"/>
        <v>'dep_780000'</v>
      </c>
      <c r="N84" s="74" t="s">
        <v>1100</v>
      </c>
      <c r="O84" s="74" t="s">
        <v>1040</v>
      </c>
      <c r="P84" s="74" t="s">
        <v>2557</v>
      </c>
    </row>
    <row r="85" spans="8:16" x14ac:dyDescent="0.3">
      <c r="H85" s="74" t="s">
        <v>1823</v>
      </c>
      <c r="I85" s="74" t="s">
        <v>1092</v>
      </c>
      <c r="J85" s="74" t="s">
        <v>271</v>
      </c>
      <c r="K85" s="74" t="s">
        <v>1819</v>
      </c>
      <c r="M85" s="89" t="str">
        <f ca="1"/>
        <v>'dep_790000'</v>
      </c>
      <c r="N85" s="74" t="s">
        <v>495</v>
      </c>
      <c r="O85" s="74" t="s">
        <v>1253</v>
      </c>
      <c r="P85" s="74" t="s">
        <v>2558</v>
      </c>
    </row>
    <row r="86" spans="8:16" x14ac:dyDescent="0.3">
      <c r="H86" s="74" t="s">
        <v>1824</v>
      </c>
      <c r="I86" s="74" t="s">
        <v>1365</v>
      </c>
      <c r="J86" s="74" t="s">
        <v>271</v>
      </c>
      <c r="K86" s="74" t="s">
        <v>1819</v>
      </c>
      <c r="M86" s="89" t="str">
        <f ca="1"/>
        <v>'dep_800000'</v>
      </c>
      <c r="N86" s="74" t="s">
        <v>1242</v>
      </c>
      <c r="O86" s="74" t="s">
        <v>977</v>
      </c>
      <c r="P86" s="74" t="s">
        <v>2559</v>
      </c>
    </row>
    <row r="87" spans="8:16" x14ac:dyDescent="0.3">
      <c r="H87" s="74" t="s">
        <v>1376</v>
      </c>
      <c r="I87" s="74" t="s">
        <v>606</v>
      </c>
      <c r="J87" s="74" t="s">
        <v>271</v>
      </c>
      <c r="K87" s="74" t="s">
        <v>1819</v>
      </c>
      <c r="M87" s="89" t="str">
        <f ca="1"/>
        <v>'dep_810000'</v>
      </c>
      <c r="N87" s="74" t="s">
        <v>1121</v>
      </c>
      <c r="O87" s="74" t="s">
        <v>973</v>
      </c>
      <c r="P87" s="74" t="s">
        <v>2560</v>
      </c>
    </row>
    <row r="88" spans="8:16" x14ac:dyDescent="0.3">
      <c r="H88" s="74" t="s">
        <v>1825</v>
      </c>
      <c r="I88" s="74" t="s">
        <v>1181</v>
      </c>
      <c r="J88" s="74" t="s">
        <v>271</v>
      </c>
      <c r="K88" s="74" t="s">
        <v>1826</v>
      </c>
      <c r="M88" s="89" t="str">
        <f ca="1"/>
        <v>'dep_820000'</v>
      </c>
      <c r="N88" s="74" t="s">
        <v>1576</v>
      </c>
      <c r="O88" s="74" t="s">
        <v>1024</v>
      </c>
      <c r="P88" s="74" t="s">
        <v>2561</v>
      </c>
    </row>
    <row r="89" spans="8:16" x14ac:dyDescent="0.3">
      <c r="H89" s="74" t="s">
        <v>1827</v>
      </c>
      <c r="I89" s="74" t="s">
        <v>990</v>
      </c>
      <c r="J89" s="74" t="s">
        <v>271</v>
      </c>
      <c r="K89" s="74" t="s">
        <v>1826</v>
      </c>
      <c r="M89" s="89" t="str">
        <f ca="1"/>
        <v>'dep_830000'</v>
      </c>
      <c r="N89" s="74" t="s">
        <v>1636</v>
      </c>
      <c r="O89" s="74" t="s">
        <v>1204</v>
      </c>
      <c r="P89" s="74" t="s">
        <v>2562</v>
      </c>
    </row>
    <row r="90" spans="8:16" x14ac:dyDescent="0.3">
      <c r="H90" s="74" t="s">
        <v>1828</v>
      </c>
      <c r="I90" s="74" t="s">
        <v>1060</v>
      </c>
      <c r="J90" s="74" t="s">
        <v>271</v>
      </c>
      <c r="K90" s="74" t="s">
        <v>1826</v>
      </c>
      <c r="M90" s="89" t="str">
        <f ca="1"/>
        <v>'emp_MATSAUDE'</v>
      </c>
      <c r="N90" s="74" t="s">
        <v>2563</v>
      </c>
      <c r="O90" s="74" t="s">
        <v>272</v>
      </c>
      <c r="P90" s="74" t="s">
        <v>2564</v>
      </c>
    </row>
    <row r="91" spans="8:16" x14ac:dyDescent="0.3">
      <c r="H91" s="74" t="s">
        <v>1829</v>
      </c>
      <c r="I91" s="74" t="s">
        <v>1201</v>
      </c>
      <c r="J91" s="74" t="s">
        <v>271</v>
      </c>
      <c r="K91" s="74" t="s">
        <v>1826</v>
      </c>
      <c r="M91" s="89" t="str">
        <f ca="1"/>
        <v>'est_MATFILIAL'</v>
      </c>
      <c r="N91" s="74" t="s">
        <v>2565</v>
      </c>
      <c r="O91" s="74" t="s">
        <v>310</v>
      </c>
      <c r="P91" s="74" t="s">
        <v>2566</v>
      </c>
    </row>
    <row r="92" spans="8:16" x14ac:dyDescent="0.3">
      <c r="H92" s="74" t="s">
        <v>1723</v>
      </c>
      <c r="I92" s="74" t="s">
        <v>1007</v>
      </c>
      <c r="J92" s="74" t="s">
        <v>271</v>
      </c>
      <c r="K92" s="74" t="s">
        <v>1826</v>
      </c>
      <c r="M92" s="89" t="str">
        <f ca="1"/>
        <v>'est_MATSAUDE'</v>
      </c>
      <c r="N92" s="74" t="s">
        <v>2567</v>
      </c>
      <c r="O92" s="74" t="s">
        <v>273</v>
      </c>
      <c r="P92" s="74" t="s">
        <v>2564</v>
      </c>
    </row>
    <row r="93" spans="8:16" x14ac:dyDescent="0.3">
      <c r="H93" s="74" t="s">
        <v>1732</v>
      </c>
      <c r="I93" s="74" t="s">
        <v>428</v>
      </c>
      <c r="J93" s="74" t="s">
        <v>271</v>
      </c>
      <c r="K93" s="74" t="s">
        <v>1826</v>
      </c>
      <c r="M93" s="89" t="str">
        <f ca="1"/>
        <v>'lot_0000001'</v>
      </c>
      <c r="N93" s="74" t="s">
        <v>445</v>
      </c>
      <c r="O93" s="74" t="s">
        <v>313</v>
      </c>
      <c r="P93" s="74" t="s">
        <v>2568</v>
      </c>
    </row>
    <row r="94" spans="8:16" x14ac:dyDescent="0.3">
      <c r="H94" s="74" t="s">
        <v>1830</v>
      </c>
      <c r="I94" s="74" t="s">
        <v>1010</v>
      </c>
      <c r="J94" s="74" t="s">
        <v>271</v>
      </c>
      <c r="K94" s="74" t="s">
        <v>1826</v>
      </c>
      <c r="M94" s="89" t="str">
        <f ca="1"/>
        <v>'lot_0000002'</v>
      </c>
      <c r="N94" s="74" t="s">
        <v>409</v>
      </c>
      <c r="O94" s="74" t="s">
        <v>312</v>
      </c>
      <c r="P94" s="74" t="s">
        <v>2569</v>
      </c>
    </row>
    <row r="95" spans="8:16" x14ac:dyDescent="0.3">
      <c r="H95" s="74" t="s">
        <v>1831</v>
      </c>
      <c r="I95" s="74" t="s">
        <v>1167</v>
      </c>
      <c r="J95" s="74" t="s">
        <v>271</v>
      </c>
      <c r="K95" s="74" t="s">
        <v>1826</v>
      </c>
      <c r="M95" s="89" t="str">
        <f ca="1"/>
        <v>'lot_0000023'</v>
      </c>
      <c r="N95" s="74" t="s">
        <v>2570</v>
      </c>
      <c r="O95" s="74" t="s">
        <v>311</v>
      </c>
      <c r="P95" s="74" t="s">
        <v>2571</v>
      </c>
    </row>
    <row r="96" spans="8:16" x14ac:dyDescent="0.3">
      <c r="H96" s="74" t="s">
        <v>1832</v>
      </c>
      <c r="I96" s="74" t="s">
        <v>995</v>
      </c>
      <c r="J96" s="74" t="s">
        <v>271</v>
      </c>
      <c r="K96" s="74" t="s">
        <v>1826</v>
      </c>
      <c r="M96" s="89" t="str">
        <f ca="1"/>
        <v>'sin_001'</v>
      </c>
      <c r="N96" s="74" t="s">
        <v>2572</v>
      </c>
      <c r="O96" s="74" t="s">
        <v>315</v>
      </c>
      <c r="P96" s="74" t="s">
        <v>2573</v>
      </c>
    </row>
    <row r="97" spans="8:16" x14ac:dyDescent="0.3">
      <c r="H97" s="74" t="s">
        <v>1833</v>
      </c>
      <c r="I97" s="74" t="s">
        <v>491</v>
      </c>
      <c r="J97" s="74" t="s">
        <v>271</v>
      </c>
      <c r="K97" s="74" t="s">
        <v>1826</v>
      </c>
      <c r="M97" s="89" t="str">
        <f ca="1"/>
        <v>'sin_01'</v>
      </c>
      <c r="N97" s="74" t="s">
        <v>532</v>
      </c>
      <c r="O97" s="74" t="s">
        <v>326</v>
      </c>
      <c r="P97" s="74" t="s">
        <v>2574</v>
      </c>
    </row>
    <row r="98" spans="8:16" x14ac:dyDescent="0.3">
      <c r="H98" s="74" t="s">
        <v>1834</v>
      </c>
      <c r="I98" s="74" t="s">
        <v>639</v>
      </c>
      <c r="J98" s="74" t="s">
        <v>271</v>
      </c>
      <c r="K98" s="74" t="s">
        <v>1826</v>
      </c>
      <c r="M98" s="89" t="str">
        <f ca="1"/>
        <v>'sin_02'</v>
      </c>
      <c r="N98" s="74" t="s">
        <v>420</v>
      </c>
      <c r="O98" s="74" t="s">
        <v>306</v>
      </c>
      <c r="P98" s="74" t="s">
        <v>2575</v>
      </c>
    </row>
    <row r="99" spans="8:16" x14ac:dyDescent="0.3">
      <c r="H99" s="74" t="s">
        <v>1835</v>
      </c>
      <c r="I99" s="74" t="s">
        <v>908</v>
      </c>
      <c r="J99" s="74" t="s">
        <v>271</v>
      </c>
      <c r="K99" s="74" t="s">
        <v>1826</v>
      </c>
      <c r="M99" s="89" t="str">
        <f ca="1"/>
        <v>'sin_03'</v>
      </c>
      <c r="N99" s="74" t="s">
        <v>1624</v>
      </c>
      <c r="O99" s="74" t="s">
        <v>305</v>
      </c>
      <c r="P99" s="74" t="s">
        <v>2576</v>
      </c>
    </row>
    <row r="100" spans="8:16" x14ac:dyDescent="0.3">
      <c r="H100" s="74" t="s">
        <v>1836</v>
      </c>
      <c r="I100" s="74" t="s">
        <v>969</v>
      </c>
      <c r="J100" s="74" t="s">
        <v>271</v>
      </c>
      <c r="K100" s="74" t="s">
        <v>1826</v>
      </c>
      <c r="M100" s="89" t="str">
        <f ca="1"/>
        <v>'sin_04'</v>
      </c>
      <c r="N100" s="74" t="s">
        <v>2577</v>
      </c>
      <c r="O100" s="74" t="s">
        <v>325</v>
      </c>
      <c r="P100" s="74" t="s">
        <v>2578</v>
      </c>
    </row>
    <row r="101" spans="8:16" x14ac:dyDescent="0.3">
      <c r="H101" s="74" t="s">
        <v>1837</v>
      </c>
      <c r="I101" s="74" t="s">
        <v>1040</v>
      </c>
      <c r="J101" s="74" t="s">
        <v>271</v>
      </c>
      <c r="K101" s="74" t="s">
        <v>1826</v>
      </c>
      <c r="M101" s="89" t="str">
        <f ca="1"/>
        <v>'sin_05'</v>
      </c>
      <c r="N101" s="74" t="s">
        <v>2579</v>
      </c>
      <c r="O101" s="74" t="s">
        <v>314</v>
      </c>
      <c r="P101" s="74" t="s">
        <v>2580</v>
      </c>
    </row>
    <row r="102" spans="8:16" x14ac:dyDescent="0.3">
      <c r="H102" s="74" t="s">
        <v>1838</v>
      </c>
      <c r="I102" s="74" t="s">
        <v>1253</v>
      </c>
      <c r="J102" s="74" t="s">
        <v>271</v>
      </c>
      <c r="K102" s="74" t="s">
        <v>1839</v>
      </c>
      <c r="M102" s="89" t="str">
        <f ca="1"/>
        <v>'sin_06'</v>
      </c>
      <c r="N102" s="74" t="s">
        <v>1430</v>
      </c>
      <c r="O102" s="74" t="s">
        <v>316</v>
      </c>
      <c r="P102" s="74" t="s">
        <v>2581</v>
      </c>
    </row>
    <row r="103" spans="8:16" x14ac:dyDescent="0.3">
      <c r="H103" s="74" t="s">
        <v>1640</v>
      </c>
      <c r="I103" s="74" t="s">
        <v>977</v>
      </c>
      <c r="J103" s="74" t="s">
        <v>271</v>
      </c>
      <c r="K103" s="74" t="s">
        <v>1840</v>
      </c>
      <c r="M103" s="89" t="str">
        <f ca="1"/>
        <v>'sin_07'</v>
      </c>
      <c r="N103" s="74" t="s">
        <v>504</v>
      </c>
      <c r="O103" s="74" t="s">
        <v>327</v>
      </c>
      <c r="P103" s="74" t="s">
        <v>2582</v>
      </c>
    </row>
    <row r="104" spans="8:16" x14ac:dyDescent="0.3">
      <c r="H104" s="74" t="s">
        <v>1690</v>
      </c>
      <c r="I104" s="74" t="s">
        <v>973</v>
      </c>
      <c r="J104" s="74" t="s">
        <v>271</v>
      </c>
      <c r="K104" s="74" t="s">
        <v>1840</v>
      </c>
      <c r="M104" s="89" t="str">
        <f ca="1"/>
        <v>'sin_08'</v>
      </c>
      <c r="N104" s="74" t="s">
        <v>1127</v>
      </c>
      <c r="O104" s="74" t="s">
        <v>317</v>
      </c>
      <c r="P104" s="74" t="s">
        <v>2583</v>
      </c>
    </row>
    <row r="105" spans="8:16" x14ac:dyDescent="0.3">
      <c r="H105" s="74" t="s">
        <v>1493</v>
      </c>
      <c r="I105" s="74" t="s">
        <v>966</v>
      </c>
      <c r="J105" s="74" t="s">
        <v>271</v>
      </c>
      <c r="K105" s="74" t="s">
        <v>1840</v>
      </c>
    </row>
    <row r="106" spans="8:16" x14ac:dyDescent="0.3">
      <c r="H106" s="74" t="s">
        <v>1448</v>
      </c>
      <c r="I106" s="74" t="s">
        <v>1024</v>
      </c>
      <c r="J106" s="74" t="s">
        <v>271</v>
      </c>
      <c r="K106" s="74" t="s">
        <v>1840</v>
      </c>
    </row>
    <row r="107" spans="8:16" x14ac:dyDescent="0.3">
      <c r="H107" s="74" t="s">
        <v>1745</v>
      </c>
      <c r="I107" s="74" t="s">
        <v>1204</v>
      </c>
      <c r="J107" s="74" t="s">
        <v>271</v>
      </c>
      <c r="K107" s="74" t="s">
        <v>1840</v>
      </c>
    </row>
    <row r="108" spans="8:16" x14ac:dyDescent="0.3">
      <c r="H108" s="74" t="s">
        <v>1296</v>
      </c>
      <c r="I108" s="74" t="s">
        <v>858</v>
      </c>
      <c r="J108" s="74" t="s">
        <v>271</v>
      </c>
      <c r="K108" s="74" t="s">
        <v>1840</v>
      </c>
    </row>
    <row r="109" spans="8:16" x14ac:dyDescent="0.3">
      <c r="H109" s="74" t="s">
        <v>728</v>
      </c>
      <c r="I109" s="74" t="s">
        <v>522</v>
      </c>
      <c r="J109" s="74" t="s">
        <v>271</v>
      </c>
      <c r="K109" s="74" t="s">
        <v>1841</v>
      </c>
    </row>
    <row r="110" spans="8:16" x14ac:dyDescent="0.3">
      <c r="H110" s="74" t="s">
        <v>1842</v>
      </c>
      <c r="I110" s="74" t="s">
        <v>1118</v>
      </c>
      <c r="J110" s="74" t="s">
        <v>271</v>
      </c>
      <c r="K110" s="74" t="s">
        <v>1841</v>
      </c>
    </row>
    <row r="111" spans="8:16" x14ac:dyDescent="0.3">
      <c r="H111" s="74" t="s">
        <v>1843</v>
      </c>
      <c r="I111" s="74" t="s">
        <v>1534</v>
      </c>
      <c r="J111" s="74" t="s">
        <v>271</v>
      </c>
      <c r="K111" s="74" t="s">
        <v>1841</v>
      </c>
    </row>
    <row r="112" spans="8:16" x14ac:dyDescent="0.3">
      <c r="H112" s="74" t="s">
        <v>1844</v>
      </c>
      <c r="I112" s="74" t="s">
        <v>1028</v>
      </c>
      <c r="J112" s="74" t="s">
        <v>271</v>
      </c>
      <c r="K112" s="74" t="s">
        <v>1841</v>
      </c>
    </row>
    <row r="113" spans="8:11" x14ac:dyDescent="0.3">
      <c r="H113" s="74" t="s">
        <v>1845</v>
      </c>
      <c r="I113" s="74" t="s">
        <v>1266</v>
      </c>
      <c r="J113" s="74" t="s">
        <v>271</v>
      </c>
      <c r="K113" s="74" t="s">
        <v>1841</v>
      </c>
    </row>
    <row r="114" spans="8:11" x14ac:dyDescent="0.3">
      <c r="H114" s="74" t="s">
        <v>1846</v>
      </c>
      <c r="I114" s="74" t="s">
        <v>1361</v>
      </c>
      <c r="J114" s="74" t="s">
        <v>271</v>
      </c>
      <c r="K114" s="74" t="s">
        <v>1841</v>
      </c>
    </row>
    <row r="115" spans="8:11" x14ac:dyDescent="0.3">
      <c r="H115" s="74" t="s">
        <v>1847</v>
      </c>
      <c r="I115" s="74" t="s">
        <v>1168</v>
      </c>
      <c r="J115" s="74" t="s">
        <v>271</v>
      </c>
      <c r="K115" s="74" t="s">
        <v>1841</v>
      </c>
    </row>
    <row r="116" spans="8:11" x14ac:dyDescent="0.3">
      <c r="H116" s="74" t="s">
        <v>1709</v>
      </c>
      <c r="I116" s="74" t="s">
        <v>1129</v>
      </c>
      <c r="J116" s="74" t="s">
        <v>271</v>
      </c>
      <c r="K116" s="74" t="s">
        <v>1841</v>
      </c>
    </row>
    <row r="117" spans="8:11" x14ac:dyDescent="0.3">
      <c r="H117" s="74" t="s">
        <v>1848</v>
      </c>
      <c r="I117" s="74" t="s">
        <v>747</v>
      </c>
      <c r="J117" s="74" t="s">
        <v>271</v>
      </c>
      <c r="K117" s="74" t="s">
        <v>1849</v>
      </c>
    </row>
    <row r="118" spans="8:11" x14ac:dyDescent="0.3">
      <c r="H118" s="74" t="s">
        <v>1585</v>
      </c>
      <c r="I118" s="74" t="s">
        <v>1009</v>
      </c>
      <c r="J118" s="74" t="s">
        <v>271</v>
      </c>
      <c r="K118" s="74" t="s">
        <v>1849</v>
      </c>
    </row>
    <row r="119" spans="8:11" x14ac:dyDescent="0.3">
      <c r="H119" s="74" t="s">
        <v>1850</v>
      </c>
      <c r="I119" s="74" t="s">
        <v>1728</v>
      </c>
      <c r="J119" s="74" t="s">
        <v>271</v>
      </c>
      <c r="K119" s="74" t="s">
        <v>1849</v>
      </c>
    </row>
    <row r="120" spans="8:11" x14ac:dyDescent="0.3">
      <c r="H120" s="74" t="s">
        <v>1851</v>
      </c>
      <c r="I120" s="74" t="s">
        <v>1528</v>
      </c>
      <c r="J120" s="74" t="s">
        <v>271</v>
      </c>
      <c r="K120" s="74" t="s">
        <v>1849</v>
      </c>
    </row>
    <row r="121" spans="8:11" x14ac:dyDescent="0.3">
      <c r="H121" s="74" t="s">
        <v>1852</v>
      </c>
      <c r="I121" s="74" t="s">
        <v>1098</v>
      </c>
      <c r="J121" s="74" t="s">
        <v>271</v>
      </c>
      <c r="K121" s="74" t="s">
        <v>1849</v>
      </c>
    </row>
    <row r="122" spans="8:11" x14ac:dyDescent="0.3">
      <c r="H122" s="74" t="s">
        <v>1853</v>
      </c>
      <c r="I122" s="74" t="s">
        <v>1131</v>
      </c>
      <c r="J122" s="74" t="s">
        <v>271</v>
      </c>
      <c r="K122" s="74" t="s">
        <v>1849</v>
      </c>
    </row>
    <row r="123" spans="8:11" x14ac:dyDescent="0.3">
      <c r="H123" s="74" t="s">
        <v>1194</v>
      </c>
      <c r="I123" s="74" t="s">
        <v>1505</v>
      </c>
      <c r="J123" s="74" t="s">
        <v>271</v>
      </c>
      <c r="K123" s="74" t="s">
        <v>1849</v>
      </c>
    </row>
    <row r="124" spans="8:11" x14ac:dyDescent="0.3">
      <c r="H124" s="74" t="s">
        <v>1136</v>
      </c>
      <c r="I124" s="74" t="s">
        <v>1232</v>
      </c>
      <c r="J124" s="74" t="s">
        <v>271</v>
      </c>
      <c r="K124" s="74" t="s">
        <v>1849</v>
      </c>
    </row>
    <row r="125" spans="8:11" x14ac:dyDescent="0.3">
      <c r="H125" s="74" t="s">
        <v>1249</v>
      </c>
      <c r="I125" s="74" t="s">
        <v>1569</v>
      </c>
      <c r="J125" s="74" t="s">
        <v>271</v>
      </c>
      <c r="K125" s="74" t="s">
        <v>1854</v>
      </c>
    </row>
    <row r="126" spans="8:11" x14ac:dyDescent="0.3">
      <c r="H126" s="74" t="s">
        <v>1578</v>
      </c>
      <c r="I126" s="74" t="s">
        <v>1447</v>
      </c>
      <c r="J126" s="74" t="s">
        <v>271</v>
      </c>
      <c r="K126" s="74" t="s">
        <v>1854</v>
      </c>
    </row>
    <row r="127" spans="8:11" x14ac:dyDescent="0.3">
      <c r="H127" s="74" t="s">
        <v>1855</v>
      </c>
      <c r="I127" s="74" t="s">
        <v>1057</v>
      </c>
      <c r="J127" s="74" t="s">
        <v>271</v>
      </c>
      <c r="K127" s="74" t="s">
        <v>1854</v>
      </c>
    </row>
    <row r="128" spans="8:11" x14ac:dyDescent="0.3">
      <c r="H128" s="74" t="s">
        <v>1856</v>
      </c>
      <c r="I128" s="74" t="s">
        <v>1210</v>
      </c>
      <c r="J128" s="74" t="s">
        <v>271</v>
      </c>
      <c r="K128" s="74" t="s">
        <v>1854</v>
      </c>
    </row>
    <row r="129" spans="8:11" x14ac:dyDescent="0.3">
      <c r="H129" s="74" t="s">
        <v>1857</v>
      </c>
      <c r="I129" s="74" t="s">
        <v>1320</v>
      </c>
      <c r="J129" s="74" t="s">
        <v>271</v>
      </c>
      <c r="K129" s="74" t="s">
        <v>1854</v>
      </c>
    </row>
    <row r="130" spans="8:11" x14ac:dyDescent="0.3">
      <c r="H130" s="74" t="s">
        <v>1858</v>
      </c>
      <c r="I130" s="74" t="s">
        <v>1264</v>
      </c>
      <c r="J130" s="74" t="s">
        <v>271</v>
      </c>
      <c r="K130" s="74" t="s">
        <v>1854</v>
      </c>
    </row>
    <row r="131" spans="8:11" x14ac:dyDescent="0.3">
      <c r="H131" s="74" t="s">
        <v>1254</v>
      </c>
      <c r="I131" s="74" t="s">
        <v>1097</v>
      </c>
      <c r="J131" s="74" t="s">
        <v>271</v>
      </c>
      <c r="K131" s="74" t="s">
        <v>1854</v>
      </c>
    </row>
    <row r="132" spans="8:11" x14ac:dyDescent="0.3">
      <c r="H132" s="74" t="s">
        <v>1859</v>
      </c>
      <c r="I132" s="74" t="s">
        <v>1132</v>
      </c>
      <c r="J132" s="74" t="s">
        <v>271</v>
      </c>
      <c r="K132" s="74" t="s">
        <v>1860</v>
      </c>
    </row>
    <row r="133" spans="8:11" x14ac:dyDescent="0.3">
      <c r="H133" s="74" t="s">
        <v>1196</v>
      </c>
      <c r="I133" s="74" t="s">
        <v>1560</v>
      </c>
      <c r="J133" s="74" t="s">
        <v>271</v>
      </c>
      <c r="K133" s="74" t="s">
        <v>1861</v>
      </c>
    </row>
    <row r="134" spans="8:11" x14ac:dyDescent="0.3">
      <c r="H134" s="74" t="s">
        <v>1596</v>
      </c>
      <c r="I134" s="74" t="s">
        <v>1151</v>
      </c>
      <c r="J134" s="74" t="s">
        <v>271</v>
      </c>
      <c r="K134" s="74" t="s">
        <v>1861</v>
      </c>
    </row>
    <row r="135" spans="8:11" x14ac:dyDescent="0.3">
      <c r="H135" s="74" t="s">
        <v>1610</v>
      </c>
      <c r="I135" s="74" t="s">
        <v>1271</v>
      </c>
      <c r="J135" s="74" t="s">
        <v>271</v>
      </c>
      <c r="K135" s="74" t="s">
        <v>1861</v>
      </c>
    </row>
    <row r="136" spans="8:11" x14ac:dyDescent="0.3">
      <c r="H136" s="74" t="s">
        <v>1862</v>
      </c>
      <c r="I136" s="74" t="s">
        <v>1601</v>
      </c>
      <c r="J136" s="74" t="s">
        <v>271</v>
      </c>
      <c r="K136" s="74" t="s">
        <v>1861</v>
      </c>
    </row>
    <row r="137" spans="8:11" x14ac:dyDescent="0.3">
      <c r="H137" s="74" t="s">
        <v>1863</v>
      </c>
      <c r="I137" s="74" t="s">
        <v>972</v>
      </c>
      <c r="J137" s="74" t="s">
        <v>271</v>
      </c>
      <c r="K137" s="74" t="s">
        <v>1861</v>
      </c>
    </row>
    <row r="138" spans="8:11" x14ac:dyDescent="0.3">
      <c r="H138" s="74" t="s">
        <v>1864</v>
      </c>
      <c r="I138" s="74" t="s">
        <v>1227</v>
      </c>
      <c r="J138" s="74" t="s">
        <v>271</v>
      </c>
      <c r="K138" s="74" t="s">
        <v>1861</v>
      </c>
    </row>
    <row r="139" spans="8:11" x14ac:dyDescent="0.3">
      <c r="H139" s="74" t="s">
        <v>1134</v>
      </c>
      <c r="I139" s="74" t="s">
        <v>1352</v>
      </c>
      <c r="J139" s="74" t="s">
        <v>271</v>
      </c>
      <c r="K139" s="74" t="s">
        <v>1861</v>
      </c>
    </row>
    <row r="140" spans="8:11" x14ac:dyDescent="0.3">
      <c r="H140" s="74" t="s">
        <v>1161</v>
      </c>
      <c r="I140" s="74" t="s">
        <v>1587</v>
      </c>
      <c r="J140" s="74" t="s">
        <v>271</v>
      </c>
      <c r="K140" s="74" t="s">
        <v>1861</v>
      </c>
    </row>
    <row r="141" spans="8:11" x14ac:dyDescent="0.3">
      <c r="H141" s="74" t="s">
        <v>1865</v>
      </c>
      <c r="I141" s="74" t="s">
        <v>1284</v>
      </c>
      <c r="J141" s="74" t="s">
        <v>271</v>
      </c>
      <c r="K141" s="74" t="s">
        <v>1866</v>
      </c>
    </row>
    <row r="142" spans="8:11" x14ac:dyDescent="0.3">
      <c r="H142" s="74" t="s">
        <v>1867</v>
      </c>
      <c r="I142" s="74" t="s">
        <v>1235</v>
      </c>
      <c r="J142" s="74" t="s">
        <v>271</v>
      </c>
      <c r="K142" s="74" t="s">
        <v>1866</v>
      </c>
    </row>
    <row r="143" spans="8:11" x14ac:dyDescent="0.3">
      <c r="H143" s="74" t="s">
        <v>1868</v>
      </c>
      <c r="I143" s="74" t="s">
        <v>1487</v>
      </c>
      <c r="J143" s="74" t="s">
        <v>271</v>
      </c>
      <c r="K143" s="74" t="s">
        <v>1866</v>
      </c>
    </row>
    <row r="144" spans="8:11" x14ac:dyDescent="0.3">
      <c r="H144" s="74" t="s">
        <v>1869</v>
      </c>
      <c r="I144" s="74" t="s">
        <v>1147</v>
      </c>
      <c r="J144" s="74" t="s">
        <v>271</v>
      </c>
      <c r="K144" s="74" t="s">
        <v>1866</v>
      </c>
    </row>
    <row r="145" spans="8:11" x14ac:dyDescent="0.3">
      <c r="H145" s="74" t="s">
        <v>1686</v>
      </c>
      <c r="I145" s="74" t="s">
        <v>1564</v>
      </c>
      <c r="J145" s="74" t="s">
        <v>271</v>
      </c>
      <c r="K145" s="74" t="s">
        <v>1866</v>
      </c>
    </row>
    <row r="146" spans="8:11" x14ac:dyDescent="0.3">
      <c r="H146" s="74" t="s">
        <v>1555</v>
      </c>
      <c r="I146" s="74" t="s">
        <v>1870</v>
      </c>
      <c r="J146" s="74" t="s">
        <v>271</v>
      </c>
      <c r="K146" s="74" t="s">
        <v>1871</v>
      </c>
    </row>
    <row r="147" spans="8:11" x14ac:dyDescent="0.3">
      <c r="H147" s="74" t="s">
        <v>1872</v>
      </c>
      <c r="I147" s="74" t="s">
        <v>1437</v>
      </c>
      <c r="J147" s="74" t="s">
        <v>271</v>
      </c>
      <c r="K147" s="74" t="s">
        <v>1871</v>
      </c>
    </row>
    <row r="148" spans="8:11" x14ac:dyDescent="0.3">
      <c r="H148" s="74" t="s">
        <v>1572</v>
      </c>
      <c r="I148" s="74" t="s">
        <v>1033</v>
      </c>
      <c r="J148" s="74" t="s">
        <v>271</v>
      </c>
      <c r="K148" s="74" t="s">
        <v>1871</v>
      </c>
    </row>
    <row r="149" spans="8:11" x14ac:dyDescent="0.3">
      <c r="H149" s="74" t="s">
        <v>1471</v>
      </c>
      <c r="I149" s="74" t="s">
        <v>1350</v>
      </c>
      <c r="J149" s="74" t="s">
        <v>271</v>
      </c>
      <c r="K149" s="74" t="s">
        <v>1871</v>
      </c>
    </row>
    <row r="150" spans="8:11" x14ac:dyDescent="0.3">
      <c r="H150" s="74" t="s">
        <v>1873</v>
      </c>
      <c r="I150" s="74" t="s">
        <v>1479</v>
      </c>
      <c r="J150" s="74" t="s">
        <v>271</v>
      </c>
      <c r="K150" s="74" t="s">
        <v>1871</v>
      </c>
    </row>
    <row r="151" spans="8:11" x14ac:dyDescent="0.3">
      <c r="H151" s="74" t="s">
        <v>1556</v>
      </c>
      <c r="I151" s="74" t="s">
        <v>1113</v>
      </c>
      <c r="J151" s="74" t="s">
        <v>271</v>
      </c>
      <c r="K151" s="74" t="s">
        <v>1871</v>
      </c>
    </row>
    <row r="152" spans="8:11" x14ac:dyDescent="0.3">
      <c r="H152" s="74" t="s">
        <v>1076</v>
      </c>
      <c r="I152" s="74" t="s">
        <v>1143</v>
      </c>
      <c r="J152" s="74" t="s">
        <v>271</v>
      </c>
      <c r="K152" s="74" t="s">
        <v>1871</v>
      </c>
    </row>
    <row r="153" spans="8:11" x14ac:dyDescent="0.3">
      <c r="H153" s="74" t="s">
        <v>1678</v>
      </c>
      <c r="I153" s="74" t="s">
        <v>1005</v>
      </c>
      <c r="J153" s="74" t="s">
        <v>271</v>
      </c>
      <c r="K153" s="74" t="s">
        <v>1874</v>
      </c>
    </row>
    <row r="154" spans="8:11" x14ac:dyDescent="0.3">
      <c r="H154" s="74" t="s">
        <v>1875</v>
      </c>
      <c r="I154" s="74" t="s">
        <v>1019</v>
      </c>
      <c r="J154" s="74" t="s">
        <v>271</v>
      </c>
      <c r="K154" s="74" t="s">
        <v>1874</v>
      </c>
    </row>
    <row r="155" spans="8:11" x14ac:dyDescent="0.3">
      <c r="H155" s="74" t="s">
        <v>1647</v>
      </c>
      <c r="I155" s="74" t="s">
        <v>1736</v>
      </c>
      <c r="J155" s="74" t="s">
        <v>271</v>
      </c>
      <c r="K155" s="74" t="s">
        <v>1874</v>
      </c>
    </row>
    <row r="156" spans="8:11" x14ac:dyDescent="0.3">
      <c r="H156" s="74" t="s">
        <v>1616</v>
      </c>
      <c r="I156" s="74" t="s">
        <v>1180</v>
      </c>
      <c r="J156" s="74" t="s">
        <v>271</v>
      </c>
      <c r="K156" s="74" t="s">
        <v>1876</v>
      </c>
    </row>
    <row r="157" spans="8:11" x14ac:dyDescent="0.3">
      <c r="H157" s="74" t="s">
        <v>1877</v>
      </c>
      <c r="I157" s="74" t="s">
        <v>1035</v>
      </c>
      <c r="J157" s="74" t="s">
        <v>271</v>
      </c>
      <c r="K157" s="74" t="s">
        <v>1876</v>
      </c>
    </row>
    <row r="158" spans="8:11" x14ac:dyDescent="0.3">
      <c r="H158" s="74" t="s">
        <v>1878</v>
      </c>
      <c r="I158" s="74" t="s">
        <v>1032</v>
      </c>
      <c r="J158" s="74" t="s">
        <v>271</v>
      </c>
      <c r="K158" s="74" t="s">
        <v>1876</v>
      </c>
    </row>
    <row r="159" spans="8:11" x14ac:dyDescent="0.3">
      <c r="H159" s="74" t="s">
        <v>1879</v>
      </c>
      <c r="I159" s="74" t="s">
        <v>1217</v>
      </c>
      <c r="J159" s="74" t="s">
        <v>271</v>
      </c>
      <c r="K159" s="74" t="s">
        <v>1876</v>
      </c>
    </row>
    <row r="160" spans="8:11" x14ac:dyDescent="0.3">
      <c r="H160" s="74" t="s">
        <v>1190</v>
      </c>
      <c r="I160" s="74" t="s">
        <v>965</v>
      </c>
      <c r="J160" s="74" t="s">
        <v>271</v>
      </c>
      <c r="K160" s="74" t="s">
        <v>1876</v>
      </c>
    </row>
    <row r="161" spans="8:11" x14ac:dyDescent="0.3">
      <c r="H161" s="74" t="s">
        <v>1880</v>
      </c>
      <c r="I161" s="74" t="s">
        <v>1336</v>
      </c>
      <c r="J161" s="74" t="s">
        <v>271</v>
      </c>
      <c r="K161" s="74" t="s">
        <v>1876</v>
      </c>
    </row>
    <row r="162" spans="8:11" x14ac:dyDescent="0.3">
      <c r="H162" s="74" t="s">
        <v>1881</v>
      </c>
      <c r="I162" s="74" t="s">
        <v>1025</v>
      </c>
      <c r="J162" s="74" t="s">
        <v>271</v>
      </c>
      <c r="K162" s="74" t="s">
        <v>1876</v>
      </c>
    </row>
    <row r="163" spans="8:11" x14ac:dyDescent="0.3">
      <c r="H163" s="74" t="s">
        <v>1882</v>
      </c>
      <c r="I163" s="74" t="s">
        <v>1411</v>
      </c>
      <c r="J163" s="74" t="s">
        <v>271</v>
      </c>
      <c r="K163" s="74" t="s">
        <v>1876</v>
      </c>
    </row>
    <row r="164" spans="8:11" x14ac:dyDescent="0.3">
      <c r="H164" s="74" t="s">
        <v>1615</v>
      </c>
      <c r="I164" s="74" t="s">
        <v>1023</v>
      </c>
      <c r="J164" s="74" t="s">
        <v>271</v>
      </c>
      <c r="K164" s="74" t="s">
        <v>1876</v>
      </c>
    </row>
    <row r="165" spans="8:11" x14ac:dyDescent="0.3">
      <c r="H165" s="74" t="s">
        <v>1883</v>
      </c>
      <c r="I165" s="74" t="s">
        <v>1223</v>
      </c>
      <c r="J165" s="74" t="s">
        <v>271</v>
      </c>
      <c r="K165" s="74" t="s">
        <v>1876</v>
      </c>
    </row>
    <row r="166" spans="8:11" x14ac:dyDescent="0.3">
      <c r="H166" s="74" t="s">
        <v>1884</v>
      </c>
      <c r="I166" s="74" t="s">
        <v>1158</v>
      </c>
      <c r="J166" s="74" t="s">
        <v>271</v>
      </c>
      <c r="K166" s="74" t="s">
        <v>1876</v>
      </c>
    </row>
    <row r="167" spans="8:11" x14ac:dyDescent="0.3">
      <c r="H167" s="74" t="s">
        <v>1586</v>
      </c>
      <c r="I167" s="74" t="s">
        <v>1124</v>
      </c>
      <c r="J167" s="74" t="s">
        <v>271</v>
      </c>
      <c r="K167" s="74" t="s">
        <v>1876</v>
      </c>
    </row>
    <row r="168" spans="8:11" x14ac:dyDescent="0.3">
      <c r="H168" s="74" t="s">
        <v>1885</v>
      </c>
      <c r="I168" s="74" t="s">
        <v>1241</v>
      </c>
      <c r="J168" s="74" t="s">
        <v>271</v>
      </c>
      <c r="K168" s="74" t="s">
        <v>1876</v>
      </c>
    </row>
    <row r="169" spans="8:11" x14ac:dyDescent="0.3">
      <c r="H169" s="74" t="s">
        <v>1606</v>
      </c>
      <c r="I169" s="74" t="s">
        <v>1153</v>
      </c>
      <c r="J169" s="74" t="s">
        <v>271</v>
      </c>
      <c r="K169" s="74" t="s">
        <v>1886</v>
      </c>
    </row>
    <row r="170" spans="8:11" x14ac:dyDescent="0.3">
      <c r="H170" s="74" t="s">
        <v>1720</v>
      </c>
      <c r="I170" s="74" t="s">
        <v>1053</v>
      </c>
      <c r="J170" s="74" t="s">
        <v>271</v>
      </c>
      <c r="K170" s="74" t="s">
        <v>1886</v>
      </c>
    </row>
    <row r="171" spans="8:11" x14ac:dyDescent="0.3">
      <c r="H171" s="74" t="s">
        <v>1553</v>
      </c>
      <c r="I171" s="74" t="s">
        <v>1130</v>
      </c>
      <c r="J171" s="74" t="s">
        <v>271</v>
      </c>
      <c r="K171" s="74" t="s">
        <v>1886</v>
      </c>
    </row>
    <row r="172" spans="8:11" x14ac:dyDescent="0.3">
      <c r="H172" s="74" t="s">
        <v>1651</v>
      </c>
      <c r="I172" s="74" t="s">
        <v>1205</v>
      </c>
      <c r="J172" s="74" t="s">
        <v>271</v>
      </c>
      <c r="K172" s="74" t="s">
        <v>1886</v>
      </c>
    </row>
    <row r="173" spans="8:11" x14ac:dyDescent="0.3">
      <c r="H173" s="74" t="s">
        <v>1887</v>
      </c>
      <c r="I173" s="74" t="s">
        <v>1318</v>
      </c>
      <c r="J173" s="74" t="s">
        <v>271</v>
      </c>
      <c r="K173" s="74" t="s">
        <v>1886</v>
      </c>
    </row>
    <row r="174" spans="8:11" x14ac:dyDescent="0.3">
      <c r="H174" s="74" t="s">
        <v>1888</v>
      </c>
      <c r="I174" s="74" t="s">
        <v>1286</v>
      </c>
      <c r="J174" s="74" t="s">
        <v>271</v>
      </c>
      <c r="K174" s="74" t="s">
        <v>1886</v>
      </c>
    </row>
    <row r="175" spans="8:11" x14ac:dyDescent="0.3">
      <c r="H175" s="74" t="s">
        <v>1080</v>
      </c>
      <c r="I175" s="74" t="s">
        <v>1335</v>
      </c>
      <c r="J175" s="74" t="s">
        <v>271</v>
      </c>
      <c r="K175" s="74" t="s">
        <v>1886</v>
      </c>
    </row>
    <row r="176" spans="8:11" x14ac:dyDescent="0.3">
      <c r="H176" s="74" t="s">
        <v>1446</v>
      </c>
      <c r="I176" s="74" t="s">
        <v>997</v>
      </c>
      <c r="J176" s="74" t="s">
        <v>271</v>
      </c>
      <c r="K176" s="74" t="s">
        <v>1886</v>
      </c>
    </row>
    <row r="177" spans="8:11" x14ac:dyDescent="0.3">
      <c r="H177" s="74" t="s">
        <v>1889</v>
      </c>
      <c r="I177" s="74" t="s">
        <v>1173</v>
      </c>
      <c r="J177" s="74" t="s">
        <v>271</v>
      </c>
      <c r="K177" s="74" t="s">
        <v>1886</v>
      </c>
    </row>
    <row r="178" spans="8:11" x14ac:dyDescent="0.3">
      <c r="H178" s="74" t="s">
        <v>1149</v>
      </c>
      <c r="I178" s="74" t="s">
        <v>1890</v>
      </c>
      <c r="J178" s="74" t="s">
        <v>271</v>
      </c>
      <c r="K178" s="74" t="s">
        <v>1886</v>
      </c>
    </row>
    <row r="179" spans="8:11" x14ac:dyDescent="0.3">
      <c r="H179" s="74" t="s">
        <v>1413</v>
      </c>
      <c r="I179" s="74" t="s">
        <v>1206</v>
      </c>
      <c r="J179" s="74" t="s">
        <v>271</v>
      </c>
      <c r="K179" s="74" t="s">
        <v>1891</v>
      </c>
    </row>
    <row r="180" spans="8:11" x14ac:dyDescent="0.3">
      <c r="H180" s="74" t="s">
        <v>1287</v>
      </c>
      <c r="I180" s="74" t="s">
        <v>1892</v>
      </c>
      <c r="J180" s="74" t="s">
        <v>271</v>
      </c>
      <c r="K180" s="74" t="s">
        <v>1891</v>
      </c>
    </row>
    <row r="181" spans="8:11" x14ac:dyDescent="0.3">
      <c r="H181" s="74" t="s">
        <v>1192</v>
      </c>
      <c r="I181" s="74" t="s">
        <v>1383</v>
      </c>
      <c r="J181" s="74" t="s">
        <v>271</v>
      </c>
      <c r="K181" s="74" t="s">
        <v>1891</v>
      </c>
    </row>
    <row r="182" spans="8:11" x14ac:dyDescent="0.3">
      <c r="H182" s="74" t="s">
        <v>1893</v>
      </c>
      <c r="I182" s="74" t="s">
        <v>1079</v>
      </c>
      <c r="J182" s="74" t="s">
        <v>271</v>
      </c>
      <c r="K182" s="74" t="s">
        <v>1891</v>
      </c>
    </row>
    <row r="183" spans="8:11" x14ac:dyDescent="0.3">
      <c r="H183" s="74" t="s">
        <v>1894</v>
      </c>
      <c r="I183" s="74" t="s">
        <v>1428</v>
      </c>
      <c r="J183" s="74" t="s">
        <v>271</v>
      </c>
      <c r="K183" s="74" t="s">
        <v>1891</v>
      </c>
    </row>
    <row r="184" spans="8:11" x14ac:dyDescent="0.3">
      <c r="H184" s="74" t="s">
        <v>1293</v>
      </c>
      <c r="I184" s="74" t="s">
        <v>1441</v>
      </c>
      <c r="J184" s="74" t="s">
        <v>271</v>
      </c>
      <c r="K184" s="74" t="s">
        <v>1891</v>
      </c>
    </row>
    <row r="185" spans="8:11" x14ac:dyDescent="0.3">
      <c r="H185" s="74" t="s">
        <v>1895</v>
      </c>
      <c r="I185" s="74" t="s">
        <v>1224</v>
      </c>
      <c r="J185" s="74" t="s">
        <v>271</v>
      </c>
      <c r="K185" s="74" t="s">
        <v>1891</v>
      </c>
    </row>
    <row r="186" spans="8:11" x14ac:dyDescent="0.3">
      <c r="H186" s="74" t="s">
        <v>1724</v>
      </c>
      <c r="I186" s="74" t="s">
        <v>448</v>
      </c>
      <c r="J186" s="74" t="s">
        <v>271</v>
      </c>
      <c r="K186" s="74" t="s">
        <v>1891</v>
      </c>
    </row>
    <row r="187" spans="8:11" x14ac:dyDescent="0.3">
      <c r="H187" s="74" t="s">
        <v>1525</v>
      </c>
      <c r="I187" s="74" t="s">
        <v>1679</v>
      </c>
      <c r="J187" s="74" t="s">
        <v>271</v>
      </c>
      <c r="K187" s="74" t="s">
        <v>1891</v>
      </c>
    </row>
    <row r="188" spans="8:11" x14ac:dyDescent="0.3">
      <c r="H188" s="74" t="s">
        <v>1492</v>
      </c>
      <c r="I188" s="74" t="s">
        <v>1369</v>
      </c>
      <c r="J188" s="74" t="s">
        <v>271</v>
      </c>
      <c r="K188" s="74" t="s">
        <v>1891</v>
      </c>
    </row>
    <row r="189" spans="8:11" x14ac:dyDescent="0.3">
      <c r="H189" s="74" t="s">
        <v>1504</v>
      </c>
      <c r="I189" s="74" t="s">
        <v>1422</v>
      </c>
      <c r="J189" s="74" t="s">
        <v>271</v>
      </c>
      <c r="K189" s="74" t="s">
        <v>1891</v>
      </c>
    </row>
    <row r="190" spans="8:11" x14ac:dyDescent="0.3">
      <c r="H190" s="74" t="s">
        <v>1590</v>
      </c>
      <c r="I190" s="74" t="s">
        <v>1566</v>
      </c>
      <c r="J190" s="74" t="s">
        <v>271</v>
      </c>
      <c r="K190" s="74" t="s">
        <v>1896</v>
      </c>
    </row>
    <row r="191" spans="8:11" x14ac:dyDescent="0.3">
      <c r="H191" s="74" t="s">
        <v>1593</v>
      </c>
      <c r="I191" s="74" t="s">
        <v>1047</v>
      </c>
      <c r="J191" s="74" t="s">
        <v>271</v>
      </c>
      <c r="K191" s="74" t="s">
        <v>1896</v>
      </c>
    </row>
    <row r="192" spans="8:11" x14ac:dyDescent="0.3">
      <c r="H192" s="74" t="s">
        <v>1897</v>
      </c>
      <c r="I192" s="74" t="s">
        <v>1046</v>
      </c>
      <c r="J192" s="74" t="s">
        <v>271</v>
      </c>
      <c r="K192" s="74" t="s">
        <v>1896</v>
      </c>
    </row>
    <row r="193" spans="8:11" x14ac:dyDescent="0.3">
      <c r="H193" s="74" t="s">
        <v>1544</v>
      </c>
      <c r="I193" s="74" t="s">
        <v>1294</v>
      </c>
      <c r="J193" s="74" t="s">
        <v>271</v>
      </c>
      <c r="K193" s="74" t="s">
        <v>1896</v>
      </c>
    </row>
    <row r="194" spans="8:11" x14ac:dyDescent="0.3">
      <c r="H194" s="74" t="s">
        <v>1898</v>
      </c>
      <c r="I194" s="74" t="s">
        <v>1562</v>
      </c>
      <c r="J194" s="74" t="s">
        <v>271</v>
      </c>
      <c r="K194" s="74" t="s">
        <v>1896</v>
      </c>
    </row>
    <row r="195" spans="8:11" x14ac:dyDescent="0.3">
      <c r="H195" s="74" t="s">
        <v>1899</v>
      </c>
      <c r="I195" s="74" t="s">
        <v>1333</v>
      </c>
      <c r="J195" s="74" t="s">
        <v>271</v>
      </c>
      <c r="K195" s="74" t="s">
        <v>1896</v>
      </c>
    </row>
    <row r="196" spans="8:11" x14ac:dyDescent="0.3">
      <c r="H196" s="74" t="s">
        <v>1900</v>
      </c>
      <c r="I196" s="74" t="s">
        <v>343</v>
      </c>
      <c r="J196" s="74" t="s">
        <v>271</v>
      </c>
      <c r="K196" s="74" t="s">
        <v>1896</v>
      </c>
    </row>
    <row r="197" spans="8:11" x14ac:dyDescent="0.3">
      <c r="H197" s="74" t="s">
        <v>1607</v>
      </c>
      <c r="I197" s="74" t="s">
        <v>344</v>
      </c>
      <c r="J197" s="74" t="s">
        <v>271</v>
      </c>
      <c r="K197" s="74" t="s">
        <v>1896</v>
      </c>
    </row>
    <row r="198" spans="8:11" x14ac:dyDescent="0.3">
      <c r="H198" s="74" t="s">
        <v>1653</v>
      </c>
      <c r="I198" s="74" t="s">
        <v>345</v>
      </c>
      <c r="J198" s="74" t="s">
        <v>271</v>
      </c>
      <c r="K198" s="74" t="s">
        <v>1896</v>
      </c>
    </row>
    <row r="199" spans="8:11" x14ac:dyDescent="0.3">
      <c r="H199" s="74" t="s">
        <v>1901</v>
      </c>
      <c r="I199" s="74" t="s">
        <v>346</v>
      </c>
      <c r="J199" s="74" t="s">
        <v>271</v>
      </c>
      <c r="K199" s="74" t="s">
        <v>1896</v>
      </c>
    </row>
    <row r="200" spans="8:11" x14ac:dyDescent="0.3">
      <c r="H200" s="74" t="s">
        <v>1595</v>
      </c>
      <c r="I200" s="74" t="s">
        <v>347</v>
      </c>
      <c r="J200" s="74" t="s">
        <v>271</v>
      </c>
      <c r="K200" s="74" t="s">
        <v>1896</v>
      </c>
    </row>
    <row r="201" spans="8:11" x14ac:dyDescent="0.3">
      <c r="H201" s="74" t="s">
        <v>1902</v>
      </c>
      <c r="I201" s="74" t="s">
        <v>348</v>
      </c>
      <c r="J201" s="74" t="s">
        <v>271</v>
      </c>
      <c r="K201" s="74" t="s">
        <v>1896</v>
      </c>
    </row>
    <row r="202" spans="8:11" x14ac:dyDescent="0.3">
      <c r="H202" s="74" t="s">
        <v>1903</v>
      </c>
      <c r="I202" s="74" t="s">
        <v>349</v>
      </c>
      <c r="J202" s="74" t="s">
        <v>271</v>
      </c>
      <c r="K202" s="74" t="s">
        <v>1904</v>
      </c>
    </row>
    <row r="203" spans="8:11" x14ac:dyDescent="0.3">
      <c r="H203" s="74" t="s">
        <v>1905</v>
      </c>
      <c r="I203" s="74" t="s">
        <v>350</v>
      </c>
      <c r="J203" s="74" t="s">
        <v>271</v>
      </c>
      <c r="K203" s="74" t="s">
        <v>1904</v>
      </c>
    </row>
    <row r="204" spans="8:11" x14ac:dyDescent="0.3">
      <c r="H204" s="74" t="s">
        <v>1906</v>
      </c>
      <c r="I204" s="74" t="s">
        <v>351</v>
      </c>
      <c r="J204" s="74" t="s">
        <v>271</v>
      </c>
      <c r="K204" s="74" t="s">
        <v>1904</v>
      </c>
    </row>
    <row r="205" spans="8:11" x14ac:dyDescent="0.3">
      <c r="H205" s="74" t="s">
        <v>1907</v>
      </c>
      <c r="I205" s="74" t="s">
        <v>352</v>
      </c>
      <c r="J205" s="74" t="s">
        <v>271</v>
      </c>
      <c r="K205" s="74" t="s">
        <v>1904</v>
      </c>
    </row>
    <row r="206" spans="8:11" x14ac:dyDescent="0.3">
      <c r="H206" s="74" t="s">
        <v>1908</v>
      </c>
      <c r="I206" s="74" t="s">
        <v>353</v>
      </c>
      <c r="J206" s="74" t="s">
        <v>271</v>
      </c>
      <c r="K206" s="74" t="s">
        <v>1904</v>
      </c>
    </row>
    <row r="207" spans="8:11" x14ac:dyDescent="0.3">
      <c r="H207" s="74" t="s">
        <v>1909</v>
      </c>
      <c r="I207" s="74" t="s">
        <v>354</v>
      </c>
      <c r="J207" s="74" t="s">
        <v>271</v>
      </c>
      <c r="K207" s="74" t="s">
        <v>1904</v>
      </c>
    </row>
    <row r="208" spans="8:11" x14ac:dyDescent="0.3">
      <c r="H208" s="74" t="s">
        <v>1910</v>
      </c>
      <c r="I208" s="74" t="s">
        <v>355</v>
      </c>
      <c r="J208" s="74" t="s">
        <v>271</v>
      </c>
      <c r="K208" s="74" t="s">
        <v>1904</v>
      </c>
    </row>
    <row r="209" spans="8:11" x14ac:dyDescent="0.3">
      <c r="H209" s="74" t="s">
        <v>1696</v>
      </c>
      <c r="I209" s="74" t="s">
        <v>356</v>
      </c>
      <c r="J209" s="74" t="s">
        <v>271</v>
      </c>
      <c r="K209" s="74" t="s">
        <v>1904</v>
      </c>
    </row>
    <row r="210" spans="8:11" x14ac:dyDescent="0.3">
      <c r="H210" s="74" t="s">
        <v>1911</v>
      </c>
      <c r="I210" s="74" t="s">
        <v>357</v>
      </c>
      <c r="J210" s="74" t="s">
        <v>271</v>
      </c>
      <c r="K210" s="74" t="s">
        <v>1912</v>
      </c>
    </row>
    <row r="211" spans="8:11" x14ac:dyDescent="0.3">
      <c r="H211" s="74" t="s">
        <v>1913</v>
      </c>
      <c r="I211" s="74" t="s">
        <v>358</v>
      </c>
      <c r="J211" s="74" t="s">
        <v>271</v>
      </c>
      <c r="K211" s="74" t="s">
        <v>1912</v>
      </c>
    </row>
    <row r="212" spans="8:11" x14ac:dyDescent="0.3">
      <c r="H212" s="74" t="s">
        <v>1914</v>
      </c>
      <c r="I212" s="74" t="s">
        <v>359</v>
      </c>
      <c r="J212" s="74" t="s">
        <v>271</v>
      </c>
      <c r="K212" s="74" t="s">
        <v>1912</v>
      </c>
    </row>
    <row r="213" spans="8:11" x14ac:dyDescent="0.3">
      <c r="H213" s="74" t="s">
        <v>1915</v>
      </c>
      <c r="I213" s="74" t="s">
        <v>360</v>
      </c>
      <c r="J213" s="74" t="s">
        <v>271</v>
      </c>
      <c r="K213" s="74" t="s">
        <v>1912</v>
      </c>
    </row>
    <row r="214" spans="8:11" x14ac:dyDescent="0.3">
      <c r="H214" s="74" t="s">
        <v>1916</v>
      </c>
      <c r="I214" s="74" t="s">
        <v>361</v>
      </c>
      <c r="J214" s="74" t="s">
        <v>271</v>
      </c>
      <c r="K214" s="74" t="s">
        <v>1912</v>
      </c>
    </row>
    <row r="215" spans="8:11" x14ac:dyDescent="0.3">
      <c r="H215" s="74" t="s">
        <v>1715</v>
      </c>
      <c r="I215" s="74" t="s">
        <v>1257</v>
      </c>
      <c r="J215" s="74" t="s">
        <v>271</v>
      </c>
      <c r="K215" s="74" t="s">
        <v>1912</v>
      </c>
    </row>
    <row r="216" spans="8:11" x14ac:dyDescent="0.3">
      <c r="H216" s="74" t="s">
        <v>1917</v>
      </c>
      <c r="I216" s="74" t="s">
        <v>1198</v>
      </c>
      <c r="J216" s="74" t="s">
        <v>271</v>
      </c>
      <c r="K216" s="74" t="s">
        <v>1918</v>
      </c>
    </row>
    <row r="217" spans="8:11" x14ac:dyDescent="0.3">
      <c r="H217" s="74" t="s">
        <v>1919</v>
      </c>
      <c r="I217" s="74" t="s">
        <v>1733</v>
      </c>
      <c r="J217" s="74" t="s">
        <v>271</v>
      </c>
      <c r="K217" s="74" t="s">
        <v>1918</v>
      </c>
    </row>
    <row r="218" spans="8:11" x14ac:dyDescent="0.3">
      <c r="H218" s="74" t="s">
        <v>1721</v>
      </c>
      <c r="I218" s="74" t="s">
        <v>1177</v>
      </c>
      <c r="J218" s="74" t="s">
        <v>271</v>
      </c>
      <c r="K218" s="74" t="s">
        <v>1918</v>
      </c>
    </row>
    <row r="219" spans="8:11" x14ac:dyDescent="0.3">
      <c r="H219" s="74" t="s">
        <v>1247</v>
      </c>
      <c r="I219" s="74" t="s">
        <v>1536</v>
      </c>
      <c r="J219" s="74" t="s">
        <v>271</v>
      </c>
      <c r="K219" s="74" t="s">
        <v>1920</v>
      </c>
    </row>
    <row r="220" spans="8:11" x14ac:dyDescent="0.3">
      <c r="H220" s="74" t="s">
        <v>1921</v>
      </c>
      <c r="I220" s="74" t="s">
        <v>1026</v>
      </c>
      <c r="J220" s="74" t="s">
        <v>271</v>
      </c>
      <c r="K220" s="74" t="s">
        <v>1920</v>
      </c>
    </row>
    <row r="221" spans="8:11" x14ac:dyDescent="0.3">
      <c r="H221" s="74" t="s">
        <v>1486</v>
      </c>
      <c r="I221" s="74" t="s">
        <v>1391</v>
      </c>
      <c r="J221" s="74" t="s">
        <v>271</v>
      </c>
      <c r="K221" s="74" t="s">
        <v>1920</v>
      </c>
    </row>
    <row r="222" spans="8:11" x14ac:dyDescent="0.3">
      <c r="H222" s="74" t="s">
        <v>1922</v>
      </c>
      <c r="I222" s="74" t="s">
        <v>1923</v>
      </c>
      <c r="J222" s="74" t="s">
        <v>271</v>
      </c>
      <c r="K222" s="74" t="s">
        <v>1920</v>
      </c>
    </row>
    <row r="223" spans="8:11" x14ac:dyDescent="0.3">
      <c r="H223" s="74" t="s">
        <v>1924</v>
      </c>
      <c r="I223" s="74" t="s">
        <v>725</v>
      </c>
      <c r="J223" s="74" t="s">
        <v>271</v>
      </c>
      <c r="K223" s="74" t="s">
        <v>1920</v>
      </c>
    </row>
    <row r="224" spans="8:11" x14ac:dyDescent="0.3">
      <c r="H224" s="74" t="s">
        <v>1925</v>
      </c>
      <c r="I224" s="74" t="s">
        <v>1104</v>
      </c>
      <c r="J224" s="74" t="s">
        <v>271</v>
      </c>
      <c r="K224" s="74" t="s">
        <v>1920</v>
      </c>
    </row>
    <row r="225" spans="8:11" x14ac:dyDescent="0.3">
      <c r="H225" s="74" t="s">
        <v>1926</v>
      </c>
      <c r="I225" s="74" t="s">
        <v>980</v>
      </c>
      <c r="J225" s="74" t="s">
        <v>271</v>
      </c>
      <c r="K225" s="74" t="s">
        <v>1920</v>
      </c>
    </row>
    <row r="226" spans="8:11" x14ac:dyDescent="0.3">
      <c r="H226" s="74" t="s">
        <v>1927</v>
      </c>
      <c r="I226" s="74" t="s">
        <v>1148</v>
      </c>
      <c r="J226" s="74" t="s">
        <v>271</v>
      </c>
      <c r="K226" s="74" t="s">
        <v>1920</v>
      </c>
    </row>
    <row r="227" spans="8:11" x14ac:dyDescent="0.3">
      <c r="H227" s="74" t="s">
        <v>1110</v>
      </c>
      <c r="I227" s="74" t="s">
        <v>982</v>
      </c>
      <c r="J227" s="74" t="s">
        <v>271</v>
      </c>
      <c r="K227" s="74" t="s">
        <v>1920</v>
      </c>
    </row>
    <row r="228" spans="8:11" x14ac:dyDescent="0.3">
      <c r="H228" s="74" t="s">
        <v>1928</v>
      </c>
      <c r="I228" s="74" t="s">
        <v>1269</v>
      </c>
      <c r="J228" s="74" t="s">
        <v>271</v>
      </c>
      <c r="K228" s="74" t="s">
        <v>1929</v>
      </c>
    </row>
    <row r="229" spans="8:11" x14ac:dyDescent="0.3">
      <c r="H229" s="74" t="s">
        <v>1930</v>
      </c>
      <c r="I229" s="74" t="s">
        <v>1165</v>
      </c>
      <c r="J229" s="74" t="s">
        <v>271</v>
      </c>
      <c r="K229" s="74" t="s">
        <v>1929</v>
      </c>
    </row>
    <row r="230" spans="8:11" x14ac:dyDescent="0.3">
      <c r="H230" s="74" t="s">
        <v>1931</v>
      </c>
      <c r="I230" s="74" t="s">
        <v>1554</v>
      </c>
      <c r="J230" s="74" t="s">
        <v>271</v>
      </c>
      <c r="K230" s="74" t="s">
        <v>1929</v>
      </c>
    </row>
    <row r="231" spans="8:11" x14ac:dyDescent="0.3">
      <c r="H231" s="74" t="s">
        <v>1727</v>
      </c>
      <c r="I231" s="74" t="s">
        <v>1281</v>
      </c>
      <c r="J231" s="74" t="s">
        <v>271</v>
      </c>
      <c r="K231" s="74" t="s">
        <v>1929</v>
      </c>
    </row>
    <row r="232" spans="8:11" x14ac:dyDescent="0.3">
      <c r="H232" s="74" t="s">
        <v>1932</v>
      </c>
      <c r="I232" s="74" t="s">
        <v>1170</v>
      </c>
      <c r="J232" s="74" t="s">
        <v>271</v>
      </c>
      <c r="K232" s="74" t="s">
        <v>1929</v>
      </c>
    </row>
    <row r="233" spans="8:11" x14ac:dyDescent="0.3">
      <c r="H233" s="74" t="s">
        <v>1933</v>
      </c>
      <c r="I233" s="74" t="s">
        <v>1285</v>
      </c>
      <c r="J233" s="74" t="s">
        <v>271</v>
      </c>
      <c r="K233" s="74" t="s">
        <v>1929</v>
      </c>
    </row>
    <row r="234" spans="8:11" x14ac:dyDescent="0.3">
      <c r="H234" s="74" t="s">
        <v>1934</v>
      </c>
      <c r="I234" s="74" t="s">
        <v>1326</v>
      </c>
      <c r="J234" s="74" t="s">
        <v>271</v>
      </c>
      <c r="K234" s="74" t="s">
        <v>1929</v>
      </c>
    </row>
    <row r="235" spans="8:11" x14ac:dyDescent="0.3">
      <c r="H235" s="74" t="s">
        <v>1138</v>
      </c>
      <c r="I235" s="74" t="s">
        <v>1268</v>
      </c>
      <c r="J235" s="74" t="s">
        <v>271</v>
      </c>
      <c r="K235" s="74" t="s">
        <v>1929</v>
      </c>
    </row>
    <row r="236" spans="8:11" x14ac:dyDescent="0.3">
      <c r="H236" s="74" t="s">
        <v>1311</v>
      </c>
      <c r="I236" s="74" t="s">
        <v>1276</v>
      </c>
      <c r="J236" s="74" t="s">
        <v>271</v>
      </c>
      <c r="K236" s="74" t="s">
        <v>1929</v>
      </c>
    </row>
    <row r="237" spans="8:11" x14ac:dyDescent="0.3">
      <c r="H237" s="74" t="s">
        <v>1935</v>
      </c>
      <c r="I237" s="74" t="s">
        <v>1375</v>
      </c>
      <c r="J237" s="74" t="s">
        <v>271</v>
      </c>
      <c r="K237" s="74" t="s">
        <v>1936</v>
      </c>
    </row>
    <row r="238" spans="8:11" x14ac:dyDescent="0.3">
      <c r="H238" s="74" t="s">
        <v>1937</v>
      </c>
      <c r="I238" s="74" t="s">
        <v>1226</v>
      </c>
      <c r="J238" s="74" t="s">
        <v>271</v>
      </c>
      <c r="K238" s="74" t="s">
        <v>1938</v>
      </c>
    </row>
    <row r="239" spans="8:11" x14ac:dyDescent="0.3">
      <c r="H239" s="74" t="s">
        <v>416</v>
      </c>
      <c r="I239" s="74" t="s">
        <v>406</v>
      </c>
      <c r="J239" s="74" t="s">
        <v>271</v>
      </c>
      <c r="K239" s="74" t="s">
        <v>1938</v>
      </c>
    </row>
    <row r="240" spans="8:11" x14ac:dyDescent="0.3">
      <c r="H240" s="74" t="s">
        <v>1939</v>
      </c>
      <c r="I240" s="74" t="s">
        <v>1402</v>
      </c>
      <c r="J240" s="74" t="s">
        <v>271</v>
      </c>
      <c r="K240" s="74" t="s">
        <v>1940</v>
      </c>
    </row>
    <row r="241" spans="8:11" x14ac:dyDescent="0.3">
      <c r="H241" s="74" t="s">
        <v>1941</v>
      </c>
      <c r="I241" s="74" t="s">
        <v>1469</v>
      </c>
      <c r="J241" s="74" t="s">
        <v>271</v>
      </c>
      <c r="K241" s="74" t="s">
        <v>1940</v>
      </c>
    </row>
    <row r="242" spans="8:11" x14ac:dyDescent="0.3">
      <c r="H242" s="74" t="s">
        <v>1942</v>
      </c>
      <c r="I242" s="74" t="s">
        <v>1229</v>
      </c>
      <c r="J242" s="74" t="s">
        <v>271</v>
      </c>
      <c r="K242" s="74" t="s">
        <v>1940</v>
      </c>
    </row>
    <row r="243" spans="8:11" x14ac:dyDescent="0.3">
      <c r="H243" s="74" t="s">
        <v>1943</v>
      </c>
      <c r="I243" s="74" t="s">
        <v>1219</v>
      </c>
      <c r="J243" s="74" t="s">
        <v>271</v>
      </c>
      <c r="K243" s="74" t="s">
        <v>1940</v>
      </c>
    </row>
    <row r="244" spans="8:11" x14ac:dyDescent="0.3">
      <c r="H244" s="74" t="s">
        <v>1944</v>
      </c>
      <c r="I244" s="74" t="s">
        <v>1714</v>
      </c>
      <c r="J244" s="74" t="s">
        <v>271</v>
      </c>
      <c r="K244" s="74" t="s">
        <v>1940</v>
      </c>
    </row>
    <row r="245" spans="8:11" x14ac:dyDescent="0.3">
      <c r="H245" s="74" t="s">
        <v>1945</v>
      </c>
      <c r="I245" s="74" t="s">
        <v>1139</v>
      </c>
      <c r="J245" s="74" t="s">
        <v>271</v>
      </c>
      <c r="K245" s="74" t="s">
        <v>1940</v>
      </c>
    </row>
    <row r="246" spans="8:11" x14ac:dyDescent="0.3">
      <c r="H246" s="74" t="s">
        <v>1946</v>
      </c>
      <c r="I246" s="74" t="s">
        <v>1947</v>
      </c>
      <c r="J246" s="74" t="s">
        <v>271</v>
      </c>
      <c r="K246" s="74" t="s">
        <v>1948</v>
      </c>
    </row>
    <row r="247" spans="8:11" x14ac:dyDescent="0.3">
      <c r="H247" s="74" t="s">
        <v>1949</v>
      </c>
      <c r="I247" s="74" t="s">
        <v>1072</v>
      </c>
      <c r="J247" s="74" t="s">
        <v>271</v>
      </c>
      <c r="K247" s="74" t="s">
        <v>1948</v>
      </c>
    </row>
    <row r="248" spans="8:11" x14ac:dyDescent="0.3">
      <c r="H248" s="74" t="s">
        <v>1950</v>
      </c>
      <c r="I248" s="74" t="s">
        <v>1395</v>
      </c>
      <c r="J248" s="74" t="s">
        <v>271</v>
      </c>
      <c r="K248" s="74" t="s">
        <v>1948</v>
      </c>
    </row>
    <row r="249" spans="8:11" x14ac:dyDescent="0.3">
      <c r="H249" s="74" t="s">
        <v>1561</v>
      </c>
      <c r="I249" s="74" t="s">
        <v>1270</v>
      </c>
      <c r="J249" s="74" t="s">
        <v>271</v>
      </c>
      <c r="K249" s="74" t="s">
        <v>1948</v>
      </c>
    </row>
    <row r="250" spans="8:11" x14ac:dyDescent="0.3">
      <c r="H250" s="74" t="s">
        <v>1951</v>
      </c>
      <c r="I250" s="74" t="s">
        <v>1315</v>
      </c>
      <c r="J250" s="74" t="s">
        <v>271</v>
      </c>
      <c r="K250" s="74" t="s">
        <v>1948</v>
      </c>
    </row>
    <row r="251" spans="8:11" x14ac:dyDescent="0.3">
      <c r="H251" s="74" t="s">
        <v>1673</v>
      </c>
      <c r="I251" s="74" t="s">
        <v>986</v>
      </c>
      <c r="J251" s="74" t="s">
        <v>271</v>
      </c>
      <c r="K251" s="74" t="s">
        <v>1948</v>
      </c>
    </row>
    <row r="252" spans="8:11" x14ac:dyDescent="0.3">
      <c r="H252" s="74" t="s">
        <v>1368</v>
      </c>
      <c r="I252" s="74" t="s">
        <v>1255</v>
      </c>
      <c r="J252" s="74" t="s">
        <v>271</v>
      </c>
      <c r="K252" s="74" t="s">
        <v>1948</v>
      </c>
    </row>
    <row r="253" spans="8:11" x14ac:dyDescent="0.3">
      <c r="H253" s="74" t="s">
        <v>1952</v>
      </c>
      <c r="I253" s="74" t="s">
        <v>1739</v>
      </c>
      <c r="J253" s="74" t="s">
        <v>271</v>
      </c>
      <c r="K253" s="74" t="s">
        <v>1953</v>
      </c>
    </row>
    <row r="254" spans="8:11" x14ac:dyDescent="0.3">
      <c r="H254" s="74" t="s">
        <v>1954</v>
      </c>
      <c r="I254" s="74" t="s">
        <v>1251</v>
      </c>
      <c r="J254" s="74" t="s">
        <v>271</v>
      </c>
      <c r="K254" s="74" t="s">
        <v>1953</v>
      </c>
    </row>
    <row r="255" spans="8:11" x14ac:dyDescent="0.3">
      <c r="H255" s="74" t="s">
        <v>1955</v>
      </c>
      <c r="I255" s="74" t="s">
        <v>1115</v>
      </c>
      <c r="J255" s="74" t="s">
        <v>271</v>
      </c>
      <c r="K255" s="74" t="s">
        <v>1953</v>
      </c>
    </row>
    <row r="256" spans="8:11" x14ac:dyDescent="0.3">
      <c r="H256" s="74" t="s">
        <v>1956</v>
      </c>
      <c r="I256" s="74" t="s">
        <v>802</v>
      </c>
      <c r="J256" s="74" t="s">
        <v>271</v>
      </c>
      <c r="K256" s="74" t="s">
        <v>1953</v>
      </c>
    </row>
    <row r="257" spans="8:11" x14ac:dyDescent="0.3">
      <c r="H257" s="74" t="s">
        <v>1957</v>
      </c>
      <c r="I257" s="74" t="s">
        <v>1279</v>
      </c>
      <c r="J257" s="74" t="s">
        <v>271</v>
      </c>
      <c r="K257" s="74" t="s">
        <v>1953</v>
      </c>
    </row>
    <row r="258" spans="8:11" x14ac:dyDescent="0.3">
      <c r="H258" s="74" t="s">
        <v>1958</v>
      </c>
      <c r="I258" s="74" t="s">
        <v>1172</v>
      </c>
      <c r="J258" s="74" t="s">
        <v>271</v>
      </c>
      <c r="K258" s="74" t="s">
        <v>1953</v>
      </c>
    </row>
    <row r="259" spans="8:11" x14ac:dyDescent="0.3">
      <c r="H259" s="74" t="s">
        <v>1579</v>
      </c>
      <c r="I259" s="74" t="s">
        <v>1435</v>
      </c>
      <c r="J259" s="74" t="s">
        <v>271</v>
      </c>
      <c r="K259" s="74" t="s">
        <v>1953</v>
      </c>
    </row>
    <row r="260" spans="8:11" x14ac:dyDescent="0.3">
      <c r="H260" s="74" t="s">
        <v>1959</v>
      </c>
      <c r="I260" s="74" t="s">
        <v>1037</v>
      </c>
      <c r="J260" s="74" t="s">
        <v>271</v>
      </c>
      <c r="K260" s="74" t="s">
        <v>1960</v>
      </c>
    </row>
    <row r="261" spans="8:11" x14ac:dyDescent="0.3">
      <c r="H261" s="74" t="s">
        <v>1961</v>
      </c>
      <c r="I261" s="74" t="s">
        <v>890</v>
      </c>
      <c r="J261" s="74" t="s">
        <v>271</v>
      </c>
      <c r="K261" s="74" t="s">
        <v>1962</v>
      </c>
    </row>
    <row r="262" spans="8:11" x14ac:dyDescent="0.3">
      <c r="H262" s="74" t="s">
        <v>1963</v>
      </c>
      <c r="I262" s="74" t="s">
        <v>1156</v>
      </c>
      <c r="J262" s="74" t="s">
        <v>271</v>
      </c>
      <c r="K262" s="74" t="s">
        <v>1962</v>
      </c>
    </row>
    <row r="263" spans="8:11" x14ac:dyDescent="0.3">
      <c r="H263" s="74" t="s">
        <v>1964</v>
      </c>
      <c r="I263" s="74" t="s">
        <v>1157</v>
      </c>
      <c r="J263" s="74" t="s">
        <v>271</v>
      </c>
      <c r="K263" s="74" t="s">
        <v>1962</v>
      </c>
    </row>
    <row r="264" spans="8:11" x14ac:dyDescent="0.3">
      <c r="H264" s="74" t="s">
        <v>1965</v>
      </c>
      <c r="I264" s="74" t="s">
        <v>1390</v>
      </c>
      <c r="J264" s="74" t="s">
        <v>271</v>
      </c>
      <c r="K264" s="74" t="s">
        <v>1962</v>
      </c>
    </row>
    <row r="265" spans="8:11" x14ac:dyDescent="0.3">
      <c r="H265" s="74" t="s">
        <v>1966</v>
      </c>
      <c r="I265" s="74" t="s">
        <v>1618</v>
      </c>
      <c r="J265" s="74" t="s">
        <v>271</v>
      </c>
      <c r="K265" s="74" t="s">
        <v>1962</v>
      </c>
    </row>
    <row r="266" spans="8:11" x14ac:dyDescent="0.3">
      <c r="H266" s="74" t="s">
        <v>1967</v>
      </c>
      <c r="I266" s="74" t="s">
        <v>1191</v>
      </c>
      <c r="J266" s="74" t="s">
        <v>271</v>
      </c>
      <c r="K266" s="74" t="s">
        <v>1962</v>
      </c>
    </row>
    <row r="267" spans="8:11" x14ac:dyDescent="0.3">
      <c r="H267" s="74" t="s">
        <v>1968</v>
      </c>
      <c r="I267" s="74" t="s">
        <v>1042</v>
      </c>
      <c r="J267" s="74" t="s">
        <v>271</v>
      </c>
      <c r="K267" s="74" t="s">
        <v>1962</v>
      </c>
    </row>
    <row r="268" spans="8:11" x14ac:dyDescent="0.3">
      <c r="H268" s="74" t="s">
        <v>1969</v>
      </c>
      <c r="I268" s="74" t="s">
        <v>1370</v>
      </c>
      <c r="J268" s="74" t="s">
        <v>271</v>
      </c>
      <c r="K268" s="74" t="s">
        <v>1970</v>
      </c>
    </row>
    <row r="269" spans="8:11" x14ac:dyDescent="0.3">
      <c r="H269" s="74" t="s">
        <v>1971</v>
      </c>
      <c r="I269" s="74" t="s">
        <v>1617</v>
      </c>
      <c r="J269" s="74" t="s">
        <v>271</v>
      </c>
      <c r="K269" s="74" t="s">
        <v>1970</v>
      </c>
    </row>
    <row r="270" spans="8:11" x14ac:dyDescent="0.3">
      <c r="H270" s="74" t="s">
        <v>1597</v>
      </c>
      <c r="I270" s="74" t="s">
        <v>1452</v>
      </c>
      <c r="J270" s="74" t="s">
        <v>271</v>
      </c>
      <c r="K270" s="74" t="s">
        <v>1972</v>
      </c>
    </row>
    <row r="271" spans="8:11" x14ac:dyDescent="0.3">
      <c r="H271" s="74" t="s">
        <v>1973</v>
      </c>
      <c r="I271" s="74" t="s">
        <v>1081</v>
      </c>
      <c r="J271" s="74" t="s">
        <v>271</v>
      </c>
      <c r="K271" s="74" t="s">
        <v>1972</v>
      </c>
    </row>
    <row r="272" spans="8:11" x14ac:dyDescent="0.3">
      <c r="H272" s="74" t="s">
        <v>1538</v>
      </c>
      <c r="I272" s="74" t="s">
        <v>968</v>
      </c>
      <c r="J272" s="74" t="s">
        <v>271</v>
      </c>
      <c r="K272" s="74" t="s">
        <v>1972</v>
      </c>
    </row>
    <row r="273" spans="8:11" x14ac:dyDescent="0.3">
      <c r="H273" s="74" t="s">
        <v>1974</v>
      </c>
      <c r="I273" s="74" t="s">
        <v>1341</v>
      </c>
      <c r="J273" s="74" t="s">
        <v>271</v>
      </c>
      <c r="K273" s="74" t="s">
        <v>1972</v>
      </c>
    </row>
    <row r="274" spans="8:11" x14ac:dyDescent="0.3">
      <c r="H274" s="74" t="s">
        <v>1467</v>
      </c>
      <c r="I274" s="74" t="s">
        <v>1289</v>
      </c>
      <c r="J274" s="74" t="s">
        <v>271</v>
      </c>
      <c r="K274" s="74" t="s">
        <v>1972</v>
      </c>
    </row>
    <row r="275" spans="8:11" x14ac:dyDescent="0.3">
      <c r="H275" s="74" t="s">
        <v>1454</v>
      </c>
      <c r="I275" s="74" t="s">
        <v>1316</v>
      </c>
      <c r="J275" s="74" t="s">
        <v>271</v>
      </c>
      <c r="K275" s="74" t="s">
        <v>1972</v>
      </c>
    </row>
    <row r="276" spans="8:11" x14ac:dyDescent="0.3">
      <c r="H276" s="74" t="s">
        <v>1644</v>
      </c>
      <c r="I276" s="74" t="s">
        <v>1975</v>
      </c>
      <c r="J276" s="74" t="s">
        <v>271</v>
      </c>
      <c r="K276" s="74" t="s">
        <v>1972</v>
      </c>
    </row>
    <row r="277" spans="8:11" x14ac:dyDescent="0.3">
      <c r="H277" s="74" t="s">
        <v>1154</v>
      </c>
      <c r="I277" s="74" t="s">
        <v>1141</v>
      </c>
      <c r="J277" s="74" t="s">
        <v>271</v>
      </c>
      <c r="K277" s="74" t="s">
        <v>1972</v>
      </c>
    </row>
    <row r="278" spans="8:11" x14ac:dyDescent="0.3">
      <c r="H278" s="74" t="s">
        <v>1976</v>
      </c>
      <c r="I278" s="74" t="s">
        <v>1171</v>
      </c>
      <c r="J278" s="74" t="s">
        <v>271</v>
      </c>
      <c r="K278" s="74" t="s">
        <v>1977</v>
      </c>
    </row>
    <row r="279" spans="8:11" x14ac:dyDescent="0.3">
      <c r="H279" s="74" t="s">
        <v>971</v>
      </c>
      <c r="I279" s="74" t="s">
        <v>1094</v>
      </c>
      <c r="J279" s="74" t="s">
        <v>271</v>
      </c>
      <c r="K279" s="74" t="s">
        <v>1977</v>
      </c>
    </row>
    <row r="280" spans="8:11" x14ac:dyDescent="0.3">
      <c r="H280" s="74" t="s">
        <v>1978</v>
      </c>
      <c r="I280" s="74" t="s">
        <v>1126</v>
      </c>
      <c r="J280" s="74" t="s">
        <v>271</v>
      </c>
      <c r="K280" s="74" t="s">
        <v>1977</v>
      </c>
    </row>
    <row r="281" spans="8:11" x14ac:dyDescent="0.3">
      <c r="H281" s="74" t="s">
        <v>1716</v>
      </c>
      <c r="I281" s="74" t="s">
        <v>1034</v>
      </c>
      <c r="J281" s="74" t="s">
        <v>271</v>
      </c>
      <c r="K281" s="74" t="s">
        <v>1977</v>
      </c>
    </row>
    <row r="282" spans="8:11" x14ac:dyDescent="0.3">
      <c r="H282" s="74" t="s">
        <v>1530</v>
      </c>
      <c r="I282" s="74" t="s">
        <v>1979</v>
      </c>
      <c r="J282" s="74" t="s">
        <v>271</v>
      </c>
      <c r="K282" s="74" t="s">
        <v>1977</v>
      </c>
    </row>
    <row r="283" spans="8:11" x14ac:dyDescent="0.3">
      <c r="H283" s="74" t="s">
        <v>1652</v>
      </c>
      <c r="I283" s="74" t="s">
        <v>1317</v>
      </c>
      <c r="J283" s="74" t="s">
        <v>271</v>
      </c>
      <c r="K283" s="74" t="s">
        <v>1977</v>
      </c>
    </row>
    <row r="284" spans="8:11" x14ac:dyDescent="0.3">
      <c r="H284" s="74" t="s">
        <v>1980</v>
      </c>
      <c r="I284" s="74" t="s">
        <v>1643</v>
      </c>
      <c r="J284" s="74" t="s">
        <v>271</v>
      </c>
      <c r="K284" s="74" t="s">
        <v>1977</v>
      </c>
    </row>
    <row r="285" spans="8:11" x14ac:dyDescent="0.3">
      <c r="H285" s="74" t="s">
        <v>1981</v>
      </c>
      <c r="I285" s="74" t="s">
        <v>976</v>
      </c>
      <c r="J285" s="74" t="s">
        <v>271</v>
      </c>
      <c r="K285" s="74" t="s">
        <v>1977</v>
      </c>
    </row>
    <row r="286" spans="8:11" x14ac:dyDescent="0.3">
      <c r="H286" s="74" t="s">
        <v>1982</v>
      </c>
      <c r="I286" s="74" t="s">
        <v>1692</v>
      </c>
      <c r="J286" s="74" t="s">
        <v>271</v>
      </c>
      <c r="K286" s="74" t="s">
        <v>1977</v>
      </c>
    </row>
    <row r="287" spans="8:11" x14ac:dyDescent="0.3">
      <c r="H287" s="74" t="s">
        <v>1983</v>
      </c>
      <c r="I287" s="74" t="s">
        <v>1582</v>
      </c>
      <c r="J287" s="74" t="s">
        <v>271</v>
      </c>
      <c r="K287" s="74" t="s">
        <v>1977</v>
      </c>
    </row>
    <row r="288" spans="8:11" x14ac:dyDescent="0.3">
      <c r="H288" s="74" t="s">
        <v>1984</v>
      </c>
      <c r="I288" s="74" t="s">
        <v>1575</v>
      </c>
      <c r="J288" s="74" t="s">
        <v>271</v>
      </c>
      <c r="K288" s="74" t="s">
        <v>1985</v>
      </c>
    </row>
    <row r="289" spans="8:11" x14ac:dyDescent="0.3">
      <c r="H289" s="74" t="s">
        <v>1711</v>
      </c>
      <c r="I289" s="74" t="s">
        <v>1093</v>
      </c>
      <c r="J289" s="74" t="s">
        <v>271</v>
      </c>
      <c r="K289" s="74" t="s">
        <v>1985</v>
      </c>
    </row>
    <row r="290" spans="8:11" x14ac:dyDescent="0.3">
      <c r="H290" s="74" t="s">
        <v>1986</v>
      </c>
      <c r="I290" s="74" t="s">
        <v>1322</v>
      </c>
      <c r="J290" s="74" t="s">
        <v>271</v>
      </c>
      <c r="K290" s="74" t="s">
        <v>1985</v>
      </c>
    </row>
    <row r="291" spans="8:11" x14ac:dyDescent="0.3">
      <c r="H291" s="74" t="s">
        <v>1987</v>
      </c>
      <c r="I291" s="74" t="s">
        <v>1988</v>
      </c>
      <c r="J291" s="74" t="s">
        <v>271</v>
      </c>
      <c r="K291" s="74" t="s">
        <v>1985</v>
      </c>
    </row>
    <row r="292" spans="8:11" x14ac:dyDescent="0.3">
      <c r="H292" s="74" t="s">
        <v>1989</v>
      </c>
      <c r="I292" s="74" t="s">
        <v>964</v>
      </c>
      <c r="J292" s="74" t="s">
        <v>271</v>
      </c>
      <c r="K292" s="74" t="s">
        <v>1985</v>
      </c>
    </row>
    <row r="293" spans="8:11" x14ac:dyDescent="0.3">
      <c r="H293" s="74" t="s">
        <v>1990</v>
      </c>
      <c r="I293" s="74" t="s">
        <v>1440</v>
      </c>
      <c r="J293" s="74" t="s">
        <v>271</v>
      </c>
      <c r="K293" s="74" t="s">
        <v>1985</v>
      </c>
    </row>
    <row r="294" spans="8:11" x14ac:dyDescent="0.3">
      <c r="H294" s="74" t="s">
        <v>1280</v>
      </c>
      <c r="I294" s="74" t="s">
        <v>1203</v>
      </c>
      <c r="J294" s="74" t="s">
        <v>271</v>
      </c>
      <c r="K294" s="74" t="s">
        <v>1985</v>
      </c>
    </row>
    <row r="295" spans="8:11" x14ac:dyDescent="0.3">
      <c r="H295" s="74" t="s">
        <v>1991</v>
      </c>
      <c r="I295" s="74" t="s">
        <v>1145</v>
      </c>
      <c r="J295" s="74" t="s">
        <v>271</v>
      </c>
      <c r="K295" s="74" t="s">
        <v>1992</v>
      </c>
    </row>
    <row r="296" spans="8:11" x14ac:dyDescent="0.3">
      <c r="H296" s="74" t="s">
        <v>1650</v>
      </c>
      <c r="I296" s="74" t="s">
        <v>1301</v>
      </c>
      <c r="J296" s="74" t="s">
        <v>271</v>
      </c>
      <c r="K296" s="74" t="s">
        <v>1992</v>
      </c>
    </row>
    <row r="297" spans="8:11" x14ac:dyDescent="0.3">
      <c r="H297" s="74" t="s">
        <v>1527</v>
      </c>
      <c r="I297" s="74" t="s">
        <v>1993</v>
      </c>
      <c r="J297" s="74" t="s">
        <v>271</v>
      </c>
      <c r="K297" s="74" t="s">
        <v>1992</v>
      </c>
    </row>
    <row r="298" spans="8:11" x14ac:dyDescent="0.3">
      <c r="H298" s="74" t="s">
        <v>1994</v>
      </c>
      <c r="I298" s="74" t="s">
        <v>1680</v>
      </c>
      <c r="J298" s="74" t="s">
        <v>271</v>
      </c>
      <c r="K298" s="74" t="s">
        <v>1992</v>
      </c>
    </row>
    <row r="299" spans="8:11" x14ac:dyDescent="0.3">
      <c r="H299" s="74" t="s">
        <v>1995</v>
      </c>
      <c r="I299" s="74" t="s">
        <v>1588</v>
      </c>
      <c r="J299" s="74" t="s">
        <v>271</v>
      </c>
      <c r="K299" s="74" t="s">
        <v>1992</v>
      </c>
    </row>
    <row r="300" spans="8:11" x14ac:dyDescent="0.3">
      <c r="H300" s="74" t="s">
        <v>1996</v>
      </c>
      <c r="I300" s="74" t="s">
        <v>1432</v>
      </c>
      <c r="J300" s="74" t="s">
        <v>271</v>
      </c>
      <c r="K300" s="74" t="s">
        <v>1992</v>
      </c>
    </row>
    <row r="301" spans="8:11" x14ac:dyDescent="0.3">
      <c r="H301" s="74" t="s">
        <v>1443</v>
      </c>
      <c r="I301" s="74" t="s">
        <v>1233</v>
      </c>
      <c r="J301" s="74" t="s">
        <v>271</v>
      </c>
      <c r="K301" s="74" t="s">
        <v>1992</v>
      </c>
    </row>
    <row r="302" spans="8:11" x14ac:dyDescent="0.3">
      <c r="H302" s="74" t="s">
        <v>1119</v>
      </c>
      <c r="I302" s="74" t="s">
        <v>453</v>
      </c>
      <c r="J302" s="74" t="s">
        <v>271</v>
      </c>
      <c r="K302" s="74" t="s">
        <v>1992</v>
      </c>
    </row>
    <row r="303" spans="8:11" x14ac:dyDescent="0.3">
      <c r="H303" s="74" t="s">
        <v>1997</v>
      </c>
      <c r="I303" s="74" t="s">
        <v>1342</v>
      </c>
      <c r="J303" s="74" t="s">
        <v>271</v>
      </c>
      <c r="K303" s="74" t="s">
        <v>1998</v>
      </c>
    </row>
    <row r="304" spans="8:11" x14ac:dyDescent="0.3">
      <c r="H304" s="74" t="s">
        <v>1999</v>
      </c>
      <c r="I304" s="74" t="s">
        <v>1283</v>
      </c>
      <c r="J304" s="74" t="s">
        <v>271</v>
      </c>
      <c r="K304" s="74" t="s">
        <v>1998</v>
      </c>
    </row>
    <row r="305" spans="8:11" x14ac:dyDescent="0.3">
      <c r="H305" s="74" t="s">
        <v>2000</v>
      </c>
      <c r="I305" s="74" t="s">
        <v>1290</v>
      </c>
      <c r="J305" s="74" t="s">
        <v>271</v>
      </c>
      <c r="K305" s="74" t="s">
        <v>1998</v>
      </c>
    </row>
    <row r="306" spans="8:11" x14ac:dyDescent="0.3">
      <c r="H306" s="74" t="s">
        <v>2001</v>
      </c>
      <c r="I306" s="74" t="s">
        <v>521</v>
      </c>
      <c r="J306" s="74" t="s">
        <v>271</v>
      </c>
      <c r="K306" s="74" t="s">
        <v>1998</v>
      </c>
    </row>
    <row r="307" spans="8:11" x14ac:dyDescent="0.3">
      <c r="H307" s="74" t="s">
        <v>2002</v>
      </c>
      <c r="I307" s="74" t="s">
        <v>983</v>
      </c>
      <c r="J307" s="74" t="s">
        <v>271</v>
      </c>
      <c r="K307" s="74" t="s">
        <v>1998</v>
      </c>
    </row>
    <row r="308" spans="8:11" x14ac:dyDescent="0.3">
      <c r="H308" s="74" t="s">
        <v>1238</v>
      </c>
      <c r="I308" s="74" t="s">
        <v>1565</v>
      </c>
      <c r="J308" s="74" t="s">
        <v>271</v>
      </c>
      <c r="K308" s="74" t="s">
        <v>1998</v>
      </c>
    </row>
    <row r="309" spans="8:11" x14ac:dyDescent="0.3">
      <c r="H309" s="74" t="s">
        <v>2003</v>
      </c>
      <c r="I309" s="74" t="s">
        <v>1529</v>
      </c>
      <c r="J309" s="74" t="s">
        <v>271</v>
      </c>
      <c r="K309" s="74" t="s">
        <v>2004</v>
      </c>
    </row>
    <row r="310" spans="8:11" x14ac:dyDescent="0.3">
      <c r="H310" s="74" t="s">
        <v>2005</v>
      </c>
      <c r="I310" s="74" t="s">
        <v>1155</v>
      </c>
      <c r="J310" s="74" t="s">
        <v>271</v>
      </c>
      <c r="K310" s="74" t="s">
        <v>2004</v>
      </c>
    </row>
    <row r="311" spans="8:11" x14ac:dyDescent="0.3">
      <c r="H311" s="74" t="s">
        <v>2006</v>
      </c>
      <c r="I311" s="74" t="s">
        <v>1061</v>
      </c>
      <c r="J311" s="74" t="s">
        <v>271</v>
      </c>
      <c r="K311" s="74" t="s">
        <v>2004</v>
      </c>
    </row>
    <row r="312" spans="8:11" x14ac:dyDescent="0.3">
      <c r="H312" s="74" t="s">
        <v>2007</v>
      </c>
      <c r="I312" s="74" t="s">
        <v>1414</v>
      </c>
      <c r="J312" s="74" t="s">
        <v>271</v>
      </c>
      <c r="K312" s="74" t="s">
        <v>2004</v>
      </c>
    </row>
    <row r="313" spans="8:11" x14ac:dyDescent="0.3">
      <c r="H313" s="74" t="s">
        <v>2008</v>
      </c>
      <c r="I313" s="74" t="s">
        <v>1393</v>
      </c>
      <c r="J313" s="74" t="s">
        <v>271</v>
      </c>
      <c r="K313" s="74" t="s">
        <v>2004</v>
      </c>
    </row>
    <row r="314" spans="8:11" x14ac:dyDescent="0.3">
      <c r="H314" s="74" t="s">
        <v>2009</v>
      </c>
      <c r="I314" s="74" t="s">
        <v>1245</v>
      </c>
      <c r="J314" s="74" t="s">
        <v>271</v>
      </c>
      <c r="K314" s="74" t="s">
        <v>2004</v>
      </c>
    </row>
    <row r="315" spans="8:11" x14ac:dyDescent="0.3">
      <c r="H315" s="74" t="s">
        <v>2010</v>
      </c>
      <c r="I315" s="74" t="s">
        <v>1186</v>
      </c>
      <c r="J315" s="74" t="s">
        <v>271</v>
      </c>
      <c r="K315" s="74" t="s">
        <v>2011</v>
      </c>
    </row>
    <row r="316" spans="8:11" x14ac:dyDescent="0.3">
      <c r="H316" s="74" t="s">
        <v>2012</v>
      </c>
      <c r="I316" s="74" t="s">
        <v>1518</v>
      </c>
      <c r="J316" s="74" t="s">
        <v>271</v>
      </c>
      <c r="K316" s="74" t="s">
        <v>2011</v>
      </c>
    </row>
    <row r="317" spans="8:11" x14ac:dyDescent="0.3">
      <c r="H317" s="74" t="s">
        <v>2013</v>
      </c>
      <c r="I317" s="74" t="s">
        <v>1298</v>
      </c>
      <c r="J317" s="74" t="s">
        <v>271</v>
      </c>
      <c r="K317" s="74" t="s">
        <v>2011</v>
      </c>
    </row>
    <row r="318" spans="8:11" x14ac:dyDescent="0.3">
      <c r="H318" s="74" t="s">
        <v>2014</v>
      </c>
      <c r="I318" s="74" t="s">
        <v>1212</v>
      </c>
      <c r="J318" s="74" t="s">
        <v>271</v>
      </c>
      <c r="K318" s="74" t="s">
        <v>2011</v>
      </c>
    </row>
    <row r="319" spans="8:11" x14ac:dyDescent="0.3">
      <c r="H319" s="74" t="s">
        <v>2015</v>
      </c>
      <c r="I319" s="74" t="s">
        <v>1069</v>
      </c>
      <c r="J319" s="74" t="s">
        <v>271</v>
      </c>
      <c r="K319" s="74" t="s">
        <v>2016</v>
      </c>
    </row>
    <row r="320" spans="8:11" x14ac:dyDescent="0.3">
      <c r="H320" s="74" t="s">
        <v>2017</v>
      </c>
      <c r="I320" s="74" t="s">
        <v>1091</v>
      </c>
      <c r="J320" s="74" t="s">
        <v>271</v>
      </c>
      <c r="K320" s="74" t="s">
        <v>2016</v>
      </c>
    </row>
    <row r="321" spans="8:11" x14ac:dyDescent="0.3">
      <c r="H321" s="74" t="s">
        <v>2018</v>
      </c>
      <c r="I321" s="74" t="s">
        <v>701</v>
      </c>
      <c r="J321" s="74" t="s">
        <v>271</v>
      </c>
      <c r="K321" s="74" t="s">
        <v>2016</v>
      </c>
    </row>
    <row r="322" spans="8:11" x14ac:dyDescent="0.3">
      <c r="H322" s="74" t="s">
        <v>2019</v>
      </c>
      <c r="I322" s="74" t="s">
        <v>2020</v>
      </c>
      <c r="J322" s="74" t="s">
        <v>271</v>
      </c>
      <c r="K322" s="74" t="s">
        <v>2016</v>
      </c>
    </row>
    <row r="323" spans="8:11" x14ac:dyDescent="0.3">
      <c r="H323" s="74" t="s">
        <v>1634</v>
      </c>
      <c r="I323" s="74" t="s">
        <v>1020</v>
      </c>
      <c r="J323" s="74" t="s">
        <v>271</v>
      </c>
      <c r="K323" s="74" t="s">
        <v>2016</v>
      </c>
    </row>
    <row r="324" spans="8:11" x14ac:dyDescent="0.3">
      <c r="H324" s="74" t="s">
        <v>2021</v>
      </c>
      <c r="I324" s="74" t="s">
        <v>1465</v>
      </c>
      <c r="J324" s="74" t="s">
        <v>271</v>
      </c>
      <c r="K324" s="74" t="s">
        <v>2022</v>
      </c>
    </row>
    <row r="325" spans="8:11" x14ac:dyDescent="0.3">
      <c r="H325" s="74" t="s">
        <v>2023</v>
      </c>
      <c r="I325" s="74" t="s">
        <v>1306</v>
      </c>
      <c r="J325" s="74" t="s">
        <v>271</v>
      </c>
      <c r="K325" s="74" t="s">
        <v>2022</v>
      </c>
    </row>
    <row r="326" spans="8:11" x14ac:dyDescent="0.3">
      <c r="H326" s="74" t="s">
        <v>2024</v>
      </c>
      <c r="I326" s="74" t="s">
        <v>1495</v>
      </c>
      <c r="J326" s="74" t="s">
        <v>271</v>
      </c>
      <c r="K326" s="74" t="s">
        <v>2022</v>
      </c>
    </row>
    <row r="327" spans="8:11" x14ac:dyDescent="0.3">
      <c r="H327" s="74" t="s">
        <v>2025</v>
      </c>
      <c r="I327" s="74" t="s">
        <v>1674</v>
      </c>
      <c r="J327" s="74" t="s">
        <v>271</v>
      </c>
      <c r="K327" s="74" t="s">
        <v>2022</v>
      </c>
    </row>
    <row r="328" spans="8:11" x14ac:dyDescent="0.3">
      <c r="H328" s="74" t="s">
        <v>2026</v>
      </c>
      <c r="I328" s="74" t="s">
        <v>1261</v>
      </c>
      <c r="J328" s="74" t="s">
        <v>271</v>
      </c>
      <c r="K328" s="74" t="s">
        <v>2022</v>
      </c>
    </row>
    <row r="329" spans="8:11" x14ac:dyDescent="0.3">
      <c r="H329" s="74" t="s">
        <v>2027</v>
      </c>
      <c r="I329" s="74" t="s">
        <v>1683</v>
      </c>
      <c r="J329" s="74" t="s">
        <v>271</v>
      </c>
      <c r="K329" s="74" t="s">
        <v>2022</v>
      </c>
    </row>
    <row r="330" spans="8:11" x14ac:dyDescent="0.3">
      <c r="H330" s="74" t="s">
        <v>2028</v>
      </c>
      <c r="I330" s="74" t="s">
        <v>1584</v>
      </c>
      <c r="J330" s="74" t="s">
        <v>271</v>
      </c>
      <c r="K330" s="74" t="s">
        <v>2029</v>
      </c>
    </row>
    <row r="331" spans="8:11" x14ac:dyDescent="0.3">
      <c r="H331" s="74" t="s">
        <v>2030</v>
      </c>
      <c r="I331" s="74" t="s">
        <v>1523</v>
      </c>
      <c r="J331" s="74" t="s">
        <v>271</v>
      </c>
      <c r="K331" s="74" t="s">
        <v>2029</v>
      </c>
    </row>
    <row r="332" spans="8:11" x14ac:dyDescent="0.3">
      <c r="H332" s="74" t="s">
        <v>2031</v>
      </c>
      <c r="I332" s="74" t="s">
        <v>1509</v>
      </c>
      <c r="J332" s="74" t="s">
        <v>271</v>
      </c>
      <c r="K332" s="74" t="s">
        <v>2029</v>
      </c>
    </row>
    <row r="333" spans="8:11" x14ac:dyDescent="0.3">
      <c r="H333" s="74" t="s">
        <v>2032</v>
      </c>
      <c r="I333" s="74" t="s">
        <v>1082</v>
      </c>
      <c r="J333" s="74" t="s">
        <v>271</v>
      </c>
      <c r="K333" s="74" t="s">
        <v>2029</v>
      </c>
    </row>
    <row r="334" spans="8:11" x14ac:dyDescent="0.3">
      <c r="H334" s="74" t="s">
        <v>2033</v>
      </c>
      <c r="I334" s="74" t="s">
        <v>1364</v>
      </c>
      <c r="J334" s="74" t="s">
        <v>271</v>
      </c>
      <c r="K334" s="74" t="s">
        <v>2034</v>
      </c>
    </row>
    <row r="335" spans="8:11" x14ac:dyDescent="0.3">
      <c r="H335" s="74" t="s">
        <v>1743</v>
      </c>
      <c r="I335" s="74" t="s">
        <v>1380</v>
      </c>
      <c r="J335" s="74" t="s">
        <v>271</v>
      </c>
      <c r="K335" s="74" t="s">
        <v>2034</v>
      </c>
    </row>
    <row r="336" spans="8:11" x14ac:dyDescent="0.3">
      <c r="H336" s="74" t="s">
        <v>2035</v>
      </c>
      <c r="I336" s="74" t="s">
        <v>2036</v>
      </c>
      <c r="J336" s="74" t="s">
        <v>271</v>
      </c>
      <c r="K336" s="74" t="s">
        <v>2034</v>
      </c>
    </row>
    <row r="337" spans="8:11" x14ac:dyDescent="0.3">
      <c r="H337" s="74" t="s">
        <v>2037</v>
      </c>
      <c r="I337" s="74" t="s">
        <v>1426</v>
      </c>
      <c r="J337" s="74" t="s">
        <v>271</v>
      </c>
      <c r="K337" s="74" t="s">
        <v>2034</v>
      </c>
    </row>
    <row r="338" spans="8:11" x14ac:dyDescent="0.3">
      <c r="H338" s="74" t="s">
        <v>2038</v>
      </c>
      <c r="I338" s="74" t="s">
        <v>1184</v>
      </c>
      <c r="J338" s="74" t="s">
        <v>271</v>
      </c>
      <c r="K338" s="74" t="s">
        <v>2034</v>
      </c>
    </row>
    <row r="339" spans="8:11" x14ac:dyDescent="0.3">
      <c r="H339" s="74" t="s">
        <v>2039</v>
      </c>
      <c r="I339" s="74" t="s">
        <v>2040</v>
      </c>
      <c r="J339" s="74" t="s">
        <v>271</v>
      </c>
      <c r="K339" s="74" t="s">
        <v>2034</v>
      </c>
    </row>
    <row r="340" spans="8:11" x14ac:dyDescent="0.3">
      <c r="H340" s="74" t="s">
        <v>2041</v>
      </c>
      <c r="I340" s="74" t="s">
        <v>1188</v>
      </c>
      <c r="J340" s="74" t="s">
        <v>271</v>
      </c>
      <c r="K340" s="74" t="s">
        <v>2034</v>
      </c>
    </row>
    <row r="341" spans="8:11" x14ac:dyDescent="0.3">
      <c r="H341" s="74" t="s">
        <v>2042</v>
      </c>
      <c r="I341" s="74" t="s">
        <v>1354</v>
      </c>
      <c r="J341" s="74" t="s">
        <v>271</v>
      </c>
      <c r="K341" s="74" t="s">
        <v>2034</v>
      </c>
    </row>
    <row r="342" spans="8:11" x14ac:dyDescent="0.3">
      <c r="H342" s="74" t="s">
        <v>2043</v>
      </c>
      <c r="I342" s="74" t="s">
        <v>1351</v>
      </c>
      <c r="J342" s="74" t="s">
        <v>271</v>
      </c>
      <c r="K342" s="74" t="s">
        <v>2034</v>
      </c>
    </row>
    <row r="343" spans="8:11" x14ac:dyDescent="0.3">
      <c r="H343" s="74" t="s">
        <v>1497</v>
      </c>
      <c r="I343" s="74" t="s">
        <v>1163</v>
      </c>
      <c r="J343" s="74" t="s">
        <v>271</v>
      </c>
      <c r="K343" s="74" t="s">
        <v>2034</v>
      </c>
    </row>
    <row r="344" spans="8:11" x14ac:dyDescent="0.3">
      <c r="H344" s="74" t="s">
        <v>2044</v>
      </c>
      <c r="I344" s="74" t="s">
        <v>1258</v>
      </c>
      <c r="J344" s="74" t="s">
        <v>271</v>
      </c>
      <c r="K344" s="74" t="s">
        <v>2034</v>
      </c>
    </row>
    <row r="345" spans="8:11" x14ac:dyDescent="0.3">
      <c r="H345" s="74" t="s">
        <v>2045</v>
      </c>
      <c r="I345" s="74" t="s">
        <v>1602</v>
      </c>
      <c r="J345" s="74" t="s">
        <v>271</v>
      </c>
      <c r="K345" s="74" t="s">
        <v>2034</v>
      </c>
    </row>
    <row r="346" spans="8:11" x14ac:dyDescent="0.3">
      <c r="H346" s="74" t="s">
        <v>1468</v>
      </c>
      <c r="I346" s="74" t="s">
        <v>1355</v>
      </c>
      <c r="J346" s="74" t="s">
        <v>271</v>
      </c>
      <c r="K346" s="74" t="s">
        <v>2034</v>
      </c>
    </row>
    <row r="347" spans="8:11" x14ac:dyDescent="0.3">
      <c r="H347" s="74" t="s">
        <v>2046</v>
      </c>
      <c r="I347" s="74" t="s">
        <v>1314</v>
      </c>
      <c r="J347" s="74" t="s">
        <v>271</v>
      </c>
      <c r="K347" s="74" t="s">
        <v>2047</v>
      </c>
    </row>
    <row r="348" spans="8:11" x14ac:dyDescent="0.3">
      <c r="H348" s="74" t="s">
        <v>2048</v>
      </c>
      <c r="I348" s="74" t="s">
        <v>1054</v>
      </c>
      <c r="J348" s="74" t="s">
        <v>271</v>
      </c>
      <c r="K348" s="74" t="s">
        <v>2047</v>
      </c>
    </row>
    <row r="349" spans="8:11" x14ac:dyDescent="0.3">
      <c r="H349" s="74" t="s">
        <v>2049</v>
      </c>
      <c r="I349" s="74" t="s">
        <v>1591</v>
      </c>
      <c r="J349" s="74" t="s">
        <v>271</v>
      </c>
      <c r="K349" s="74" t="s">
        <v>2050</v>
      </c>
    </row>
    <row r="350" spans="8:11" x14ac:dyDescent="0.3">
      <c r="H350" s="74" t="s">
        <v>2051</v>
      </c>
      <c r="I350" s="74" t="s">
        <v>2052</v>
      </c>
      <c r="J350" s="74" t="s">
        <v>271</v>
      </c>
      <c r="K350" s="74" t="s">
        <v>2050</v>
      </c>
    </row>
    <row r="351" spans="8:11" x14ac:dyDescent="0.3">
      <c r="H351" s="74" t="s">
        <v>2053</v>
      </c>
      <c r="I351" s="74" t="s">
        <v>1639</v>
      </c>
      <c r="J351" s="74" t="s">
        <v>271</v>
      </c>
      <c r="K351" s="74" t="s">
        <v>2050</v>
      </c>
    </row>
    <row r="352" spans="8:11" x14ac:dyDescent="0.3">
      <c r="H352" s="74" t="s">
        <v>2054</v>
      </c>
      <c r="I352" s="74" t="s">
        <v>1001</v>
      </c>
      <c r="J352" s="74" t="s">
        <v>271</v>
      </c>
      <c r="K352" s="74" t="s">
        <v>2050</v>
      </c>
    </row>
    <row r="353" spans="8:11" x14ac:dyDescent="0.3">
      <c r="H353" s="74" t="s">
        <v>2055</v>
      </c>
      <c r="I353" s="74" t="s">
        <v>1373</v>
      </c>
      <c r="J353" s="74" t="s">
        <v>271</v>
      </c>
      <c r="K353" s="74" t="s">
        <v>2050</v>
      </c>
    </row>
    <row r="354" spans="8:11" x14ac:dyDescent="0.3">
      <c r="H354" s="74" t="s">
        <v>2056</v>
      </c>
      <c r="I354" s="74" t="s">
        <v>1367</v>
      </c>
      <c r="J354" s="74" t="s">
        <v>271</v>
      </c>
      <c r="K354" s="74" t="s">
        <v>2050</v>
      </c>
    </row>
    <row r="355" spans="8:11" x14ac:dyDescent="0.3">
      <c r="H355" s="74" t="s">
        <v>2057</v>
      </c>
      <c r="I355" s="74" t="s">
        <v>1580</v>
      </c>
      <c r="J355" s="74" t="s">
        <v>271</v>
      </c>
      <c r="K355" s="74" t="s">
        <v>2050</v>
      </c>
    </row>
    <row r="356" spans="8:11" x14ac:dyDescent="0.3">
      <c r="H356" s="74" t="s">
        <v>1675</v>
      </c>
      <c r="I356" s="74" t="s">
        <v>1307</v>
      </c>
      <c r="J356" s="74" t="s">
        <v>271</v>
      </c>
      <c r="K356" s="74" t="s">
        <v>2058</v>
      </c>
    </row>
    <row r="357" spans="8:11" x14ac:dyDescent="0.3">
      <c r="H357" s="74" t="s">
        <v>2059</v>
      </c>
      <c r="I357" s="74" t="s">
        <v>1418</v>
      </c>
      <c r="J357" s="74" t="s">
        <v>271</v>
      </c>
      <c r="K357" s="74" t="s">
        <v>2058</v>
      </c>
    </row>
    <row r="358" spans="8:11" x14ac:dyDescent="0.3">
      <c r="H358" s="74" t="s">
        <v>2060</v>
      </c>
      <c r="I358" s="74" t="s">
        <v>1022</v>
      </c>
      <c r="J358" s="74" t="s">
        <v>271</v>
      </c>
      <c r="K358" s="74" t="s">
        <v>2058</v>
      </c>
    </row>
    <row r="359" spans="8:11" x14ac:dyDescent="0.3">
      <c r="H359" s="74" t="s">
        <v>2061</v>
      </c>
      <c r="I359" s="74" t="s">
        <v>1353</v>
      </c>
      <c r="J359" s="74" t="s">
        <v>271</v>
      </c>
      <c r="K359" s="74" t="s">
        <v>2058</v>
      </c>
    </row>
    <row r="360" spans="8:11" x14ac:dyDescent="0.3">
      <c r="H360" s="74" t="s">
        <v>2062</v>
      </c>
      <c r="I360" s="74" t="s">
        <v>1513</v>
      </c>
      <c r="J360" s="74" t="s">
        <v>271</v>
      </c>
      <c r="K360" s="74" t="s">
        <v>2058</v>
      </c>
    </row>
    <row r="361" spans="8:11" x14ac:dyDescent="0.3">
      <c r="H361" s="74" t="s">
        <v>2063</v>
      </c>
      <c r="I361" s="74" t="s">
        <v>1515</v>
      </c>
      <c r="J361" s="74" t="s">
        <v>271</v>
      </c>
      <c r="K361" s="74" t="s">
        <v>2058</v>
      </c>
    </row>
    <row r="362" spans="8:11" x14ac:dyDescent="0.3">
      <c r="H362" s="74" t="s">
        <v>2064</v>
      </c>
      <c r="I362" s="74" t="s">
        <v>1062</v>
      </c>
      <c r="J362" s="74" t="s">
        <v>271</v>
      </c>
      <c r="K362" s="74" t="s">
        <v>2058</v>
      </c>
    </row>
    <row r="363" spans="8:11" x14ac:dyDescent="0.3">
      <c r="H363" s="74" t="s">
        <v>1701</v>
      </c>
      <c r="I363" s="74" t="s">
        <v>1248</v>
      </c>
      <c r="J363" s="74" t="s">
        <v>271</v>
      </c>
      <c r="K363" s="74" t="s">
        <v>2058</v>
      </c>
    </row>
    <row r="364" spans="8:11" x14ac:dyDescent="0.3">
      <c r="H364" s="74" t="s">
        <v>1682</v>
      </c>
      <c r="I364" s="74" t="s">
        <v>1052</v>
      </c>
      <c r="J364" s="74" t="s">
        <v>271</v>
      </c>
      <c r="K364" s="74" t="s">
        <v>2065</v>
      </c>
    </row>
    <row r="365" spans="8:11" x14ac:dyDescent="0.3">
      <c r="H365" s="74" t="s">
        <v>2066</v>
      </c>
      <c r="I365" s="74" t="s">
        <v>1641</v>
      </c>
      <c r="J365" s="74" t="s">
        <v>271</v>
      </c>
      <c r="K365" s="74" t="s">
        <v>2067</v>
      </c>
    </row>
    <row r="366" spans="8:11" x14ac:dyDescent="0.3">
      <c r="H366" s="74" t="s">
        <v>2068</v>
      </c>
      <c r="I366" s="74" t="s">
        <v>2069</v>
      </c>
      <c r="J366" s="74" t="s">
        <v>271</v>
      </c>
      <c r="K366" s="74" t="s">
        <v>2067</v>
      </c>
    </row>
    <row r="367" spans="8:11" x14ac:dyDescent="0.3">
      <c r="H367" s="74" t="s">
        <v>2070</v>
      </c>
      <c r="I367" s="74" t="s">
        <v>1377</v>
      </c>
      <c r="J367" s="74" t="s">
        <v>271</v>
      </c>
      <c r="K367" s="74" t="s">
        <v>2067</v>
      </c>
    </row>
    <row r="368" spans="8:11" x14ac:dyDescent="0.3">
      <c r="H368" s="74" t="s">
        <v>2071</v>
      </c>
      <c r="I368" s="74" t="s">
        <v>1699</v>
      </c>
      <c r="J368" s="74" t="s">
        <v>271</v>
      </c>
      <c r="K368" s="74" t="s">
        <v>2067</v>
      </c>
    </row>
    <row r="369" spans="8:11" x14ac:dyDescent="0.3">
      <c r="H369" s="74" t="s">
        <v>2072</v>
      </c>
      <c r="I369" s="74" t="s">
        <v>1498</v>
      </c>
      <c r="J369" s="74" t="s">
        <v>271</v>
      </c>
      <c r="K369" s="74" t="s">
        <v>2067</v>
      </c>
    </row>
    <row r="370" spans="8:11" x14ac:dyDescent="0.3">
      <c r="H370" s="74" t="s">
        <v>2073</v>
      </c>
      <c r="I370" s="74" t="s">
        <v>1620</v>
      </c>
      <c r="J370" s="74" t="s">
        <v>271</v>
      </c>
      <c r="K370" s="74" t="s">
        <v>2067</v>
      </c>
    </row>
    <row r="371" spans="8:11" x14ac:dyDescent="0.3">
      <c r="H371" s="74" t="s">
        <v>2074</v>
      </c>
      <c r="I371" s="74" t="s">
        <v>1003</v>
      </c>
      <c r="J371" s="74" t="s">
        <v>271</v>
      </c>
      <c r="K371" s="74" t="s">
        <v>2067</v>
      </c>
    </row>
    <row r="372" spans="8:11" x14ac:dyDescent="0.3">
      <c r="H372" s="74" t="s">
        <v>2075</v>
      </c>
      <c r="I372" s="74" t="s">
        <v>1416</v>
      </c>
      <c r="J372" s="74" t="s">
        <v>271</v>
      </c>
      <c r="K372" s="74" t="s">
        <v>2076</v>
      </c>
    </row>
    <row r="373" spans="8:11" x14ac:dyDescent="0.3">
      <c r="H373" s="74" t="s">
        <v>2077</v>
      </c>
      <c r="I373" s="74" t="s">
        <v>1398</v>
      </c>
      <c r="J373" s="74" t="s">
        <v>271</v>
      </c>
      <c r="K373" s="74" t="s">
        <v>2076</v>
      </c>
    </row>
    <row r="374" spans="8:11" x14ac:dyDescent="0.3">
      <c r="H374" s="74" t="s">
        <v>2078</v>
      </c>
      <c r="I374" s="74" t="s">
        <v>1077</v>
      </c>
      <c r="J374" s="74" t="s">
        <v>271</v>
      </c>
      <c r="K374" s="74" t="s">
        <v>2076</v>
      </c>
    </row>
    <row r="375" spans="8:11" x14ac:dyDescent="0.3">
      <c r="H375" s="74" t="s">
        <v>2079</v>
      </c>
      <c r="I375" s="74" t="s">
        <v>1730</v>
      </c>
      <c r="J375" s="74" t="s">
        <v>271</v>
      </c>
      <c r="K375" s="74" t="s">
        <v>2076</v>
      </c>
    </row>
    <row r="376" spans="8:11" x14ac:dyDescent="0.3">
      <c r="H376" s="74" t="s">
        <v>2080</v>
      </c>
      <c r="I376" s="74" t="s">
        <v>1400</v>
      </c>
      <c r="J376" s="74" t="s">
        <v>271</v>
      </c>
      <c r="K376" s="74" t="s">
        <v>2076</v>
      </c>
    </row>
    <row r="377" spans="8:11" x14ac:dyDescent="0.3">
      <c r="H377" s="74" t="s">
        <v>2081</v>
      </c>
      <c r="I377" s="74" t="s">
        <v>1059</v>
      </c>
      <c r="J377" s="74" t="s">
        <v>271</v>
      </c>
      <c r="K377" s="74" t="s">
        <v>2076</v>
      </c>
    </row>
    <row r="378" spans="8:11" x14ac:dyDescent="0.3">
      <c r="H378" s="74" t="s">
        <v>1456</v>
      </c>
      <c r="I378" s="74" t="s">
        <v>1299</v>
      </c>
      <c r="J378" s="74" t="s">
        <v>271</v>
      </c>
      <c r="K378" s="74" t="s">
        <v>2076</v>
      </c>
    </row>
    <row r="379" spans="8:11" x14ac:dyDescent="0.3">
      <c r="H379" s="74" t="s">
        <v>1444</v>
      </c>
      <c r="I379" s="74" t="s">
        <v>1712</v>
      </c>
      <c r="J379" s="74" t="s">
        <v>271</v>
      </c>
      <c r="K379" s="74" t="s">
        <v>2076</v>
      </c>
    </row>
    <row r="380" spans="8:11" x14ac:dyDescent="0.3">
      <c r="H380" s="74" t="s">
        <v>1666</v>
      </c>
      <c r="I380" s="74" t="s">
        <v>1425</v>
      </c>
      <c r="J380" s="74" t="s">
        <v>271</v>
      </c>
      <c r="K380" s="74" t="s">
        <v>2082</v>
      </c>
    </row>
    <row r="381" spans="8:11" x14ac:dyDescent="0.3">
      <c r="H381" s="74" t="s">
        <v>1570</v>
      </c>
      <c r="I381" s="74" t="s">
        <v>1463</v>
      </c>
      <c r="J381" s="74" t="s">
        <v>271</v>
      </c>
      <c r="K381" s="74" t="s">
        <v>2082</v>
      </c>
    </row>
    <row r="382" spans="8:11" x14ac:dyDescent="0.3">
      <c r="H382" s="74" t="s">
        <v>2083</v>
      </c>
      <c r="I382" s="74" t="s">
        <v>1726</v>
      </c>
      <c r="J382" s="74" t="s">
        <v>271</v>
      </c>
      <c r="K382" s="74" t="s">
        <v>2082</v>
      </c>
    </row>
    <row r="383" spans="8:11" x14ac:dyDescent="0.3">
      <c r="H383" s="74" t="s">
        <v>2084</v>
      </c>
      <c r="I383" s="74" t="s">
        <v>1516</v>
      </c>
      <c r="J383" s="74" t="s">
        <v>271</v>
      </c>
      <c r="K383" s="74" t="s">
        <v>2082</v>
      </c>
    </row>
    <row r="384" spans="8:11" x14ac:dyDescent="0.3">
      <c r="H384" s="74" t="s">
        <v>1662</v>
      </c>
      <c r="I384" s="74" t="s">
        <v>1128</v>
      </c>
      <c r="J384" s="74" t="s">
        <v>271</v>
      </c>
      <c r="K384" s="74" t="s">
        <v>2082</v>
      </c>
    </row>
    <row r="385" spans="8:11" x14ac:dyDescent="0.3">
      <c r="H385" s="74" t="s">
        <v>1230</v>
      </c>
      <c r="I385" s="74" t="s">
        <v>1312</v>
      </c>
      <c r="J385" s="74" t="s">
        <v>271</v>
      </c>
      <c r="K385" s="74" t="s">
        <v>2082</v>
      </c>
    </row>
    <row r="386" spans="8:11" x14ac:dyDescent="0.3">
      <c r="H386" s="74" t="s">
        <v>2085</v>
      </c>
      <c r="I386" s="74" t="s">
        <v>1360</v>
      </c>
      <c r="J386" s="74" t="s">
        <v>271</v>
      </c>
      <c r="K386" s="74" t="s">
        <v>2086</v>
      </c>
    </row>
    <row r="387" spans="8:11" x14ac:dyDescent="0.3">
      <c r="H387" s="74" t="s">
        <v>1631</v>
      </c>
      <c r="I387" s="74" t="s">
        <v>1343</v>
      </c>
      <c r="J387" s="74" t="s">
        <v>271</v>
      </c>
      <c r="K387" s="74" t="s">
        <v>2087</v>
      </c>
    </row>
    <row r="388" spans="8:11" x14ac:dyDescent="0.3">
      <c r="H388" s="74" t="s">
        <v>1539</v>
      </c>
      <c r="I388" s="74" t="s">
        <v>1718</v>
      </c>
      <c r="J388" s="74" t="s">
        <v>271</v>
      </c>
      <c r="K388" s="74" t="s">
        <v>2087</v>
      </c>
    </row>
    <row r="389" spans="8:11" x14ac:dyDescent="0.3">
      <c r="H389" s="74" t="s">
        <v>1583</v>
      </c>
      <c r="I389" s="74" t="s">
        <v>549</v>
      </c>
      <c r="J389" s="74" t="s">
        <v>271</v>
      </c>
      <c r="K389" s="74" t="s">
        <v>2087</v>
      </c>
    </row>
    <row r="390" spans="8:11" x14ac:dyDescent="0.3">
      <c r="H390" s="74" t="s">
        <v>1491</v>
      </c>
      <c r="I390" s="74" t="s">
        <v>1193</v>
      </c>
      <c r="J390" s="74" t="s">
        <v>271</v>
      </c>
      <c r="K390" s="74" t="s">
        <v>2087</v>
      </c>
    </row>
    <row r="391" spans="8:11" x14ac:dyDescent="0.3">
      <c r="H391" s="74" t="s">
        <v>1462</v>
      </c>
      <c r="I391" s="74" t="s">
        <v>1589</v>
      </c>
      <c r="J391" s="74" t="s">
        <v>271</v>
      </c>
      <c r="K391" s="74" t="s">
        <v>2087</v>
      </c>
    </row>
    <row r="392" spans="8:11" x14ac:dyDescent="0.3">
      <c r="H392" s="74" t="s">
        <v>1278</v>
      </c>
      <c r="I392" s="74" t="s">
        <v>1340</v>
      </c>
      <c r="J392" s="74" t="s">
        <v>271</v>
      </c>
      <c r="K392" s="74" t="s">
        <v>2087</v>
      </c>
    </row>
    <row r="393" spans="8:11" x14ac:dyDescent="0.3">
      <c r="H393" s="74" t="s">
        <v>501</v>
      </c>
      <c r="I393" s="74" t="s">
        <v>1549</v>
      </c>
      <c r="J393" s="74" t="s">
        <v>271</v>
      </c>
      <c r="K393" s="74" t="s">
        <v>2087</v>
      </c>
    </row>
    <row r="394" spans="8:11" x14ac:dyDescent="0.3">
      <c r="H394" s="74" t="s">
        <v>1614</v>
      </c>
      <c r="I394" s="74" t="s">
        <v>1150</v>
      </c>
      <c r="J394" s="74" t="s">
        <v>271</v>
      </c>
      <c r="K394" s="74" t="s">
        <v>2088</v>
      </c>
    </row>
    <row r="395" spans="8:11" x14ac:dyDescent="0.3">
      <c r="H395" s="74" t="s">
        <v>2089</v>
      </c>
      <c r="I395" s="74" t="s">
        <v>1282</v>
      </c>
      <c r="J395" s="74" t="s">
        <v>271</v>
      </c>
      <c r="K395" s="74" t="s">
        <v>2090</v>
      </c>
    </row>
    <row r="396" spans="8:11" x14ac:dyDescent="0.3">
      <c r="H396" s="74" t="s">
        <v>1648</v>
      </c>
      <c r="I396" s="74" t="s">
        <v>1374</v>
      </c>
      <c r="J396" s="74" t="s">
        <v>271</v>
      </c>
      <c r="K396" s="74" t="s">
        <v>2090</v>
      </c>
    </row>
    <row r="397" spans="8:11" x14ac:dyDescent="0.3">
      <c r="H397" s="74" t="s">
        <v>2091</v>
      </c>
      <c r="I397" s="74" t="s">
        <v>1038</v>
      </c>
      <c r="J397" s="74" t="s">
        <v>271</v>
      </c>
      <c r="K397" s="74" t="s">
        <v>2092</v>
      </c>
    </row>
    <row r="398" spans="8:11" x14ac:dyDescent="0.3">
      <c r="H398" s="74" t="s">
        <v>2093</v>
      </c>
      <c r="I398" s="74" t="s">
        <v>1729</v>
      </c>
      <c r="J398" s="74" t="s">
        <v>271</v>
      </c>
      <c r="K398" s="74" t="s">
        <v>2092</v>
      </c>
    </row>
    <row r="399" spans="8:11" x14ac:dyDescent="0.3">
      <c r="H399" s="74" t="s">
        <v>2094</v>
      </c>
      <c r="I399" s="74" t="s">
        <v>1015</v>
      </c>
      <c r="J399" s="74" t="s">
        <v>271</v>
      </c>
      <c r="K399" s="74" t="s">
        <v>2092</v>
      </c>
    </row>
    <row r="400" spans="8:11" x14ac:dyDescent="0.3">
      <c r="H400" s="74" t="s">
        <v>1645</v>
      </c>
      <c r="I400" s="74" t="s">
        <v>1507</v>
      </c>
      <c r="J400" s="74" t="s">
        <v>271</v>
      </c>
      <c r="K400" s="74" t="s">
        <v>2092</v>
      </c>
    </row>
    <row r="401" spans="8:11" x14ac:dyDescent="0.3">
      <c r="H401" s="74" t="s">
        <v>1642</v>
      </c>
      <c r="I401" s="74" t="s">
        <v>987</v>
      </c>
      <c r="J401" s="74" t="s">
        <v>271</v>
      </c>
      <c r="K401" s="74" t="s">
        <v>2095</v>
      </c>
    </row>
    <row r="402" spans="8:11" x14ac:dyDescent="0.3">
      <c r="H402" s="74" t="s">
        <v>2096</v>
      </c>
      <c r="I402" s="74" t="s">
        <v>1016</v>
      </c>
      <c r="J402" s="74" t="s">
        <v>271</v>
      </c>
      <c r="K402" s="74" t="s">
        <v>2095</v>
      </c>
    </row>
    <row r="403" spans="8:11" x14ac:dyDescent="0.3">
      <c r="H403" s="74" t="s">
        <v>2097</v>
      </c>
      <c r="I403" s="74" t="s">
        <v>1295</v>
      </c>
      <c r="J403" s="74" t="s">
        <v>271</v>
      </c>
      <c r="K403" s="74" t="s">
        <v>2095</v>
      </c>
    </row>
    <row r="404" spans="8:11" x14ac:dyDescent="0.3">
      <c r="H404" s="74" t="s">
        <v>2098</v>
      </c>
      <c r="I404" s="74" t="s">
        <v>1244</v>
      </c>
      <c r="J404" s="74" t="s">
        <v>271</v>
      </c>
      <c r="K404" s="74" t="s">
        <v>2095</v>
      </c>
    </row>
    <row r="405" spans="8:11" x14ac:dyDescent="0.3">
      <c r="H405" s="74" t="s">
        <v>1623</v>
      </c>
      <c r="I405" s="74" t="s">
        <v>1485</v>
      </c>
      <c r="J405" s="74" t="s">
        <v>271</v>
      </c>
      <c r="K405" s="74" t="s">
        <v>2095</v>
      </c>
    </row>
    <row r="406" spans="8:11" x14ac:dyDescent="0.3">
      <c r="H406" s="74" t="s">
        <v>1744</v>
      </c>
      <c r="I406" s="74" t="s">
        <v>1213</v>
      </c>
      <c r="J406" s="74" t="s">
        <v>271</v>
      </c>
      <c r="K406" s="74" t="s">
        <v>2095</v>
      </c>
    </row>
    <row r="407" spans="8:11" x14ac:dyDescent="0.3">
      <c r="H407" s="74" t="s">
        <v>1629</v>
      </c>
      <c r="I407" s="74" t="s">
        <v>1302</v>
      </c>
      <c r="J407" s="74" t="s">
        <v>271</v>
      </c>
      <c r="K407" s="74" t="s">
        <v>2099</v>
      </c>
    </row>
    <row r="408" spans="8:11" x14ac:dyDescent="0.3">
      <c r="H408" s="74" t="s">
        <v>2100</v>
      </c>
      <c r="I408" s="74" t="s">
        <v>1083</v>
      </c>
      <c r="J408" s="74" t="s">
        <v>271</v>
      </c>
      <c r="K408" s="74" t="s">
        <v>2101</v>
      </c>
    </row>
    <row r="409" spans="8:11" x14ac:dyDescent="0.3">
      <c r="H409" s="74" t="s">
        <v>2102</v>
      </c>
      <c r="I409" s="74" t="s">
        <v>1095</v>
      </c>
      <c r="J409" s="74" t="s">
        <v>271</v>
      </c>
      <c r="K409" s="74" t="s">
        <v>2101</v>
      </c>
    </row>
    <row r="410" spans="8:11" x14ac:dyDescent="0.3">
      <c r="H410" s="74" t="s">
        <v>2103</v>
      </c>
      <c r="I410" s="74" t="s">
        <v>1362</v>
      </c>
      <c r="J410" s="74" t="s">
        <v>271</v>
      </c>
      <c r="K410" s="74" t="s">
        <v>2101</v>
      </c>
    </row>
    <row r="411" spans="8:11" x14ac:dyDescent="0.3">
      <c r="H411" s="74" t="s">
        <v>2104</v>
      </c>
      <c r="I411" s="74" t="s">
        <v>1500</v>
      </c>
      <c r="J411" s="74" t="s">
        <v>271</v>
      </c>
      <c r="K411" s="74" t="s">
        <v>2101</v>
      </c>
    </row>
    <row r="412" spans="8:11" x14ac:dyDescent="0.3">
      <c r="H412" s="74" t="s">
        <v>2105</v>
      </c>
      <c r="I412" s="74" t="s">
        <v>2106</v>
      </c>
      <c r="J412" s="74" t="s">
        <v>271</v>
      </c>
      <c r="K412" s="74" t="s">
        <v>2101</v>
      </c>
    </row>
    <row r="413" spans="8:11" x14ac:dyDescent="0.3">
      <c r="H413" s="74" t="s">
        <v>1404</v>
      </c>
      <c r="I413" s="74" t="s">
        <v>1330</v>
      </c>
      <c r="J413" s="74" t="s">
        <v>271</v>
      </c>
      <c r="K413" s="74" t="s">
        <v>2101</v>
      </c>
    </row>
    <row r="414" spans="8:11" x14ac:dyDescent="0.3">
      <c r="H414" s="74" t="s">
        <v>2107</v>
      </c>
      <c r="I414" s="74" t="s">
        <v>2108</v>
      </c>
      <c r="J414" s="74" t="s">
        <v>271</v>
      </c>
      <c r="K414" s="74" t="s">
        <v>2109</v>
      </c>
    </row>
    <row r="415" spans="8:11" x14ac:dyDescent="0.3">
      <c r="H415" s="74" t="s">
        <v>2110</v>
      </c>
      <c r="I415" s="74" t="s">
        <v>1461</v>
      </c>
      <c r="J415" s="74" t="s">
        <v>271</v>
      </c>
      <c r="K415" s="74" t="s">
        <v>2109</v>
      </c>
    </row>
    <row r="416" spans="8:11" x14ac:dyDescent="0.3">
      <c r="H416" s="74" t="s">
        <v>2111</v>
      </c>
      <c r="I416" s="74" t="s">
        <v>1187</v>
      </c>
      <c r="J416" s="74" t="s">
        <v>271</v>
      </c>
      <c r="K416" s="74" t="s">
        <v>2109</v>
      </c>
    </row>
    <row r="417" spans="8:11" x14ac:dyDescent="0.3">
      <c r="H417" s="74" t="s">
        <v>2112</v>
      </c>
      <c r="I417" s="74" t="s">
        <v>1178</v>
      </c>
      <c r="J417" s="74" t="s">
        <v>271</v>
      </c>
      <c r="K417" s="74" t="s">
        <v>2109</v>
      </c>
    </row>
    <row r="418" spans="8:11" x14ac:dyDescent="0.3">
      <c r="H418" s="74" t="s">
        <v>2113</v>
      </c>
      <c r="I418" s="74" t="s">
        <v>1719</v>
      </c>
      <c r="J418" s="74" t="s">
        <v>271</v>
      </c>
      <c r="K418" s="74" t="s">
        <v>2109</v>
      </c>
    </row>
    <row r="419" spans="8:11" x14ac:dyDescent="0.3">
      <c r="H419" s="74" t="s">
        <v>2114</v>
      </c>
      <c r="I419" s="74" t="s">
        <v>1243</v>
      </c>
      <c r="J419" s="74" t="s">
        <v>271</v>
      </c>
      <c r="K419" s="74" t="s">
        <v>2109</v>
      </c>
    </row>
    <row r="420" spans="8:11" x14ac:dyDescent="0.3">
      <c r="H420" s="74" t="s">
        <v>1722</v>
      </c>
      <c r="I420" s="74" t="s">
        <v>2115</v>
      </c>
      <c r="J420" s="74" t="s">
        <v>271</v>
      </c>
      <c r="K420" s="74" t="s">
        <v>2109</v>
      </c>
    </row>
    <row r="421" spans="8:11" x14ac:dyDescent="0.3">
      <c r="H421" s="74" t="s">
        <v>2116</v>
      </c>
      <c r="I421" s="74" t="s">
        <v>2117</v>
      </c>
      <c r="J421" s="74" t="s">
        <v>271</v>
      </c>
      <c r="K421" s="74" t="s">
        <v>2118</v>
      </c>
    </row>
    <row r="422" spans="8:11" x14ac:dyDescent="0.3">
      <c r="H422" s="74" t="s">
        <v>2119</v>
      </c>
      <c r="I422" s="74" t="s">
        <v>1250</v>
      </c>
      <c r="J422" s="74" t="s">
        <v>271</v>
      </c>
      <c r="K422" s="74" t="s">
        <v>2118</v>
      </c>
    </row>
    <row r="423" spans="8:11" x14ac:dyDescent="0.3">
      <c r="H423" s="74" t="s">
        <v>2120</v>
      </c>
      <c r="I423" s="74" t="s">
        <v>1700</v>
      </c>
      <c r="J423" s="74" t="s">
        <v>271</v>
      </c>
      <c r="K423" s="74" t="s">
        <v>2118</v>
      </c>
    </row>
    <row r="424" spans="8:11" x14ac:dyDescent="0.3">
      <c r="H424" s="74" t="s">
        <v>1605</v>
      </c>
      <c r="I424" s="74" t="s">
        <v>992</v>
      </c>
      <c r="J424" s="74" t="s">
        <v>271</v>
      </c>
      <c r="K424" s="74" t="s">
        <v>2118</v>
      </c>
    </row>
    <row r="425" spans="8:11" x14ac:dyDescent="0.3">
      <c r="H425" s="74" t="s">
        <v>2121</v>
      </c>
      <c r="I425" s="74" t="s">
        <v>1519</v>
      </c>
      <c r="J425" s="74" t="s">
        <v>271</v>
      </c>
      <c r="K425" s="74" t="s">
        <v>2122</v>
      </c>
    </row>
    <row r="426" spans="8:11" x14ac:dyDescent="0.3">
      <c r="H426" s="74" t="s">
        <v>2123</v>
      </c>
      <c r="I426" s="74" t="s">
        <v>2124</v>
      </c>
      <c r="J426" s="74" t="s">
        <v>271</v>
      </c>
      <c r="K426" s="74" t="s">
        <v>2122</v>
      </c>
    </row>
    <row r="427" spans="8:11" x14ac:dyDescent="0.3">
      <c r="H427" s="74" t="s">
        <v>1478</v>
      </c>
      <c r="I427" s="74" t="s">
        <v>1540</v>
      </c>
      <c r="J427" s="74" t="s">
        <v>271</v>
      </c>
      <c r="K427" s="74" t="s">
        <v>2122</v>
      </c>
    </row>
    <row r="428" spans="8:11" x14ac:dyDescent="0.3">
      <c r="H428" s="74" t="s">
        <v>2125</v>
      </c>
      <c r="I428" s="74" t="s">
        <v>1450</v>
      </c>
      <c r="J428" s="74" t="s">
        <v>271</v>
      </c>
      <c r="K428" s="74" t="s">
        <v>2122</v>
      </c>
    </row>
    <row r="429" spans="8:11" x14ac:dyDescent="0.3">
      <c r="H429" s="74" t="s">
        <v>2126</v>
      </c>
      <c r="I429" s="74" t="s">
        <v>1344</v>
      </c>
      <c r="J429" s="74" t="s">
        <v>271</v>
      </c>
      <c r="K429" s="74" t="s">
        <v>2122</v>
      </c>
    </row>
    <row r="430" spans="8:11" x14ac:dyDescent="0.3">
      <c r="H430" s="74" t="s">
        <v>1431</v>
      </c>
      <c r="I430" s="74" t="s">
        <v>1349</v>
      </c>
      <c r="J430" s="74" t="s">
        <v>271</v>
      </c>
      <c r="K430" s="74" t="s">
        <v>2122</v>
      </c>
    </row>
    <row r="431" spans="8:11" x14ac:dyDescent="0.3">
      <c r="H431" s="74" t="s">
        <v>2127</v>
      </c>
      <c r="I431" s="74" t="s">
        <v>1524</v>
      </c>
      <c r="J431" s="74" t="s">
        <v>271</v>
      </c>
      <c r="K431" s="74" t="s">
        <v>2128</v>
      </c>
    </row>
    <row r="432" spans="8:11" x14ac:dyDescent="0.3">
      <c r="H432" s="74" t="s">
        <v>2129</v>
      </c>
      <c r="I432" s="74" t="s">
        <v>1503</v>
      </c>
      <c r="J432" s="74" t="s">
        <v>271</v>
      </c>
      <c r="K432" s="74" t="s">
        <v>2128</v>
      </c>
    </row>
    <row r="433" spans="8:11" x14ac:dyDescent="0.3">
      <c r="H433" s="74" t="s">
        <v>2130</v>
      </c>
      <c r="I433" s="74" t="s">
        <v>1717</v>
      </c>
      <c r="J433" s="74" t="s">
        <v>271</v>
      </c>
      <c r="K433" s="74" t="s">
        <v>2128</v>
      </c>
    </row>
    <row r="434" spans="8:11" x14ac:dyDescent="0.3">
      <c r="H434" s="74" t="s">
        <v>2131</v>
      </c>
      <c r="I434" s="74" t="s">
        <v>1741</v>
      </c>
      <c r="J434" s="74" t="s">
        <v>271</v>
      </c>
      <c r="K434" s="74" t="s">
        <v>2128</v>
      </c>
    </row>
    <row r="435" spans="8:11" x14ac:dyDescent="0.3">
      <c r="H435" s="74" t="s">
        <v>2132</v>
      </c>
      <c r="I435" s="74" t="s">
        <v>2133</v>
      </c>
      <c r="J435" s="74" t="s">
        <v>271</v>
      </c>
      <c r="K435" s="74" t="s">
        <v>2128</v>
      </c>
    </row>
    <row r="436" spans="8:11" x14ac:dyDescent="0.3">
      <c r="H436" s="74" t="s">
        <v>2134</v>
      </c>
      <c r="I436" s="74" t="s">
        <v>1550</v>
      </c>
      <c r="J436" s="74" t="s">
        <v>271</v>
      </c>
      <c r="K436" s="74" t="s">
        <v>2128</v>
      </c>
    </row>
    <row r="437" spans="8:11" x14ac:dyDescent="0.3">
      <c r="H437" s="74" t="s">
        <v>2135</v>
      </c>
      <c r="I437" s="74" t="s">
        <v>1055</v>
      </c>
      <c r="J437" s="74" t="s">
        <v>271</v>
      </c>
      <c r="K437" s="74" t="s">
        <v>2136</v>
      </c>
    </row>
    <row r="438" spans="8:11" x14ac:dyDescent="0.3">
      <c r="H438" s="74" t="s">
        <v>2137</v>
      </c>
      <c r="I438" s="74" t="s">
        <v>2138</v>
      </c>
      <c r="J438" s="74" t="s">
        <v>271</v>
      </c>
      <c r="K438" s="74" t="s">
        <v>2136</v>
      </c>
    </row>
    <row r="439" spans="8:11" x14ac:dyDescent="0.3">
      <c r="H439" s="74" t="s">
        <v>2139</v>
      </c>
      <c r="I439" s="74" t="s">
        <v>1108</v>
      </c>
      <c r="J439" s="74" t="s">
        <v>271</v>
      </c>
      <c r="K439" s="74" t="s">
        <v>2136</v>
      </c>
    </row>
    <row r="440" spans="8:11" x14ac:dyDescent="0.3">
      <c r="H440" s="74" t="s">
        <v>1681</v>
      </c>
      <c r="I440" s="74" t="s">
        <v>1408</v>
      </c>
      <c r="J440" s="74" t="s">
        <v>271</v>
      </c>
      <c r="K440" s="74" t="s">
        <v>2136</v>
      </c>
    </row>
    <row r="441" spans="8:11" x14ac:dyDescent="0.3">
      <c r="H441" s="74" t="s">
        <v>2140</v>
      </c>
      <c r="I441" s="74" t="s">
        <v>1074</v>
      </c>
      <c r="J441" s="74" t="s">
        <v>271</v>
      </c>
      <c r="K441" s="74" t="s">
        <v>2136</v>
      </c>
    </row>
    <row r="442" spans="8:11" x14ac:dyDescent="0.3">
      <c r="H442" s="74" t="s">
        <v>1221</v>
      </c>
      <c r="I442" s="74" t="s">
        <v>1410</v>
      </c>
      <c r="J442" s="74" t="s">
        <v>271</v>
      </c>
      <c r="K442" s="74" t="s">
        <v>2136</v>
      </c>
    </row>
    <row r="443" spans="8:11" x14ac:dyDescent="0.3">
      <c r="H443" s="74" t="s">
        <v>2141</v>
      </c>
      <c r="I443" s="74" t="s">
        <v>1144</v>
      </c>
      <c r="J443" s="74" t="s">
        <v>271</v>
      </c>
      <c r="K443" s="74" t="s">
        <v>2142</v>
      </c>
    </row>
    <row r="444" spans="8:11" x14ac:dyDescent="0.3">
      <c r="H444" s="74" t="s">
        <v>2143</v>
      </c>
      <c r="I444" s="74" t="s">
        <v>1215</v>
      </c>
      <c r="J444" s="74" t="s">
        <v>271</v>
      </c>
      <c r="K444" s="74" t="s">
        <v>2142</v>
      </c>
    </row>
    <row r="445" spans="8:11" x14ac:dyDescent="0.3">
      <c r="H445" s="74" t="s">
        <v>2144</v>
      </c>
      <c r="I445" s="74" t="s">
        <v>1599</v>
      </c>
      <c r="J445" s="74" t="s">
        <v>271</v>
      </c>
      <c r="K445" s="74" t="s">
        <v>2142</v>
      </c>
    </row>
    <row r="446" spans="8:11" x14ac:dyDescent="0.3">
      <c r="H446" s="74" t="s">
        <v>2145</v>
      </c>
      <c r="I446" s="74" t="s">
        <v>1039</v>
      </c>
      <c r="J446" s="74" t="s">
        <v>271</v>
      </c>
      <c r="K446" s="74" t="s">
        <v>2142</v>
      </c>
    </row>
    <row r="447" spans="8:11" x14ac:dyDescent="0.3">
      <c r="H447" s="74" t="s">
        <v>2146</v>
      </c>
      <c r="I447" s="74" t="s">
        <v>1159</v>
      </c>
      <c r="J447" s="74" t="s">
        <v>271</v>
      </c>
      <c r="K447" s="74" t="s">
        <v>2142</v>
      </c>
    </row>
    <row r="448" spans="8:11" x14ac:dyDescent="0.3">
      <c r="H448" s="74" t="s">
        <v>2147</v>
      </c>
      <c r="I448" s="74" t="s">
        <v>1646</v>
      </c>
      <c r="J448" s="74" t="s">
        <v>271</v>
      </c>
      <c r="K448" s="74" t="s">
        <v>2142</v>
      </c>
    </row>
    <row r="449" spans="8:11" x14ac:dyDescent="0.3">
      <c r="H449" s="74" t="s">
        <v>2148</v>
      </c>
      <c r="I449" s="74" t="s">
        <v>1705</v>
      </c>
      <c r="J449" s="74" t="s">
        <v>271</v>
      </c>
      <c r="K449" s="74" t="s">
        <v>2142</v>
      </c>
    </row>
    <row r="450" spans="8:11" x14ac:dyDescent="0.3">
      <c r="H450" s="74" t="s">
        <v>2149</v>
      </c>
      <c r="I450" s="74" t="s">
        <v>1363</v>
      </c>
      <c r="J450" s="74" t="s">
        <v>271</v>
      </c>
      <c r="K450" s="74" t="s">
        <v>2142</v>
      </c>
    </row>
    <row r="451" spans="8:11" x14ac:dyDescent="0.3">
      <c r="H451" s="74" t="s">
        <v>2150</v>
      </c>
      <c r="I451" s="74" t="s">
        <v>1677</v>
      </c>
      <c r="J451" s="74" t="s">
        <v>271</v>
      </c>
      <c r="K451" s="74" t="s">
        <v>2151</v>
      </c>
    </row>
    <row r="452" spans="8:11" x14ac:dyDescent="0.3">
      <c r="H452" s="74" t="s">
        <v>1663</v>
      </c>
      <c r="I452" s="74" t="s">
        <v>1049</v>
      </c>
      <c r="J452" s="74" t="s">
        <v>271</v>
      </c>
      <c r="K452" s="74" t="s">
        <v>2152</v>
      </c>
    </row>
    <row r="453" spans="8:11" x14ac:dyDescent="0.3">
      <c r="H453" s="74" t="s">
        <v>2153</v>
      </c>
      <c r="I453" s="74" t="s">
        <v>1334</v>
      </c>
      <c r="J453" s="74" t="s">
        <v>271</v>
      </c>
      <c r="K453" s="74" t="s">
        <v>2152</v>
      </c>
    </row>
    <row r="454" spans="8:11" x14ac:dyDescent="0.3">
      <c r="H454" s="74" t="s">
        <v>1533</v>
      </c>
      <c r="I454" s="74" t="s">
        <v>1346</v>
      </c>
      <c r="J454" s="74" t="s">
        <v>271</v>
      </c>
      <c r="K454" s="74" t="s">
        <v>2152</v>
      </c>
    </row>
    <row r="455" spans="8:11" x14ac:dyDescent="0.3">
      <c r="H455" s="74" t="s">
        <v>1517</v>
      </c>
      <c r="I455" s="74" t="s">
        <v>2154</v>
      </c>
      <c r="J455" s="74" t="s">
        <v>271</v>
      </c>
      <c r="K455" s="74" t="s">
        <v>2152</v>
      </c>
    </row>
    <row r="456" spans="8:11" x14ac:dyDescent="0.3">
      <c r="H456" s="74" t="s">
        <v>2155</v>
      </c>
      <c r="I456" s="74" t="s">
        <v>1321</v>
      </c>
      <c r="J456" s="74" t="s">
        <v>271</v>
      </c>
      <c r="K456" s="74" t="s">
        <v>2152</v>
      </c>
    </row>
    <row r="457" spans="8:11" x14ac:dyDescent="0.3">
      <c r="H457" s="74" t="s">
        <v>1676</v>
      </c>
      <c r="I457" s="74" t="s">
        <v>1412</v>
      </c>
      <c r="J457" s="74" t="s">
        <v>271</v>
      </c>
      <c r="K457" s="74" t="s">
        <v>2152</v>
      </c>
    </row>
    <row r="458" spans="8:11" x14ac:dyDescent="0.3">
      <c r="H458" s="74" t="s">
        <v>2156</v>
      </c>
      <c r="I458" s="74" t="s">
        <v>1396</v>
      </c>
      <c r="J458" s="74" t="s">
        <v>271</v>
      </c>
      <c r="K458" s="74" t="s">
        <v>2152</v>
      </c>
    </row>
    <row r="459" spans="8:11" x14ac:dyDescent="0.3">
      <c r="H459" s="74" t="s">
        <v>1114</v>
      </c>
      <c r="I459" s="74" t="s">
        <v>1628</v>
      </c>
      <c r="J459" s="74" t="s">
        <v>271</v>
      </c>
      <c r="K459" s="74" t="s">
        <v>2152</v>
      </c>
    </row>
    <row r="460" spans="8:11" x14ac:dyDescent="0.3">
      <c r="H460" s="74" t="s">
        <v>451</v>
      </c>
      <c r="I460" s="74" t="s">
        <v>978</v>
      </c>
      <c r="J460" s="74" t="s">
        <v>271</v>
      </c>
      <c r="K460" s="74" t="s">
        <v>2157</v>
      </c>
    </row>
    <row r="461" spans="8:11" x14ac:dyDescent="0.3">
      <c r="H461" s="74" t="s">
        <v>1420</v>
      </c>
      <c r="I461" s="74" t="s">
        <v>1331</v>
      </c>
      <c r="J461" s="74" t="s">
        <v>271</v>
      </c>
      <c r="K461" s="74" t="s">
        <v>2157</v>
      </c>
    </row>
    <row r="462" spans="8:11" x14ac:dyDescent="0.3">
      <c r="H462" s="74" t="s">
        <v>1436</v>
      </c>
      <c r="I462" s="74" t="s">
        <v>2158</v>
      </c>
      <c r="J462" s="74" t="s">
        <v>271</v>
      </c>
      <c r="K462" s="74" t="s">
        <v>2157</v>
      </c>
    </row>
    <row r="463" spans="8:11" x14ac:dyDescent="0.3">
      <c r="H463" s="74" t="s">
        <v>1453</v>
      </c>
      <c r="I463" s="74" t="s">
        <v>1222</v>
      </c>
      <c r="J463" s="74" t="s">
        <v>271</v>
      </c>
      <c r="K463" s="74" t="s">
        <v>2157</v>
      </c>
    </row>
    <row r="464" spans="8:11" x14ac:dyDescent="0.3">
      <c r="H464" s="74" t="s">
        <v>1434</v>
      </c>
      <c r="I464" s="74" t="s">
        <v>1068</v>
      </c>
      <c r="J464" s="74" t="s">
        <v>271</v>
      </c>
      <c r="K464" s="74" t="s">
        <v>2157</v>
      </c>
    </row>
    <row r="465" spans="8:11" x14ac:dyDescent="0.3">
      <c r="H465" s="74" t="s">
        <v>1481</v>
      </c>
      <c r="I465" s="74" t="s">
        <v>2159</v>
      </c>
      <c r="J465" s="74" t="s">
        <v>271</v>
      </c>
      <c r="K465" s="74" t="s">
        <v>2157</v>
      </c>
    </row>
    <row r="466" spans="8:11" x14ac:dyDescent="0.3">
      <c r="H466" s="74" t="s">
        <v>579</v>
      </c>
      <c r="I466" s="74" t="s">
        <v>1403</v>
      </c>
      <c r="J466" s="74" t="s">
        <v>271</v>
      </c>
      <c r="K466" s="74" t="s">
        <v>2157</v>
      </c>
    </row>
    <row r="467" spans="8:11" x14ac:dyDescent="0.3">
      <c r="H467" s="74" t="s">
        <v>2160</v>
      </c>
      <c r="I467" s="74" t="s">
        <v>2161</v>
      </c>
      <c r="J467" s="74" t="s">
        <v>271</v>
      </c>
      <c r="K467" s="74" t="s">
        <v>2162</v>
      </c>
    </row>
    <row r="468" spans="8:11" x14ac:dyDescent="0.3">
      <c r="H468" s="74" t="s">
        <v>2163</v>
      </c>
      <c r="I468" s="74" t="s">
        <v>1263</v>
      </c>
      <c r="J468" s="74" t="s">
        <v>271</v>
      </c>
      <c r="K468" s="74" t="s">
        <v>2164</v>
      </c>
    </row>
    <row r="469" spans="8:11" x14ac:dyDescent="0.3">
      <c r="H469" s="74" t="s">
        <v>2165</v>
      </c>
      <c r="I469" s="74" t="s">
        <v>1359</v>
      </c>
      <c r="J469" s="74" t="s">
        <v>271</v>
      </c>
      <c r="K469" s="74" t="s">
        <v>2164</v>
      </c>
    </row>
    <row r="470" spans="8:11" x14ac:dyDescent="0.3">
      <c r="H470" s="74" t="s">
        <v>2166</v>
      </c>
      <c r="I470" s="74" t="s">
        <v>2167</v>
      </c>
      <c r="J470" s="74" t="s">
        <v>271</v>
      </c>
      <c r="K470" s="74" t="s">
        <v>2164</v>
      </c>
    </row>
    <row r="471" spans="8:11" x14ac:dyDescent="0.3">
      <c r="H471" s="74" t="s">
        <v>1506</v>
      </c>
      <c r="I471" s="74" t="s">
        <v>1142</v>
      </c>
      <c r="J471" s="74" t="s">
        <v>271</v>
      </c>
      <c r="K471" s="74" t="s">
        <v>2164</v>
      </c>
    </row>
    <row r="472" spans="8:11" x14ac:dyDescent="0.3">
      <c r="H472" s="74" t="s">
        <v>2168</v>
      </c>
      <c r="I472" s="74" t="s">
        <v>2169</v>
      </c>
      <c r="J472" s="74" t="s">
        <v>271</v>
      </c>
      <c r="K472" s="74" t="s">
        <v>2164</v>
      </c>
    </row>
    <row r="473" spans="8:11" x14ac:dyDescent="0.3">
      <c r="H473" s="74" t="s">
        <v>2170</v>
      </c>
      <c r="I473" s="74" t="s">
        <v>1164</v>
      </c>
      <c r="J473" s="74" t="s">
        <v>271</v>
      </c>
      <c r="K473" s="74" t="s">
        <v>2164</v>
      </c>
    </row>
    <row r="474" spans="8:11" x14ac:dyDescent="0.3">
      <c r="H474" s="74" t="s">
        <v>1323</v>
      </c>
      <c r="I474" s="74" t="s">
        <v>2171</v>
      </c>
      <c r="J474" s="74" t="s">
        <v>271</v>
      </c>
      <c r="K474" s="74" t="s">
        <v>2164</v>
      </c>
    </row>
    <row r="475" spans="8:11" x14ac:dyDescent="0.3">
      <c r="H475" s="74" t="s">
        <v>1694</v>
      </c>
      <c r="I475" s="74" t="s">
        <v>2172</v>
      </c>
      <c r="J475" s="74" t="s">
        <v>271</v>
      </c>
      <c r="K475" s="74" t="s">
        <v>2173</v>
      </c>
    </row>
    <row r="476" spans="8:11" x14ac:dyDescent="0.3">
      <c r="H476" s="74" t="s">
        <v>2174</v>
      </c>
      <c r="I476" s="74" t="s">
        <v>1406</v>
      </c>
      <c r="J476" s="74" t="s">
        <v>271</v>
      </c>
      <c r="K476" s="74" t="s">
        <v>2173</v>
      </c>
    </row>
    <row r="477" spans="8:11" x14ac:dyDescent="0.3">
      <c r="H477" s="74" t="s">
        <v>2175</v>
      </c>
      <c r="I477" s="74" t="s">
        <v>1087</v>
      </c>
      <c r="J477" s="74" t="s">
        <v>271</v>
      </c>
      <c r="K477" s="74" t="s">
        <v>2173</v>
      </c>
    </row>
    <row r="478" spans="8:11" x14ac:dyDescent="0.3">
      <c r="H478" s="74" t="s">
        <v>2176</v>
      </c>
      <c r="I478" s="74" t="s">
        <v>1612</v>
      </c>
      <c r="J478" s="74" t="s">
        <v>271</v>
      </c>
      <c r="K478" s="74" t="s">
        <v>2173</v>
      </c>
    </row>
    <row r="479" spans="8:11" x14ac:dyDescent="0.3">
      <c r="H479" s="74" t="s">
        <v>2177</v>
      </c>
      <c r="I479" s="74" t="s">
        <v>1472</v>
      </c>
      <c r="J479" s="74" t="s">
        <v>271</v>
      </c>
      <c r="K479" s="74" t="s">
        <v>2173</v>
      </c>
    </row>
    <row r="480" spans="8:11" x14ac:dyDescent="0.3">
      <c r="H480" s="74" t="s">
        <v>1552</v>
      </c>
      <c r="I480" s="74" t="s">
        <v>1483</v>
      </c>
      <c r="J480" s="74" t="s">
        <v>271</v>
      </c>
      <c r="K480" s="74" t="s">
        <v>2178</v>
      </c>
    </row>
    <row r="481" spans="8:11" x14ac:dyDescent="0.3">
      <c r="H481" s="74" t="s">
        <v>1532</v>
      </c>
      <c r="I481" s="74" t="s">
        <v>1319</v>
      </c>
      <c r="J481" s="74" t="s">
        <v>271</v>
      </c>
      <c r="K481" s="74" t="s">
        <v>2178</v>
      </c>
    </row>
    <row r="482" spans="8:11" x14ac:dyDescent="0.3">
      <c r="H482" s="74" t="s">
        <v>1659</v>
      </c>
      <c r="I482" s="74" t="s">
        <v>2179</v>
      </c>
      <c r="J482" s="74" t="s">
        <v>271</v>
      </c>
      <c r="K482" s="74" t="s">
        <v>2178</v>
      </c>
    </row>
    <row r="483" spans="8:11" x14ac:dyDescent="0.3">
      <c r="H483" s="74" t="s">
        <v>1490</v>
      </c>
      <c r="I483" s="74" t="s">
        <v>1475</v>
      </c>
      <c r="J483" s="74" t="s">
        <v>271</v>
      </c>
      <c r="K483" s="74" t="s">
        <v>2178</v>
      </c>
    </row>
    <row r="484" spans="8:11" x14ac:dyDescent="0.3">
      <c r="H484" s="74" t="s">
        <v>1501</v>
      </c>
      <c r="I484" s="74" t="s">
        <v>1531</v>
      </c>
      <c r="J484" s="74" t="s">
        <v>271</v>
      </c>
      <c r="K484" s="74" t="s">
        <v>2178</v>
      </c>
    </row>
    <row r="485" spans="8:11" x14ac:dyDescent="0.3">
      <c r="H485" s="74" t="s">
        <v>2180</v>
      </c>
      <c r="I485" s="74" t="s">
        <v>1609</v>
      </c>
      <c r="J485" s="74" t="s">
        <v>271</v>
      </c>
      <c r="K485" s="74" t="s">
        <v>2178</v>
      </c>
    </row>
    <row r="486" spans="8:11" x14ac:dyDescent="0.3">
      <c r="H486" s="74" t="s">
        <v>1409</v>
      </c>
      <c r="I486" s="74" t="s">
        <v>1313</v>
      </c>
      <c r="J486" s="74" t="s">
        <v>271</v>
      </c>
      <c r="K486" s="74" t="s">
        <v>2178</v>
      </c>
    </row>
    <row r="487" spans="8:11" x14ac:dyDescent="0.3">
      <c r="H487" s="74" t="s">
        <v>2181</v>
      </c>
      <c r="I487" s="74" t="s">
        <v>2182</v>
      </c>
      <c r="J487" s="74" t="s">
        <v>271</v>
      </c>
      <c r="K487" s="74" t="s">
        <v>2183</v>
      </c>
    </row>
    <row r="488" spans="8:11" x14ac:dyDescent="0.3">
      <c r="H488" s="74" t="s">
        <v>1574</v>
      </c>
      <c r="I488" s="74" t="s">
        <v>1183</v>
      </c>
      <c r="J488" s="74" t="s">
        <v>271</v>
      </c>
      <c r="K488" s="74" t="s">
        <v>2183</v>
      </c>
    </row>
    <row r="489" spans="8:11" x14ac:dyDescent="0.3">
      <c r="H489" s="74" t="s">
        <v>2184</v>
      </c>
      <c r="I489" s="74" t="s">
        <v>1291</v>
      </c>
      <c r="J489" s="74" t="s">
        <v>271</v>
      </c>
      <c r="K489" s="74" t="s">
        <v>2183</v>
      </c>
    </row>
    <row r="490" spans="8:11" x14ac:dyDescent="0.3">
      <c r="H490" s="74" t="s">
        <v>1508</v>
      </c>
      <c r="I490" s="74" t="s">
        <v>1598</v>
      </c>
      <c r="J490" s="74" t="s">
        <v>271</v>
      </c>
      <c r="K490" s="74" t="s">
        <v>2183</v>
      </c>
    </row>
    <row r="491" spans="8:11" x14ac:dyDescent="0.3">
      <c r="H491" s="74" t="s">
        <v>2185</v>
      </c>
      <c r="I491" s="74" t="s">
        <v>1687</v>
      </c>
      <c r="J491" s="74" t="s">
        <v>271</v>
      </c>
      <c r="K491" s="74" t="s">
        <v>2183</v>
      </c>
    </row>
    <row r="492" spans="8:11" x14ac:dyDescent="0.3">
      <c r="H492" s="74" t="s">
        <v>2186</v>
      </c>
      <c r="I492" s="74" t="s">
        <v>1466</v>
      </c>
      <c r="J492" s="74" t="s">
        <v>271</v>
      </c>
      <c r="K492" s="74" t="s">
        <v>2183</v>
      </c>
    </row>
    <row r="493" spans="8:11" x14ac:dyDescent="0.3">
      <c r="H493" s="74" t="s">
        <v>1112</v>
      </c>
      <c r="I493" s="74" t="s">
        <v>787</v>
      </c>
      <c r="J493" s="74" t="s">
        <v>271</v>
      </c>
      <c r="K493" s="74" t="s">
        <v>2183</v>
      </c>
    </row>
    <row r="494" spans="8:11" x14ac:dyDescent="0.3">
      <c r="H494" s="74" t="s">
        <v>1309</v>
      </c>
      <c r="I494" s="74" t="s">
        <v>1332</v>
      </c>
      <c r="J494" s="74" t="s">
        <v>271</v>
      </c>
      <c r="K494" s="74" t="s">
        <v>2183</v>
      </c>
    </row>
    <row r="495" spans="8:11" x14ac:dyDescent="0.3">
      <c r="H495" s="74" t="s">
        <v>2187</v>
      </c>
      <c r="I495" s="74" t="s">
        <v>1482</v>
      </c>
      <c r="J495" s="74" t="s">
        <v>271</v>
      </c>
      <c r="K495" s="74" t="s">
        <v>2188</v>
      </c>
    </row>
    <row r="496" spans="8:11" x14ac:dyDescent="0.3">
      <c r="H496" s="74" t="s">
        <v>2189</v>
      </c>
      <c r="I496" s="74" t="s">
        <v>1387</v>
      </c>
      <c r="J496" s="74" t="s">
        <v>271</v>
      </c>
      <c r="K496" s="74" t="s">
        <v>2188</v>
      </c>
    </row>
    <row r="497" spans="8:11" x14ac:dyDescent="0.3">
      <c r="H497" s="74" t="s">
        <v>2190</v>
      </c>
      <c r="I497" s="74" t="s">
        <v>1277</v>
      </c>
      <c r="J497" s="74" t="s">
        <v>271</v>
      </c>
      <c r="K497" s="74" t="s">
        <v>2188</v>
      </c>
    </row>
    <row r="498" spans="8:11" x14ac:dyDescent="0.3">
      <c r="H498" s="74" t="s">
        <v>2191</v>
      </c>
      <c r="I498" s="74" t="s">
        <v>2192</v>
      </c>
      <c r="J498" s="74" t="s">
        <v>271</v>
      </c>
      <c r="K498" s="74" t="s">
        <v>2188</v>
      </c>
    </row>
    <row r="499" spans="8:11" x14ac:dyDescent="0.3">
      <c r="H499" s="74" t="s">
        <v>1630</v>
      </c>
      <c r="I499" s="74" t="s">
        <v>2193</v>
      </c>
      <c r="J499" s="74" t="s">
        <v>271</v>
      </c>
      <c r="K499" s="74" t="s">
        <v>2188</v>
      </c>
    </row>
    <row r="500" spans="8:11" x14ac:dyDescent="0.3">
      <c r="H500" s="74" t="s">
        <v>2194</v>
      </c>
      <c r="I500" s="74" t="s">
        <v>1231</v>
      </c>
      <c r="J500" s="74" t="s">
        <v>271</v>
      </c>
      <c r="K500" s="74" t="s">
        <v>2188</v>
      </c>
    </row>
    <row r="501" spans="8:11" x14ac:dyDescent="0.3">
      <c r="H501" s="74" t="s">
        <v>2195</v>
      </c>
      <c r="I501" s="74" t="s">
        <v>2196</v>
      </c>
      <c r="J501" s="74" t="s">
        <v>271</v>
      </c>
      <c r="K501" s="74" t="s">
        <v>2197</v>
      </c>
    </row>
    <row r="502" spans="8:11" x14ac:dyDescent="0.3">
      <c r="H502" s="74" t="s">
        <v>2198</v>
      </c>
      <c r="I502" s="74" t="s">
        <v>996</v>
      </c>
      <c r="J502" s="74" t="s">
        <v>271</v>
      </c>
      <c r="K502" s="74" t="s">
        <v>2197</v>
      </c>
    </row>
    <row r="503" spans="8:11" x14ac:dyDescent="0.3">
      <c r="H503" s="74" t="s">
        <v>2199</v>
      </c>
      <c r="I503" s="74" t="s">
        <v>1421</v>
      </c>
      <c r="J503" s="74" t="s">
        <v>271</v>
      </c>
      <c r="K503" s="74" t="s">
        <v>2197</v>
      </c>
    </row>
    <row r="504" spans="8:11" x14ac:dyDescent="0.3">
      <c r="H504" s="74" t="s">
        <v>2200</v>
      </c>
      <c r="I504" s="74" t="s">
        <v>2201</v>
      </c>
      <c r="J504" s="74" t="s">
        <v>271</v>
      </c>
      <c r="K504" s="74" t="s">
        <v>2197</v>
      </c>
    </row>
    <row r="505" spans="8:11" x14ac:dyDescent="0.3">
      <c r="H505" s="74" t="s">
        <v>2202</v>
      </c>
      <c r="I505" s="74" t="s">
        <v>1381</v>
      </c>
      <c r="J505" s="74" t="s">
        <v>271</v>
      </c>
      <c r="K505" s="74" t="s">
        <v>2197</v>
      </c>
    </row>
    <row r="506" spans="8:11" x14ac:dyDescent="0.3">
      <c r="H506" s="74" t="s">
        <v>1573</v>
      </c>
      <c r="I506" s="74" t="s">
        <v>1176</v>
      </c>
      <c r="J506" s="74" t="s">
        <v>271</v>
      </c>
      <c r="K506" s="74" t="s">
        <v>2197</v>
      </c>
    </row>
    <row r="507" spans="8:11" x14ac:dyDescent="0.3">
      <c r="H507" s="74" t="s">
        <v>2203</v>
      </c>
      <c r="I507" s="74" t="s">
        <v>1067</v>
      </c>
      <c r="J507" s="74" t="s">
        <v>271</v>
      </c>
      <c r="K507" s="74" t="s">
        <v>2204</v>
      </c>
    </row>
    <row r="508" spans="8:11" x14ac:dyDescent="0.3">
      <c r="H508" s="74" t="s">
        <v>2205</v>
      </c>
      <c r="I508" s="74" t="s">
        <v>2206</v>
      </c>
      <c r="J508" s="74" t="s">
        <v>271</v>
      </c>
      <c r="K508" s="74" t="s">
        <v>2207</v>
      </c>
    </row>
    <row r="509" spans="8:11" x14ac:dyDescent="0.3">
      <c r="H509" s="74" t="s">
        <v>2208</v>
      </c>
      <c r="I509" s="74" t="s">
        <v>2209</v>
      </c>
      <c r="J509" s="74" t="s">
        <v>271</v>
      </c>
      <c r="K509" s="74" t="s">
        <v>2207</v>
      </c>
    </row>
    <row r="510" spans="8:11" x14ac:dyDescent="0.3">
      <c r="H510" s="74" t="s">
        <v>1668</v>
      </c>
      <c r="I510" s="74" t="s">
        <v>1310</v>
      </c>
      <c r="J510" s="74" t="s">
        <v>271</v>
      </c>
      <c r="K510" s="74" t="s">
        <v>2207</v>
      </c>
    </row>
    <row r="511" spans="8:11" x14ac:dyDescent="0.3">
      <c r="H511" s="74" t="s">
        <v>2210</v>
      </c>
      <c r="I511" s="74" t="s">
        <v>1208</v>
      </c>
      <c r="J511" s="74" t="s">
        <v>271</v>
      </c>
      <c r="K511" s="74" t="s">
        <v>2207</v>
      </c>
    </row>
    <row r="512" spans="8:11" x14ac:dyDescent="0.3">
      <c r="H512" s="74" t="s">
        <v>2211</v>
      </c>
      <c r="I512" s="74" t="s">
        <v>1625</v>
      </c>
      <c r="J512" s="74" t="s">
        <v>271</v>
      </c>
      <c r="K512" s="74" t="s">
        <v>2207</v>
      </c>
    </row>
    <row r="513" spans="8:11" x14ac:dyDescent="0.3">
      <c r="H513" s="74" t="s">
        <v>2212</v>
      </c>
      <c r="I513" s="74" t="s">
        <v>1297</v>
      </c>
      <c r="J513" s="74" t="s">
        <v>271</v>
      </c>
      <c r="K513" s="74" t="s">
        <v>2207</v>
      </c>
    </row>
    <row r="514" spans="8:11" x14ac:dyDescent="0.3">
      <c r="H514" s="74" t="s">
        <v>1567</v>
      </c>
      <c r="I514" s="74" t="s">
        <v>1207</v>
      </c>
      <c r="J514" s="74" t="s">
        <v>271</v>
      </c>
      <c r="K514" s="74" t="s">
        <v>2207</v>
      </c>
    </row>
    <row r="515" spans="8:11" x14ac:dyDescent="0.3">
      <c r="H515" s="74" t="s">
        <v>2213</v>
      </c>
      <c r="I515" s="74" t="s">
        <v>2214</v>
      </c>
      <c r="J515" s="74" t="s">
        <v>271</v>
      </c>
      <c r="K515" s="74" t="s">
        <v>2215</v>
      </c>
    </row>
    <row r="516" spans="8:11" x14ac:dyDescent="0.3">
      <c r="H516" s="74" t="s">
        <v>2216</v>
      </c>
      <c r="I516" s="74" t="s">
        <v>2217</v>
      </c>
      <c r="J516" s="74" t="s">
        <v>271</v>
      </c>
      <c r="K516" s="74" t="s">
        <v>2215</v>
      </c>
    </row>
    <row r="517" spans="8:11" x14ac:dyDescent="0.3">
      <c r="H517" s="74" t="s">
        <v>2218</v>
      </c>
      <c r="I517" s="74" t="s">
        <v>1713</v>
      </c>
      <c r="J517" s="74" t="s">
        <v>271</v>
      </c>
      <c r="K517" s="74" t="s">
        <v>2215</v>
      </c>
    </row>
    <row r="518" spans="8:11" x14ac:dyDescent="0.3">
      <c r="H518" s="74" t="s">
        <v>2219</v>
      </c>
      <c r="I518" s="74" t="s">
        <v>2220</v>
      </c>
      <c r="J518" s="74" t="s">
        <v>271</v>
      </c>
      <c r="K518" s="74" t="s">
        <v>2215</v>
      </c>
    </row>
    <row r="519" spans="8:11" x14ac:dyDescent="0.3">
      <c r="H519" s="74" t="s">
        <v>1568</v>
      </c>
      <c r="I519" s="74" t="s">
        <v>1545</v>
      </c>
      <c r="J519" s="74" t="s">
        <v>271</v>
      </c>
      <c r="K519" s="74" t="s">
        <v>2215</v>
      </c>
    </row>
    <row r="520" spans="8:11" x14ac:dyDescent="0.3">
      <c r="H520" s="74" t="s">
        <v>2221</v>
      </c>
      <c r="I520" s="74" t="s">
        <v>1084</v>
      </c>
      <c r="J520" s="74" t="s">
        <v>271</v>
      </c>
      <c r="K520" s="74" t="s">
        <v>2215</v>
      </c>
    </row>
    <row r="521" spans="8:11" x14ac:dyDescent="0.3">
      <c r="H521" s="74" t="s">
        <v>2222</v>
      </c>
      <c r="I521" s="74" t="s">
        <v>2223</v>
      </c>
      <c r="J521" s="74" t="s">
        <v>271</v>
      </c>
      <c r="K521" s="74" t="s">
        <v>2215</v>
      </c>
    </row>
    <row r="522" spans="8:11" x14ac:dyDescent="0.3">
      <c r="H522" s="74" t="s">
        <v>1125</v>
      </c>
      <c r="I522" s="74" t="s">
        <v>1345</v>
      </c>
      <c r="J522" s="74" t="s">
        <v>271</v>
      </c>
      <c r="K522" s="74" t="s">
        <v>2215</v>
      </c>
    </row>
    <row r="523" spans="8:11" x14ac:dyDescent="0.3">
      <c r="H523" s="74" t="s">
        <v>2224</v>
      </c>
      <c r="I523" s="74" t="s">
        <v>1166</v>
      </c>
      <c r="J523" s="74" t="s">
        <v>271</v>
      </c>
      <c r="K523" s="74" t="s">
        <v>2225</v>
      </c>
    </row>
    <row r="524" spans="8:11" x14ac:dyDescent="0.3">
      <c r="H524" s="74" t="s">
        <v>2226</v>
      </c>
      <c r="I524" s="74" t="s">
        <v>1429</v>
      </c>
      <c r="J524" s="74" t="s">
        <v>271</v>
      </c>
      <c r="K524" s="74" t="s">
        <v>2227</v>
      </c>
    </row>
    <row r="525" spans="8:11" x14ac:dyDescent="0.3">
      <c r="H525" s="74" t="s">
        <v>2228</v>
      </c>
      <c r="I525" s="74" t="s">
        <v>2229</v>
      </c>
      <c r="J525" s="74" t="s">
        <v>271</v>
      </c>
      <c r="K525" s="74" t="s">
        <v>2227</v>
      </c>
    </row>
    <row r="526" spans="8:11" x14ac:dyDescent="0.3">
      <c r="H526" s="74" t="s">
        <v>1551</v>
      </c>
      <c r="I526" s="74" t="s">
        <v>1202</v>
      </c>
      <c r="J526" s="74" t="s">
        <v>271</v>
      </c>
      <c r="K526" s="74" t="s">
        <v>2230</v>
      </c>
    </row>
    <row r="527" spans="8:11" x14ac:dyDescent="0.3">
      <c r="H527" s="74" t="s">
        <v>2231</v>
      </c>
      <c r="I527" s="74" t="s">
        <v>2232</v>
      </c>
      <c r="J527" s="74" t="s">
        <v>271</v>
      </c>
      <c r="K527" s="74" t="s">
        <v>2230</v>
      </c>
    </row>
    <row r="528" spans="8:11" x14ac:dyDescent="0.3">
      <c r="H528" s="74" t="s">
        <v>2233</v>
      </c>
      <c r="I528" s="74" t="s">
        <v>2234</v>
      </c>
      <c r="J528" s="74" t="s">
        <v>271</v>
      </c>
      <c r="K528" s="74" t="s">
        <v>2230</v>
      </c>
    </row>
    <row r="529" spans="8:11" x14ac:dyDescent="0.3">
      <c r="H529" s="74" t="s">
        <v>1535</v>
      </c>
      <c r="I529" s="74" t="s">
        <v>1633</v>
      </c>
      <c r="J529" s="74" t="s">
        <v>271</v>
      </c>
      <c r="K529" s="74" t="s">
        <v>2230</v>
      </c>
    </row>
    <row r="530" spans="8:11" x14ac:dyDescent="0.3">
      <c r="H530" s="74" t="s">
        <v>1613</v>
      </c>
      <c r="I530" s="74" t="s">
        <v>2235</v>
      </c>
      <c r="J530" s="74" t="s">
        <v>271</v>
      </c>
      <c r="K530" s="74" t="s">
        <v>2230</v>
      </c>
    </row>
    <row r="531" spans="8:11" x14ac:dyDescent="0.3">
      <c r="H531" s="74" t="s">
        <v>2236</v>
      </c>
      <c r="I531" s="74" t="s">
        <v>2237</v>
      </c>
      <c r="J531" s="74" t="s">
        <v>271</v>
      </c>
      <c r="K531" s="74" t="s">
        <v>2238</v>
      </c>
    </row>
    <row r="532" spans="8:11" x14ac:dyDescent="0.3">
      <c r="H532" s="74" t="s">
        <v>2239</v>
      </c>
      <c r="I532" s="74" t="s">
        <v>2240</v>
      </c>
      <c r="J532" s="74" t="s">
        <v>271</v>
      </c>
      <c r="K532" s="74" t="s">
        <v>2238</v>
      </c>
    </row>
    <row r="533" spans="8:11" x14ac:dyDescent="0.3">
      <c r="H533" s="74" t="s">
        <v>2241</v>
      </c>
      <c r="I533" s="74" t="s">
        <v>2242</v>
      </c>
      <c r="J533" s="74" t="s">
        <v>271</v>
      </c>
      <c r="K533" s="74" t="s">
        <v>2238</v>
      </c>
    </row>
    <row r="534" spans="8:11" x14ac:dyDescent="0.3">
      <c r="H534" s="74" t="s">
        <v>2243</v>
      </c>
      <c r="I534" s="74" t="s">
        <v>1327</v>
      </c>
      <c r="J534" s="74" t="s">
        <v>271</v>
      </c>
      <c r="K534" s="74" t="s">
        <v>2238</v>
      </c>
    </row>
    <row r="535" spans="8:11" x14ac:dyDescent="0.3">
      <c r="H535" s="74" t="s">
        <v>2244</v>
      </c>
      <c r="I535" s="74" t="s">
        <v>1388</v>
      </c>
      <c r="J535" s="74" t="s">
        <v>271</v>
      </c>
      <c r="K535" s="74" t="s">
        <v>2238</v>
      </c>
    </row>
    <row r="536" spans="8:11" x14ac:dyDescent="0.3">
      <c r="H536" s="74" t="s">
        <v>2245</v>
      </c>
      <c r="I536" s="74" t="s">
        <v>2246</v>
      </c>
      <c r="J536" s="74" t="s">
        <v>271</v>
      </c>
      <c r="K536" s="74" t="s">
        <v>2238</v>
      </c>
    </row>
    <row r="537" spans="8:11" x14ac:dyDescent="0.3">
      <c r="H537" s="74" t="s">
        <v>1738</v>
      </c>
      <c r="I537" s="74" t="s">
        <v>1272</v>
      </c>
      <c r="J537" s="74" t="s">
        <v>271</v>
      </c>
      <c r="K537" s="74" t="s">
        <v>2238</v>
      </c>
    </row>
    <row r="538" spans="8:11" x14ac:dyDescent="0.3">
      <c r="H538" s="74" t="s">
        <v>2247</v>
      </c>
      <c r="I538" s="74" t="s">
        <v>2248</v>
      </c>
      <c r="J538" s="74" t="s">
        <v>271</v>
      </c>
      <c r="K538" s="74" t="s">
        <v>2249</v>
      </c>
    </row>
    <row r="539" spans="8:11" x14ac:dyDescent="0.3">
      <c r="H539" s="74" t="s">
        <v>1547</v>
      </c>
      <c r="I539" s="74" t="s">
        <v>2250</v>
      </c>
      <c r="J539" s="74" t="s">
        <v>271</v>
      </c>
      <c r="K539" s="74" t="s">
        <v>2249</v>
      </c>
    </row>
    <row r="540" spans="8:11" x14ac:dyDescent="0.3">
      <c r="H540" s="74" t="s">
        <v>2251</v>
      </c>
      <c r="I540" s="74" t="s">
        <v>1704</v>
      </c>
      <c r="J540" s="74" t="s">
        <v>271</v>
      </c>
      <c r="K540" s="74" t="s">
        <v>2252</v>
      </c>
    </row>
    <row r="541" spans="8:11" x14ac:dyDescent="0.3">
      <c r="H541" s="74" t="s">
        <v>2253</v>
      </c>
      <c r="I541" s="74" t="s">
        <v>1688</v>
      </c>
      <c r="J541" s="74" t="s">
        <v>271</v>
      </c>
      <c r="K541" s="74" t="s">
        <v>2252</v>
      </c>
    </row>
    <row r="542" spans="8:11" x14ac:dyDescent="0.3">
      <c r="H542" s="74" t="s">
        <v>2254</v>
      </c>
      <c r="I542" s="74" t="s">
        <v>1107</v>
      </c>
      <c r="J542" s="74" t="s">
        <v>271</v>
      </c>
      <c r="K542" s="74" t="s">
        <v>2252</v>
      </c>
    </row>
    <row r="543" spans="8:11" x14ac:dyDescent="0.3">
      <c r="H543" s="74" t="s">
        <v>2255</v>
      </c>
      <c r="I543" s="74" t="s">
        <v>1621</v>
      </c>
      <c r="J543" s="74" t="s">
        <v>271</v>
      </c>
      <c r="K543" s="74" t="s">
        <v>2252</v>
      </c>
    </row>
    <row r="544" spans="8:11" x14ac:dyDescent="0.3">
      <c r="H544" s="74" t="s">
        <v>2256</v>
      </c>
      <c r="I544" s="74" t="s">
        <v>2257</v>
      </c>
      <c r="J544" s="74" t="s">
        <v>271</v>
      </c>
      <c r="K544" s="74" t="s">
        <v>2258</v>
      </c>
    </row>
    <row r="545" spans="8:11" x14ac:dyDescent="0.3">
      <c r="H545" s="74" t="s">
        <v>1558</v>
      </c>
      <c r="I545" s="74" t="s">
        <v>2259</v>
      </c>
      <c r="J545" s="74" t="s">
        <v>271</v>
      </c>
      <c r="K545" s="74" t="s">
        <v>2258</v>
      </c>
    </row>
    <row r="546" spans="8:11" x14ac:dyDescent="0.3">
      <c r="H546" s="74" t="s">
        <v>2260</v>
      </c>
      <c r="I546" s="74" t="s">
        <v>1654</v>
      </c>
      <c r="J546" s="74" t="s">
        <v>271</v>
      </c>
      <c r="K546" s="74" t="s">
        <v>2258</v>
      </c>
    </row>
    <row r="547" spans="8:11" x14ac:dyDescent="0.3">
      <c r="H547" s="74" t="s">
        <v>1543</v>
      </c>
      <c r="I547" s="74" t="s">
        <v>2261</v>
      </c>
      <c r="J547" s="74" t="s">
        <v>271</v>
      </c>
      <c r="K547" s="74" t="s">
        <v>2262</v>
      </c>
    </row>
    <row r="548" spans="8:11" x14ac:dyDescent="0.3">
      <c r="H548" s="74" t="s">
        <v>1541</v>
      </c>
      <c r="I548" s="74" t="s">
        <v>1649</v>
      </c>
      <c r="J548" s="74" t="s">
        <v>271</v>
      </c>
      <c r="K548" s="74" t="s">
        <v>2262</v>
      </c>
    </row>
    <row r="549" spans="8:11" x14ac:dyDescent="0.3">
      <c r="H549" s="74" t="s">
        <v>2263</v>
      </c>
      <c r="I549" s="74" t="s">
        <v>1120</v>
      </c>
      <c r="J549" s="74" t="s">
        <v>271</v>
      </c>
      <c r="K549" s="74" t="s">
        <v>2262</v>
      </c>
    </row>
    <row r="550" spans="8:11" x14ac:dyDescent="0.3">
      <c r="H550" s="74" t="s">
        <v>2264</v>
      </c>
      <c r="I550" s="74" t="s">
        <v>1379</v>
      </c>
      <c r="J550" s="74" t="s">
        <v>271</v>
      </c>
      <c r="K550" s="74" t="s">
        <v>2262</v>
      </c>
    </row>
    <row r="551" spans="8:11" x14ac:dyDescent="0.3">
      <c r="H551" s="74" t="s">
        <v>2265</v>
      </c>
      <c r="I551" s="74" t="s">
        <v>1520</v>
      </c>
      <c r="J551" s="74" t="s">
        <v>271</v>
      </c>
      <c r="K551" s="74" t="s">
        <v>2262</v>
      </c>
    </row>
    <row r="552" spans="8:11" x14ac:dyDescent="0.3">
      <c r="H552" s="74" t="s">
        <v>2266</v>
      </c>
      <c r="I552" s="74" t="s">
        <v>1240</v>
      </c>
      <c r="J552" s="74" t="s">
        <v>271</v>
      </c>
      <c r="K552" s="74" t="s">
        <v>2262</v>
      </c>
    </row>
    <row r="553" spans="8:11" x14ac:dyDescent="0.3">
      <c r="H553" s="74" t="s">
        <v>2267</v>
      </c>
      <c r="I553" s="74" t="s">
        <v>1137</v>
      </c>
      <c r="J553" s="74" t="s">
        <v>271</v>
      </c>
      <c r="K553" s="74" t="s">
        <v>2268</v>
      </c>
    </row>
    <row r="554" spans="8:11" x14ac:dyDescent="0.3">
      <c r="H554" s="74" t="s">
        <v>2269</v>
      </c>
      <c r="I554" s="74" t="s">
        <v>2270</v>
      </c>
      <c r="J554" s="74" t="s">
        <v>271</v>
      </c>
      <c r="K554" s="74" t="s">
        <v>2268</v>
      </c>
    </row>
    <row r="555" spans="8:11" x14ac:dyDescent="0.3">
      <c r="H555" s="74" t="s">
        <v>2271</v>
      </c>
      <c r="I555" s="74" t="s">
        <v>1063</v>
      </c>
      <c r="J555" s="74" t="s">
        <v>271</v>
      </c>
      <c r="K555" s="74" t="s">
        <v>2268</v>
      </c>
    </row>
    <row r="556" spans="8:11" x14ac:dyDescent="0.3">
      <c r="H556" s="74" t="s">
        <v>2272</v>
      </c>
      <c r="I556" s="74" t="s">
        <v>1116</v>
      </c>
      <c r="J556" s="74" t="s">
        <v>271</v>
      </c>
      <c r="K556" s="74" t="s">
        <v>2268</v>
      </c>
    </row>
    <row r="557" spans="8:11" x14ac:dyDescent="0.3">
      <c r="H557" s="74" t="s">
        <v>2273</v>
      </c>
      <c r="I557" s="74" t="s">
        <v>1175</v>
      </c>
      <c r="J557" s="74" t="s">
        <v>271</v>
      </c>
      <c r="K557" s="74" t="s">
        <v>2268</v>
      </c>
    </row>
    <row r="558" spans="8:11" x14ac:dyDescent="0.3">
      <c r="H558" s="74" t="s">
        <v>2274</v>
      </c>
      <c r="I558" s="74" t="s">
        <v>2275</v>
      </c>
      <c r="J558" s="74" t="s">
        <v>271</v>
      </c>
      <c r="K558" s="74" t="s">
        <v>2268</v>
      </c>
    </row>
    <row r="559" spans="8:11" x14ac:dyDescent="0.3">
      <c r="H559" s="74" t="s">
        <v>1707</v>
      </c>
      <c r="I559" s="74" t="s">
        <v>993</v>
      </c>
      <c r="J559" s="74" t="s">
        <v>271</v>
      </c>
      <c r="K559" s="74" t="s">
        <v>2268</v>
      </c>
    </row>
    <row r="560" spans="8:11" x14ac:dyDescent="0.3">
      <c r="H560" s="74" t="s">
        <v>2276</v>
      </c>
      <c r="I560" s="74" t="s">
        <v>839</v>
      </c>
      <c r="J560" s="74" t="s">
        <v>271</v>
      </c>
      <c r="K560" s="74" t="s">
        <v>2277</v>
      </c>
    </row>
    <row r="561" spans="8:11" x14ac:dyDescent="0.3">
      <c r="H561" s="74" t="s">
        <v>2278</v>
      </c>
      <c r="I561" s="74" t="s">
        <v>988</v>
      </c>
      <c r="J561" s="74" t="s">
        <v>271</v>
      </c>
      <c r="K561" s="74" t="s">
        <v>2277</v>
      </c>
    </row>
    <row r="562" spans="8:11" x14ac:dyDescent="0.3">
      <c r="H562" s="74" t="s">
        <v>1619</v>
      </c>
      <c r="I562" s="74" t="s">
        <v>1305</v>
      </c>
      <c r="J562" s="74" t="s">
        <v>271</v>
      </c>
      <c r="K562" s="74" t="s">
        <v>2277</v>
      </c>
    </row>
    <row r="563" spans="8:11" x14ac:dyDescent="0.3">
      <c r="H563" s="74" t="s">
        <v>2279</v>
      </c>
      <c r="I563" s="74" t="s">
        <v>1389</v>
      </c>
      <c r="J563" s="74" t="s">
        <v>271</v>
      </c>
      <c r="K563" s="74" t="s">
        <v>2280</v>
      </c>
    </row>
    <row r="564" spans="8:11" x14ac:dyDescent="0.3">
      <c r="H564" s="74" t="s">
        <v>2281</v>
      </c>
      <c r="I564" s="74" t="s">
        <v>1464</v>
      </c>
      <c r="J564" s="74" t="s">
        <v>271</v>
      </c>
      <c r="K564" s="74" t="s">
        <v>2280</v>
      </c>
    </row>
    <row r="565" spans="8:11" x14ac:dyDescent="0.3">
      <c r="H565" s="74" t="s">
        <v>2282</v>
      </c>
      <c r="I565" s="74" t="s">
        <v>1670</v>
      </c>
      <c r="J565" s="74" t="s">
        <v>271</v>
      </c>
      <c r="K565" s="74" t="s">
        <v>2280</v>
      </c>
    </row>
    <row r="566" spans="8:11" x14ac:dyDescent="0.3">
      <c r="H566" s="74" t="s">
        <v>1735</v>
      </c>
      <c r="I566" s="74" t="s">
        <v>2283</v>
      </c>
      <c r="J566" s="74" t="s">
        <v>271</v>
      </c>
      <c r="K566" s="74" t="s">
        <v>2280</v>
      </c>
    </row>
    <row r="567" spans="8:11" x14ac:dyDescent="0.3">
      <c r="H567" s="74" t="s">
        <v>2284</v>
      </c>
      <c r="I567" s="74" t="s">
        <v>1347</v>
      </c>
      <c r="J567" s="74" t="s">
        <v>271</v>
      </c>
      <c r="K567" s="74" t="s">
        <v>2280</v>
      </c>
    </row>
    <row r="568" spans="8:11" x14ac:dyDescent="0.3">
      <c r="H568" s="74" t="s">
        <v>2285</v>
      </c>
      <c r="I568" s="74" t="s">
        <v>2286</v>
      </c>
      <c r="J568" s="74" t="s">
        <v>271</v>
      </c>
      <c r="K568" s="74" t="s">
        <v>2280</v>
      </c>
    </row>
    <row r="569" spans="8:11" x14ac:dyDescent="0.3">
      <c r="H569" s="74" t="s">
        <v>2287</v>
      </c>
      <c r="I569" s="74" t="s">
        <v>1725</v>
      </c>
      <c r="J569" s="74" t="s">
        <v>271</v>
      </c>
      <c r="K569" s="74" t="s">
        <v>2280</v>
      </c>
    </row>
    <row r="570" spans="8:11" x14ac:dyDescent="0.3">
      <c r="H570" s="74" t="s">
        <v>2288</v>
      </c>
      <c r="I570" s="74" t="s">
        <v>1581</v>
      </c>
      <c r="J570" s="74" t="s">
        <v>271</v>
      </c>
      <c r="K570" s="74" t="s">
        <v>2280</v>
      </c>
    </row>
    <row r="571" spans="8:11" x14ac:dyDescent="0.3">
      <c r="H571" s="74" t="s">
        <v>2289</v>
      </c>
      <c r="I571" s="74" t="s">
        <v>1185</v>
      </c>
      <c r="J571" s="74" t="s">
        <v>271</v>
      </c>
      <c r="K571" s="74" t="s">
        <v>2280</v>
      </c>
    </row>
    <row r="572" spans="8:11" x14ac:dyDescent="0.3">
      <c r="H572" s="74" t="s">
        <v>1608</v>
      </c>
      <c r="I572" s="74" t="s">
        <v>2290</v>
      </c>
      <c r="J572" s="74" t="s">
        <v>271</v>
      </c>
      <c r="K572" s="74" t="s">
        <v>2280</v>
      </c>
    </row>
    <row r="573" spans="8:11" x14ac:dyDescent="0.3">
      <c r="H573" s="74" t="s">
        <v>2291</v>
      </c>
      <c r="I573" s="74" t="s">
        <v>1358</v>
      </c>
      <c r="J573" s="74" t="s">
        <v>271</v>
      </c>
      <c r="K573" s="74" t="s">
        <v>2292</v>
      </c>
    </row>
    <row r="574" spans="8:11" x14ac:dyDescent="0.3">
      <c r="H574" s="74" t="s">
        <v>1664</v>
      </c>
      <c r="I574" s="74" t="s">
        <v>2293</v>
      </c>
      <c r="J574" s="74" t="s">
        <v>271</v>
      </c>
      <c r="K574" s="74" t="s">
        <v>2292</v>
      </c>
    </row>
    <row r="575" spans="8:11" x14ac:dyDescent="0.3">
      <c r="H575" s="74" t="s">
        <v>2294</v>
      </c>
      <c r="I575" s="74" t="s">
        <v>1542</v>
      </c>
      <c r="J575" s="74" t="s">
        <v>271</v>
      </c>
      <c r="K575" s="74" t="s">
        <v>2292</v>
      </c>
    </row>
    <row r="576" spans="8:11" x14ac:dyDescent="0.3">
      <c r="H576" s="74" t="s">
        <v>2295</v>
      </c>
      <c r="I576" s="74" t="s">
        <v>2296</v>
      </c>
      <c r="J576" s="74" t="s">
        <v>271</v>
      </c>
      <c r="K576" s="74" t="s">
        <v>2292</v>
      </c>
    </row>
    <row r="577" spans="8:11" x14ac:dyDescent="0.3">
      <c r="H577" s="74" t="s">
        <v>1259</v>
      </c>
      <c r="I577" s="74" t="s">
        <v>2297</v>
      </c>
      <c r="J577" s="74" t="s">
        <v>271</v>
      </c>
      <c r="K577" s="74" t="s">
        <v>2292</v>
      </c>
    </row>
    <row r="578" spans="8:11" x14ac:dyDescent="0.3">
      <c r="H578" s="74" t="s">
        <v>1488</v>
      </c>
      <c r="I578" s="74" t="s">
        <v>2298</v>
      </c>
      <c r="J578" s="74" t="s">
        <v>271</v>
      </c>
      <c r="K578" s="74" t="s">
        <v>2299</v>
      </c>
    </row>
    <row r="579" spans="8:11" x14ac:dyDescent="0.3">
      <c r="H579" s="74" t="s">
        <v>2300</v>
      </c>
      <c r="I579" s="74" t="s">
        <v>1660</v>
      </c>
      <c r="J579" s="74" t="s">
        <v>271</v>
      </c>
      <c r="K579" s="74" t="s">
        <v>2299</v>
      </c>
    </row>
    <row r="580" spans="8:11" x14ac:dyDescent="0.3">
      <c r="H580" s="74" t="s">
        <v>1477</v>
      </c>
      <c r="I580" s="74" t="s">
        <v>1197</v>
      </c>
      <c r="J580" s="74" t="s">
        <v>271</v>
      </c>
      <c r="K580" s="74" t="s">
        <v>2299</v>
      </c>
    </row>
    <row r="581" spans="8:11" x14ac:dyDescent="0.3">
      <c r="H581" s="74" t="s">
        <v>2301</v>
      </c>
      <c r="I581" s="74" t="s">
        <v>1324</v>
      </c>
      <c r="J581" s="74" t="s">
        <v>271</v>
      </c>
      <c r="K581" s="74" t="s">
        <v>2302</v>
      </c>
    </row>
    <row r="582" spans="8:11" x14ac:dyDescent="0.3">
      <c r="H582" s="74" t="s">
        <v>1476</v>
      </c>
      <c r="I582" s="74" t="s">
        <v>1372</v>
      </c>
      <c r="J582" s="74" t="s">
        <v>271</v>
      </c>
      <c r="K582" s="74" t="s">
        <v>2303</v>
      </c>
    </row>
    <row r="583" spans="8:11" x14ac:dyDescent="0.3">
      <c r="H583" s="74" t="s">
        <v>1667</v>
      </c>
      <c r="I583" s="74" t="s">
        <v>1029</v>
      </c>
      <c r="J583" s="74" t="s">
        <v>271</v>
      </c>
      <c r="K583" s="74" t="s">
        <v>2303</v>
      </c>
    </row>
    <row r="584" spans="8:11" x14ac:dyDescent="0.3">
      <c r="H584" s="74" t="s">
        <v>2304</v>
      </c>
      <c r="I584" s="74" t="s">
        <v>1234</v>
      </c>
      <c r="J584" s="74" t="s">
        <v>271</v>
      </c>
      <c r="K584" s="74" t="s">
        <v>2305</v>
      </c>
    </row>
    <row r="585" spans="8:11" x14ac:dyDescent="0.3">
      <c r="H585" s="74" t="s">
        <v>1473</v>
      </c>
      <c r="I585" s="74" t="s">
        <v>1638</v>
      </c>
      <c r="J585" s="74" t="s">
        <v>271</v>
      </c>
      <c r="K585" s="74" t="s">
        <v>2305</v>
      </c>
    </row>
    <row r="586" spans="8:11" x14ac:dyDescent="0.3">
      <c r="H586" s="74" t="s">
        <v>1474</v>
      </c>
      <c r="I586" s="74" t="s">
        <v>1559</v>
      </c>
      <c r="J586" s="74" t="s">
        <v>271</v>
      </c>
      <c r="K586" s="74" t="s">
        <v>2305</v>
      </c>
    </row>
    <row r="587" spans="8:11" x14ac:dyDescent="0.3">
      <c r="H587" s="74" t="s">
        <v>2306</v>
      </c>
      <c r="I587" s="74" t="s">
        <v>1600</v>
      </c>
      <c r="J587" s="74" t="s">
        <v>271</v>
      </c>
      <c r="K587" s="74" t="s">
        <v>2305</v>
      </c>
    </row>
    <row r="588" spans="8:11" x14ac:dyDescent="0.3">
      <c r="H588" s="74" t="s">
        <v>1427</v>
      </c>
      <c r="I588" s="74" t="s">
        <v>1661</v>
      </c>
      <c r="J588" s="74" t="s">
        <v>271</v>
      </c>
      <c r="K588" s="74" t="s">
        <v>2305</v>
      </c>
    </row>
    <row r="589" spans="8:11" x14ac:dyDescent="0.3">
      <c r="H589" s="74" t="s">
        <v>2307</v>
      </c>
      <c r="I589" s="74" t="s">
        <v>1162</v>
      </c>
      <c r="J589" s="74" t="s">
        <v>271</v>
      </c>
      <c r="K589" s="74" t="s">
        <v>2308</v>
      </c>
    </row>
    <row r="590" spans="8:11" x14ac:dyDescent="0.3">
      <c r="H590" s="74" t="s">
        <v>2309</v>
      </c>
      <c r="I590" s="74" t="s">
        <v>1239</v>
      </c>
      <c r="J590" s="74" t="s">
        <v>271</v>
      </c>
      <c r="K590" s="74" t="s">
        <v>2308</v>
      </c>
    </row>
    <row r="591" spans="8:11" x14ac:dyDescent="0.3">
      <c r="H591" s="74" t="s">
        <v>2310</v>
      </c>
      <c r="I591" s="74" t="s">
        <v>1571</v>
      </c>
      <c r="J591" s="74" t="s">
        <v>271</v>
      </c>
      <c r="K591" s="74" t="s">
        <v>2308</v>
      </c>
    </row>
    <row r="592" spans="8:11" x14ac:dyDescent="0.3">
      <c r="H592" s="74" t="s">
        <v>2311</v>
      </c>
      <c r="I592" s="74" t="s">
        <v>1169</v>
      </c>
      <c r="J592" s="74" t="s">
        <v>271</v>
      </c>
      <c r="K592" s="74" t="s">
        <v>2308</v>
      </c>
    </row>
    <row r="593" spans="8:11" x14ac:dyDescent="0.3">
      <c r="H593" s="74" t="s">
        <v>1502</v>
      </c>
      <c r="I593" s="74" t="s">
        <v>2312</v>
      </c>
      <c r="J593" s="74" t="s">
        <v>271</v>
      </c>
      <c r="K593" s="74" t="s">
        <v>2308</v>
      </c>
    </row>
    <row r="594" spans="8:11" x14ac:dyDescent="0.3">
      <c r="H594" s="74" t="s">
        <v>2313</v>
      </c>
      <c r="I594" s="74" t="s">
        <v>1594</v>
      </c>
      <c r="J594" s="74" t="s">
        <v>271</v>
      </c>
      <c r="K594" s="74" t="s">
        <v>2314</v>
      </c>
    </row>
    <row r="595" spans="8:11" x14ac:dyDescent="0.3">
      <c r="H595" s="74" t="s">
        <v>2315</v>
      </c>
      <c r="I595" s="74" t="s">
        <v>2316</v>
      </c>
      <c r="J595" s="74" t="s">
        <v>271</v>
      </c>
      <c r="K595" s="74" t="s">
        <v>2314</v>
      </c>
    </row>
    <row r="596" spans="8:11" x14ac:dyDescent="0.3">
      <c r="H596" s="74" t="s">
        <v>2317</v>
      </c>
      <c r="I596" s="74" t="s">
        <v>1734</v>
      </c>
      <c r="J596" s="74" t="s">
        <v>271</v>
      </c>
      <c r="K596" s="74" t="s">
        <v>2314</v>
      </c>
    </row>
    <row r="597" spans="8:11" x14ac:dyDescent="0.3">
      <c r="H597" s="74" t="s">
        <v>2318</v>
      </c>
      <c r="I597" s="74" t="s">
        <v>1160</v>
      </c>
      <c r="J597" s="74" t="s">
        <v>271</v>
      </c>
      <c r="K597" s="74" t="s">
        <v>2314</v>
      </c>
    </row>
    <row r="598" spans="8:11" x14ac:dyDescent="0.3">
      <c r="H598" s="74" t="s">
        <v>2319</v>
      </c>
      <c r="I598" s="74" t="s">
        <v>1702</v>
      </c>
      <c r="J598" s="74" t="s">
        <v>271</v>
      </c>
      <c r="K598" s="74" t="s">
        <v>2314</v>
      </c>
    </row>
    <row r="599" spans="8:11" x14ac:dyDescent="0.3">
      <c r="H599" s="74" t="s">
        <v>2320</v>
      </c>
      <c r="I599" s="74" t="s">
        <v>2321</v>
      </c>
      <c r="J599" s="74" t="s">
        <v>271</v>
      </c>
      <c r="K599" s="74" t="s">
        <v>2322</v>
      </c>
    </row>
    <row r="600" spans="8:11" x14ac:dyDescent="0.3">
      <c r="H600" s="74" t="s">
        <v>2323</v>
      </c>
      <c r="I600" s="74" t="s">
        <v>1273</v>
      </c>
      <c r="J600" s="74" t="s">
        <v>271</v>
      </c>
      <c r="K600" s="74" t="s">
        <v>2324</v>
      </c>
    </row>
    <row r="601" spans="8:11" x14ac:dyDescent="0.3">
      <c r="H601" s="74" t="s">
        <v>2325</v>
      </c>
      <c r="I601" s="74" t="s">
        <v>753</v>
      </c>
      <c r="J601" s="74" t="s">
        <v>271</v>
      </c>
      <c r="K601" s="74" t="s">
        <v>2324</v>
      </c>
    </row>
    <row r="602" spans="8:11" x14ac:dyDescent="0.3">
      <c r="H602" s="74" t="s">
        <v>1637</v>
      </c>
      <c r="I602" s="74" t="s">
        <v>1457</v>
      </c>
      <c r="J602" s="74" t="s">
        <v>271</v>
      </c>
      <c r="K602" s="74" t="s">
        <v>2324</v>
      </c>
    </row>
    <row r="603" spans="8:11" x14ac:dyDescent="0.3">
      <c r="H603" s="74" t="s">
        <v>558</v>
      </c>
      <c r="I603" s="74" t="s">
        <v>2326</v>
      </c>
      <c r="J603" s="74" t="s">
        <v>271</v>
      </c>
      <c r="K603" s="74" t="s">
        <v>2327</v>
      </c>
    </row>
    <row r="604" spans="8:11" x14ac:dyDescent="0.3">
      <c r="H604" s="74" t="s">
        <v>2328</v>
      </c>
      <c r="I604" s="74" t="s">
        <v>1237</v>
      </c>
      <c r="J604" s="74" t="s">
        <v>271</v>
      </c>
      <c r="K604" s="74" t="s">
        <v>2327</v>
      </c>
    </row>
    <row r="605" spans="8:11" x14ac:dyDescent="0.3">
      <c r="H605" s="74" t="s">
        <v>1122</v>
      </c>
      <c r="I605" s="74" t="s">
        <v>1043</v>
      </c>
      <c r="J605" s="74" t="s">
        <v>271</v>
      </c>
      <c r="K605" s="74" t="s">
        <v>2327</v>
      </c>
    </row>
    <row r="606" spans="8:11" x14ac:dyDescent="0.3">
      <c r="H606" s="74" t="s">
        <v>2329</v>
      </c>
      <c r="I606" s="74" t="s">
        <v>1195</v>
      </c>
      <c r="J606" s="74" t="s">
        <v>271</v>
      </c>
      <c r="K606" s="74" t="s">
        <v>2330</v>
      </c>
    </row>
    <row r="607" spans="8:11" x14ac:dyDescent="0.3">
      <c r="H607" s="74" t="s">
        <v>2331</v>
      </c>
      <c r="I607" s="74" t="s">
        <v>1338</v>
      </c>
      <c r="J607" s="74" t="s">
        <v>271</v>
      </c>
      <c r="K607" s="74" t="s">
        <v>2330</v>
      </c>
    </row>
    <row r="608" spans="8:11" x14ac:dyDescent="0.3">
      <c r="H608" s="74" t="s">
        <v>2332</v>
      </c>
      <c r="I608" s="74" t="s">
        <v>1378</v>
      </c>
      <c r="J608" s="74" t="s">
        <v>271</v>
      </c>
      <c r="K608" s="74" t="s">
        <v>2330</v>
      </c>
    </row>
    <row r="609" spans="8:11" x14ac:dyDescent="0.3">
      <c r="H609" s="74" t="s">
        <v>2333</v>
      </c>
      <c r="I609" s="74" t="s">
        <v>1011</v>
      </c>
      <c r="J609" s="74" t="s">
        <v>271</v>
      </c>
      <c r="K609" s="74" t="s">
        <v>2330</v>
      </c>
    </row>
    <row r="610" spans="8:11" x14ac:dyDescent="0.3">
      <c r="H610" s="74" t="s">
        <v>2334</v>
      </c>
      <c r="I610" s="74" t="s">
        <v>2335</v>
      </c>
      <c r="J610" s="74" t="s">
        <v>271</v>
      </c>
      <c r="K610" s="74" t="s">
        <v>2330</v>
      </c>
    </row>
    <row r="611" spans="8:11" x14ac:dyDescent="0.3">
      <c r="H611" s="74" t="s">
        <v>2336</v>
      </c>
      <c r="I611" s="74" t="s">
        <v>1394</v>
      </c>
      <c r="J611" s="74" t="s">
        <v>271</v>
      </c>
      <c r="K611" s="74" t="s">
        <v>2337</v>
      </c>
    </row>
    <row r="612" spans="8:11" x14ac:dyDescent="0.3">
      <c r="H612" s="74" t="s">
        <v>2338</v>
      </c>
      <c r="I612" s="74" t="s">
        <v>1691</v>
      </c>
      <c r="J612" s="74" t="s">
        <v>271</v>
      </c>
      <c r="K612" s="74" t="s">
        <v>2339</v>
      </c>
    </row>
    <row r="613" spans="8:11" x14ac:dyDescent="0.3">
      <c r="H613" s="74" t="s">
        <v>2340</v>
      </c>
      <c r="I613" s="74" t="s">
        <v>2341</v>
      </c>
      <c r="J613" s="74" t="s">
        <v>271</v>
      </c>
      <c r="K613" s="74" t="s">
        <v>2339</v>
      </c>
    </row>
    <row r="614" spans="8:11" x14ac:dyDescent="0.3">
      <c r="H614" s="74" t="s">
        <v>1577</v>
      </c>
      <c r="I614" s="74" t="s">
        <v>2342</v>
      </c>
      <c r="J614" s="74" t="s">
        <v>271</v>
      </c>
      <c r="K614" s="74" t="s">
        <v>2339</v>
      </c>
    </row>
    <row r="615" spans="8:11" x14ac:dyDescent="0.3">
      <c r="H615" s="74" t="s">
        <v>2343</v>
      </c>
      <c r="I615" s="74" t="s">
        <v>1397</v>
      </c>
      <c r="J615" s="74" t="s">
        <v>271</v>
      </c>
      <c r="K615" s="74" t="s">
        <v>2344</v>
      </c>
    </row>
    <row r="616" spans="8:11" x14ac:dyDescent="0.3">
      <c r="H616" s="74" t="s">
        <v>1611</v>
      </c>
      <c r="I616" s="74" t="s">
        <v>2345</v>
      </c>
      <c r="J616" s="74" t="s">
        <v>271</v>
      </c>
      <c r="K616" s="74" t="s">
        <v>2344</v>
      </c>
    </row>
    <row r="617" spans="8:11" x14ac:dyDescent="0.3">
      <c r="H617" s="74" t="s">
        <v>2346</v>
      </c>
      <c r="I617" s="74" t="s">
        <v>1199</v>
      </c>
      <c r="J617" s="74" t="s">
        <v>271</v>
      </c>
      <c r="K617" s="74" t="s">
        <v>2347</v>
      </c>
    </row>
    <row r="618" spans="8:11" x14ac:dyDescent="0.3">
      <c r="H618" s="74" t="s">
        <v>2348</v>
      </c>
      <c r="I618" s="74" t="s">
        <v>2349</v>
      </c>
      <c r="J618" s="74" t="s">
        <v>271</v>
      </c>
      <c r="K618" s="74" t="s">
        <v>2347</v>
      </c>
    </row>
    <row r="619" spans="8:11" x14ac:dyDescent="0.3">
      <c r="H619" s="74" t="s">
        <v>1672</v>
      </c>
      <c r="I619" s="74" t="s">
        <v>1703</v>
      </c>
      <c r="J619" s="74" t="s">
        <v>271</v>
      </c>
      <c r="K619" s="74" t="s">
        <v>2347</v>
      </c>
    </row>
    <row r="620" spans="8:11" x14ac:dyDescent="0.3">
      <c r="H620" s="74" t="s">
        <v>2350</v>
      </c>
      <c r="I620" s="74" t="s">
        <v>1494</v>
      </c>
      <c r="J620" s="74" t="s">
        <v>271</v>
      </c>
      <c r="K620" s="74" t="s">
        <v>2351</v>
      </c>
    </row>
    <row r="621" spans="8:11" x14ac:dyDescent="0.3">
      <c r="H621" s="74" t="s">
        <v>2352</v>
      </c>
      <c r="I621" s="74" t="s">
        <v>1424</v>
      </c>
      <c r="J621" s="74" t="s">
        <v>271</v>
      </c>
      <c r="K621" s="74" t="s">
        <v>2351</v>
      </c>
    </row>
    <row r="622" spans="8:11" x14ac:dyDescent="0.3">
      <c r="H622" s="74" t="s">
        <v>2353</v>
      </c>
      <c r="I622" s="74" t="s">
        <v>1088</v>
      </c>
      <c r="J622" s="74" t="s">
        <v>271</v>
      </c>
      <c r="K622" s="74" t="s">
        <v>2351</v>
      </c>
    </row>
    <row r="623" spans="8:11" x14ac:dyDescent="0.3">
      <c r="H623" s="74" t="s">
        <v>2354</v>
      </c>
      <c r="I623" s="74" t="s">
        <v>471</v>
      </c>
      <c r="J623" s="74" t="s">
        <v>271</v>
      </c>
      <c r="K623" s="74" t="s">
        <v>2355</v>
      </c>
    </row>
    <row r="624" spans="8:11" x14ac:dyDescent="0.3">
      <c r="H624" s="74" t="s">
        <v>2356</v>
      </c>
      <c r="I624" s="74" t="s">
        <v>1657</v>
      </c>
      <c r="J624" s="74" t="s">
        <v>271</v>
      </c>
      <c r="K624" s="74" t="s">
        <v>2355</v>
      </c>
    </row>
    <row r="625" spans="8:11" x14ac:dyDescent="0.3">
      <c r="H625" s="74" t="s">
        <v>2357</v>
      </c>
      <c r="I625" s="74" t="s">
        <v>2358</v>
      </c>
      <c r="J625" s="74" t="s">
        <v>271</v>
      </c>
      <c r="K625" s="74" t="s">
        <v>2355</v>
      </c>
    </row>
    <row r="626" spans="8:11" x14ac:dyDescent="0.3">
      <c r="H626" s="74" t="s">
        <v>2359</v>
      </c>
      <c r="I626" s="74" t="s">
        <v>1455</v>
      </c>
      <c r="J626" s="74" t="s">
        <v>271</v>
      </c>
      <c r="K626" s="74" t="s">
        <v>2355</v>
      </c>
    </row>
    <row r="627" spans="8:11" x14ac:dyDescent="0.3">
      <c r="H627" s="74" t="s">
        <v>2360</v>
      </c>
      <c r="I627" s="74" t="s">
        <v>2361</v>
      </c>
      <c r="J627" s="74" t="s">
        <v>271</v>
      </c>
      <c r="K627" s="74" t="s">
        <v>2362</v>
      </c>
    </row>
    <row r="628" spans="8:11" x14ac:dyDescent="0.3">
      <c r="H628" s="74" t="s">
        <v>1328</v>
      </c>
      <c r="I628" s="74" t="s">
        <v>1698</v>
      </c>
      <c r="J628" s="74" t="s">
        <v>271</v>
      </c>
      <c r="K628" s="74" t="s">
        <v>2363</v>
      </c>
    </row>
    <row r="629" spans="8:11" x14ac:dyDescent="0.3">
      <c r="H629" s="74" t="s">
        <v>1066</v>
      </c>
      <c r="I629" s="74" t="s">
        <v>2364</v>
      </c>
      <c r="J629" s="74" t="s">
        <v>271</v>
      </c>
      <c r="K629" s="74" t="s">
        <v>2363</v>
      </c>
    </row>
    <row r="630" spans="8:11" x14ac:dyDescent="0.3">
      <c r="H630" s="74" t="s">
        <v>2365</v>
      </c>
      <c r="I630" s="74" t="s">
        <v>1014</v>
      </c>
      <c r="J630" s="74" t="s">
        <v>271</v>
      </c>
      <c r="K630" s="74" t="s">
        <v>2366</v>
      </c>
    </row>
    <row r="631" spans="8:11" x14ac:dyDescent="0.3">
      <c r="H631" s="74" t="s">
        <v>1669</v>
      </c>
      <c r="I631" s="74" t="s">
        <v>1433</v>
      </c>
      <c r="J631" s="74" t="s">
        <v>271</v>
      </c>
      <c r="K631" s="74" t="s">
        <v>2366</v>
      </c>
    </row>
    <row r="632" spans="8:11" x14ac:dyDescent="0.3">
      <c r="H632" s="74" t="s">
        <v>2367</v>
      </c>
      <c r="I632" s="74" t="s">
        <v>1731</v>
      </c>
      <c r="J632" s="74" t="s">
        <v>271</v>
      </c>
      <c r="K632" s="74" t="s">
        <v>2368</v>
      </c>
    </row>
    <row r="633" spans="8:11" x14ac:dyDescent="0.3">
      <c r="H633" s="74" t="s">
        <v>2369</v>
      </c>
      <c r="I633" s="74" t="s">
        <v>1693</v>
      </c>
      <c r="J633" s="74" t="s">
        <v>271</v>
      </c>
      <c r="K633" s="74" t="s">
        <v>2368</v>
      </c>
    </row>
    <row r="634" spans="8:11" x14ac:dyDescent="0.3">
      <c r="H634" s="74" t="s">
        <v>1382</v>
      </c>
      <c r="I634" s="74" t="s">
        <v>2370</v>
      </c>
      <c r="J634" s="74" t="s">
        <v>271</v>
      </c>
      <c r="K634" s="74" t="s">
        <v>2368</v>
      </c>
    </row>
    <row r="635" spans="8:11" x14ac:dyDescent="0.3">
      <c r="H635" s="74" t="s">
        <v>1292</v>
      </c>
      <c r="I635" s="74" t="s">
        <v>2371</v>
      </c>
      <c r="J635" s="74" t="s">
        <v>271</v>
      </c>
      <c r="K635" s="74" t="s">
        <v>2372</v>
      </c>
    </row>
    <row r="636" spans="8:11" x14ac:dyDescent="0.3">
      <c r="H636" s="74" t="s">
        <v>1423</v>
      </c>
      <c r="I636" s="74" t="s">
        <v>2373</v>
      </c>
      <c r="J636" s="74" t="s">
        <v>271</v>
      </c>
      <c r="K636" s="74" t="s">
        <v>2374</v>
      </c>
    </row>
    <row r="637" spans="8:11" x14ac:dyDescent="0.3">
      <c r="H637" s="74" t="s">
        <v>989</v>
      </c>
      <c r="I637" s="74" t="s">
        <v>1684</v>
      </c>
      <c r="J637" s="74" t="s">
        <v>271</v>
      </c>
      <c r="K637" s="74" t="s">
        <v>2375</v>
      </c>
    </row>
    <row r="638" spans="8:11" x14ac:dyDescent="0.3">
      <c r="H638" s="74" t="s">
        <v>1522</v>
      </c>
      <c r="I638" s="74" t="s">
        <v>1216</v>
      </c>
      <c r="J638" s="74" t="s">
        <v>271</v>
      </c>
      <c r="K638" s="74" t="s">
        <v>2376</v>
      </c>
    </row>
    <row r="639" spans="8:11" x14ac:dyDescent="0.3">
      <c r="H639" s="74" t="s">
        <v>1415</v>
      </c>
      <c r="I639" s="74" t="s">
        <v>2377</v>
      </c>
      <c r="J639" s="74" t="s">
        <v>271</v>
      </c>
      <c r="K639" s="74" t="s">
        <v>2378</v>
      </c>
    </row>
    <row r="640" spans="8:11" x14ac:dyDescent="0.3">
      <c r="H640" s="74" t="s">
        <v>2379</v>
      </c>
      <c r="I640" s="74" t="s">
        <v>1135</v>
      </c>
      <c r="J640" s="74" t="s">
        <v>271</v>
      </c>
      <c r="K640" s="74" t="s">
        <v>2380</v>
      </c>
    </row>
    <row r="641" spans="8:11" x14ac:dyDescent="0.3">
      <c r="H641" s="74" t="s">
        <v>2381</v>
      </c>
      <c r="I641" s="74" t="s">
        <v>1548</v>
      </c>
      <c r="J641" s="74" t="s">
        <v>271</v>
      </c>
      <c r="K641" s="74" t="s">
        <v>2382</v>
      </c>
    </row>
    <row r="642" spans="8:11" x14ac:dyDescent="0.3">
      <c r="H642" s="74" t="s">
        <v>2383</v>
      </c>
      <c r="I642" s="74" t="s">
        <v>2384</v>
      </c>
      <c r="J642" s="74" t="s">
        <v>271</v>
      </c>
      <c r="K642" s="74" t="s">
        <v>2385</v>
      </c>
    </row>
    <row r="643" spans="8:11" x14ac:dyDescent="0.3">
      <c r="H643" s="74" t="s">
        <v>684</v>
      </c>
      <c r="I643" s="74" t="s">
        <v>2386</v>
      </c>
      <c r="J643" s="74" t="s">
        <v>271</v>
      </c>
      <c r="K643" s="74" t="s">
        <v>2387</v>
      </c>
    </row>
    <row r="644" spans="8:11" x14ac:dyDescent="0.3">
      <c r="H644" s="74" t="s">
        <v>1308</v>
      </c>
      <c r="I644" s="74" t="s">
        <v>2388</v>
      </c>
      <c r="J644" s="74" t="s">
        <v>271</v>
      </c>
      <c r="K644" s="74" t="s">
        <v>2389</v>
      </c>
    </row>
    <row r="645" spans="8:11" x14ac:dyDescent="0.3">
      <c r="H645" s="74" t="s">
        <v>2390</v>
      </c>
      <c r="I645" s="74" t="s">
        <v>1419</v>
      </c>
      <c r="J645" s="74" t="s">
        <v>271</v>
      </c>
      <c r="K645" s="74" t="s">
        <v>2391</v>
      </c>
    </row>
    <row r="646" spans="8:11" x14ac:dyDescent="0.3">
      <c r="H646" s="74" t="s">
        <v>1371</v>
      </c>
      <c r="I646" s="74" t="s">
        <v>2392</v>
      </c>
      <c r="J646" s="74" t="s">
        <v>271</v>
      </c>
      <c r="K646" s="74" t="s">
        <v>2393</v>
      </c>
    </row>
    <row r="647" spans="8:11" x14ac:dyDescent="0.3">
      <c r="H647" s="74" t="s">
        <v>755</v>
      </c>
      <c r="I647" s="74" t="s">
        <v>1442</v>
      </c>
      <c r="J647" s="74" t="s">
        <v>271</v>
      </c>
      <c r="K647" s="74" t="s">
        <v>2394</v>
      </c>
    </row>
    <row r="648" spans="8:11" x14ac:dyDescent="0.3">
      <c r="H648" s="74" t="s">
        <v>1665</v>
      </c>
      <c r="I648" s="74" t="s">
        <v>1405</v>
      </c>
      <c r="J648" s="74" t="s">
        <v>271</v>
      </c>
      <c r="K648" s="74" t="s">
        <v>2395</v>
      </c>
    </row>
    <row r="649" spans="8:11" x14ac:dyDescent="0.3">
      <c r="H649" s="74" t="s">
        <v>1262</v>
      </c>
      <c r="I649" s="74" t="s">
        <v>1357</v>
      </c>
      <c r="J649" s="74" t="s">
        <v>271</v>
      </c>
      <c r="K649" s="74" t="s">
        <v>2396</v>
      </c>
    </row>
    <row r="650" spans="8:11" x14ac:dyDescent="0.3">
      <c r="H650" s="74" t="s">
        <v>2397</v>
      </c>
      <c r="I650" s="74" t="s">
        <v>2398</v>
      </c>
      <c r="J650" s="74" t="s">
        <v>271</v>
      </c>
      <c r="K650" s="74" t="s">
        <v>2399</v>
      </c>
    </row>
    <row r="651" spans="8:11" x14ac:dyDescent="0.3">
      <c r="H651" s="74" t="s">
        <v>2400</v>
      </c>
      <c r="I651" s="74" t="s">
        <v>2401</v>
      </c>
      <c r="J651" s="74" t="s">
        <v>271</v>
      </c>
      <c r="K651" s="74" t="s">
        <v>2402</v>
      </c>
    </row>
    <row r="652" spans="8:11" x14ac:dyDescent="0.3">
      <c r="H652" s="74" t="s">
        <v>1603</v>
      </c>
      <c r="I652" s="74" t="s">
        <v>1489</v>
      </c>
      <c r="J652" s="74" t="s">
        <v>271</v>
      </c>
      <c r="K652" s="74" t="s">
        <v>2403</v>
      </c>
    </row>
    <row r="653" spans="8:11" x14ac:dyDescent="0.3">
      <c r="H653" s="74" t="s">
        <v>919</v>
      </c>
      <c r="I653" s="74" t="s">
        <v>1300</v>
      </c>
      <c r="J653" s="74" t="s">
        <v>271</v>
      </c>
      <c r="K653" s="74" t="s">
        <v>2404</v>
      </c>
    </row>
    <row r="654" spans="8:11" x14ac:dyDescent="0.3">
      <c r="H654" s="74" t="s">
        <v>1658</v>
      </c>
      <c r="I654" s="74" t="s">
        <v>2405</v>
      </c>
      <c r="J654" s="74" t="s">
        <v>271</v>
      </c>
      <c r="K654" s="74" t="s">
        <v>2406</v>
      </c>
    </row>
    <row r="655" spans="8:11" x14ac:dyDescent="0.3">
      <c r="H655" s="74" t="s">
        <v>2407</v>
      </c>
      <c r="I655" s="74" t="s">
        <v>2408</v>
      </c>
      <c r="J655" s="74" t="s">
        <v>271</v>
      </c>
      <c r="K655" s="74" t="s">
        <v>2087</v>
      </c>
    </row>
    <row r="656" spans="8:11" x14ac:dyDescent="0.3">
      <c r="H656" s="74" t="s">
        <v>1152</v>
      </c>
      <c r="I656" s="74" t="s">
        <v>1710</v>
      </c>
      <c r="J656" s="74" t="s">
        <v>271</v>
      </c>
      <c r="K656" s="74" t="s">
        <v>2409</v>
      </c>
    </row>
    <row r="657" spans="8:11" x14ac:dyDescent="0.3">
      <c r="H657" s="74" t="s">
        <v>1209</v>
      </c>
      <c r="I657" s="74" t="s">
        <v>720</v>
      </c>
      <c r="J657" s="74" t="s">
        <v>271</v>
      </c>
      <c r="K657" s="74" t="s">
        <v>2410</v>
      </c>
    </row>
    <row r="658" spans="8:11" x14ac:dyDescent="0.3">
      <c r="H658" s="74" t="s">
        <v>1200</v>
      </c>
      <c r="I658" s="74" t="s">
        <v>1086</v>
      </c>
      <c r="J658" s="74" t="s">
        <v>271</v>
      </c>
      <c r="K658" s="74" t="s">
        <v>2411</v>
      </c>
    </row>
    <row r="659" spans="8:11" x14ac:dyDescent="0.3">
      <c r="H659" s="74" t="s">
        <v>1090</v>
      </c>
      <c r="I659" s="74" t="s">
        <v>1101</v>
      </c>
      <c r="J659" s="74" t="s">
        <v>271</v>
      </c>
      <c r="K659" s="74" t="s">
        <v>2412</v>
      </c>
    </row>
    <row r="660" spans="8:11" x14ac:dyDescent="0.3">
      <c r="H660" s="74" t="s">
        <v>2413</v>
      </c>
      <c r="I660" s="74" t="s">
        <v>2414</v>
      </c>
      <c r="J660" s="74" t="s">
        <v>271</v>
      </c>
      <c r="K660" s="74" t="s">
        <v>2415</v>
      </c>
    </row>
    <row r="661" spans="8:11" x14ac:dyDescent="0.3">
      <c r="H661" s="74" t="s">
        <v>1123</v>
      </c>
      <c r="I661" s="74" t="s">
        <v>2416</v>
      </c>
      <c r="J661" s="74" t="s">
        <v>271</v>
      </c>
      <c r="K661" s="74" t="s">
        <v>2417</v>
      </c>
    </row>
    <row r="662" spans="8:11" x14ac:dyDescent="0.3">
      <c r="H662" s="74" t="s">
        <v>1267</v>
      </c>
      <c r="I662" s="74" t="s">
        <v>1407</v>
      </c>
      <c r="J662" s="74" t="s">
        <v>271</v>
      </c>
      <c r="K662" s="74" t="s">
        <v>2418</v>
      </c>
    </row>
    <row r="663" spans="8:11" x14ac:dyDescent="0.3">
      <c r="H663" s="74" t="s">
        <v>2419</v>
      </c>
      <c r="I663" s="74" t="s">
        <v>1689</v>
      </c>
      <c r="J663" s="74" t="s">
        <v>271</v>
      </c>
      <c r="K663" s="74" t="s">
        <v>2420</v>
      </c>
    </row>
    <row r="664" spans="8:11" x14ac:dyDescent="0.3">
      <c r="H664" s="74" t="s">
        <v>1075</v>
      </c>
      <c r="I664" s="74" t="s">
        <v>2421</v>
      </c>
      <c r="J664" s="74" t="s">
        <v>271</v>
      </c>
      <c r="K664" s="74" t="s">
        <v>2422</v>
      </c>
    </row>
    <row r="665" spans="8:11" x14ac:dyDescent="0.3">
      <c r="H665" s="74" t="s">
        <v>2423</v>
      </c>
      <c r="I665" s="74" t="s">
        <v>1303</v>
      </c>
      <c r="J665" s="74" t="s">
        <v>271</v>
      </c>
      <c r="K665" s="74" t="s">
        <v>2424</v>
      </c>
    </row>
    <row r="666" spans="8:11" x14ac:dyDescent="0.3">
      <c r="H666" s="74" t="s">
        <v>2425</v>
      </c>
      <c r="I666" s="74" t="s">
        <v>2426</v>
      </c>
      <c r="J666" s="74" t="s">
        <v>271</v>
      </c>
      <c r="K666" s="74" t="s">
        <v>2427</v>
      </c>
    </row>
    <row r="667" spans="8:11" x14ac:dyDescent="0.3">
      <c r="H667" s="74" t="s">
        <v>1742</v>
      </c>
      <c r="I667" s="74" t="s">
        <v>2428</v>
      </c>
      <c r="J667" s="74" t="s">
        <v>271</v>
      </c>
      <c r="K667" s="74" t="s">
        <v>2429</v>
      </c>
    </row>
    <row r="668" spans="8:11" x14ac:dyDescent="0.3">
      <c r="H668" s="74" t="s">
        <v>2430</v>
      </c>
      <c r="I668" s="74" t="s">
        <v>1385</v>
      </c>
      <c r="J668" s="74" t="s">
        <v>271</v>
      </c>
      <c r="K668" s="74" t="s">
        <v>2431</v>
      </c>
    </row>
    <row r="669" spans="8:11" x14ac:dyDescent="0.3">
      <c r="H669" s="74" t="s">
        <v>1695</v>
      </c>
      <c r="I669" s="74" t="s">
        <v>1339</v>
      </c>
      <c r="J669" s="74" t="s">
        <v>271</v>
      </c>
      <c r="K669" s="74" t="s">
        <v>2432</v>
      </c>
    </row>
    <row r="670" spans="8:11" x14ac:dyDescent="0.3">
      <c r="H670" s="74" t="s">
        <v>1685</v>
      </c>
      <c r="I670" s="74" t="s">
        <v>1225</v>
      </c>
      <c r="J670" s="74" t="s">
        <v>271</v>
      </c>
      <c r="K670" s="74" t="s">
        <v>2433</v>
      </c>
    </row>
    <row r="671" spans="8:11" x14ac:dyDescent="0.3">
      <c r="H671" s="74" t="s">
        <v>1102</v>
      </c>
      <c r="I671" s="74" t="s">
        <v>1304</v>
      </c>
      <c r="J671" s="74" t="s">
        <v>271</v>
      </c>
      <c r="K671" s="74" t="s">
        <v>2434</v>
      </c>
    </row>
    <row r="672" spans="8:11" x14ac:dyDescent="0.3">
      <c r="H672" s="74" t="s">
        <v>1045</v>
      </c>
      <c r="I672" s="74" t="s">
        <v>1706</v>
      </c>
      <c r="J672" s="74" t="s">
        <v>271</v>
      </c>
      <c r="K672" s="74" t="s">
        <v>2435</v>
      </c>
    </row>
    <row r="673" spans="8:11" x14ac:dyDescent="0.3">
      <c r="H673" s="74" t="s">
        <v>1671</v>
      </c>
      <c r="I673" s="74" t="s">
        <v>1288</v>
      </c>
      <c r="J673" s="74" t="s">
        <v>271</v>
      </c>
      <c r="K673" s="74" t="s">
        <v>2436</v>
      </c>
    </row>
    <row r="674" spans="8:11" x14ac:dyDescent="0.3">
      <c r="H674" s="74" t="s">
        <v>1697</v>
      </c>
      <c r="I674" s="74" t="s">
        <v>2437</v>
      </c>
      <c r="J674" s="74" t="s">
        <v>271</v>
      </c>
      <c r="K674" s="74" t="s">
        <v>2438</v>
      </c>
    </row>
    <row r="675" spans="8:11" x14ac:dyDescent="0.3">
      <c r="H675" s="74" t="s">
        <v>1737</v>
      </c>
      <c r="I675" s="74" t="s">
        <v>2439</v>
      </c>
      <c r="J675" s="74" t="s">
        <v>271</v>
      </c>
      <c r="K675" s="74" t="s">
        <v>2440</v>
      </c>
    </row>
    <row r="676" spans="8:11" x14ac:dyDescent="0.3">
      <c r="H676" s="74" t="s">
        <v>1459</v>
      </c>
      <c r="I676" s="74" t="s">
        <v>2441</v>
      </c>
      <c r="J676" s="74" t="s">
        <v>271</v>
      </c>
      <c r="K676" s="74" t="s">
        <v>2442</v>
      </c>
    </row>
    <row r="677" spans="8:11" x14ac:dyDescent="0.3">
      <c r="H677" s="74" t="s">
        <v>1356</v>
      </c>
      <c r="I677" s="74" t="s">
        <v>2443</v>
      </c>
      <c r="J677" s="74" t="s">
        <v>271</v>
      </c>
      <c r="K677" s="74" t="s">
        <v>2444</v>
      </c>
    </row>
    <row r="678" spans="8:11" x14ac:dyDescent="0.3">
      <c r="H678" s="74" t="s">
        <v>1655</v>
      </c>
      <c r="I678" s="74" t="s">
        <v>2445</v>
      </c>
      <c r="J678" s="74" t="s">
        <v>271</v>
      </c>
      <c r="K678" s="74" t="s">
        <v>2446</v>
      </c>
    </row>
    <row r="679" spans="8:11" x14ac:dyDescent="0.3">
      <c r="H679" s="74" t="s">
        <v>967</v>
      </c>
      <c r="I679" s="74" t="s">
        <v>2447</v>
      </c>
      <c r="J679" s="74" t="s">
        <v>271</v>
      </c>
      <c r="K679" s="74" t="s">
        <v>2448</v>
      </c>
    </row>
    <row r="680" spans="8:11" x14ac:dyDescent="0.3">
      <c r="H680" s="74" t="s">
        <v>1013</v>
      </c>
      <c r="I680" s="74" t="s">
        <v>2449</v>
      </c>
      <c r="J680" s="74" t="s">
        <v>271</v>
      </c>
      <c r="K680" s="74" t="s">
        <v>2450</v>
      </c>
    </row>
  </sheetData>
  <autoFilter ref="N1:P1" xr:uid="{18FA1166-293A-4CF4-82BE-53744E4D703B}"/>
  <dataConsolidate/>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D56F-B217-4354-AA1D-56959AD78D0B}">
  <dimension ref="A1:J19"/>
  <sheetViews>
    <sheetView workbookViewId="0">
      <selection activeCell="F12" sqref="F12"/>
    </sheetView>
  </sheetViews>
  <sheetFormatPr defaultRowHeight="14.4" x14ac:dyDescent="0.3"/>
  <cols>
    <col min="1" max="1" width="23.33203125" bestFit="1" customWidth="1"/>
    <col min="2" max="2" width="21.109375" bestFit="1" customWidth="1"/>
    <col min="3" max="3" width="12.44140625" bestFit="1" customWidth="1"/>
    <col min="4" max="4" width="10.6640625" bestFit="1" customWidth="1"/>
    <col min="5" max="5" width="10.6640625" customWidth="1"/>
    <col min="6" max="6" width="79.109375" bestFit="1" customWidth="1"/>
    <col min="8" max="8" width="10.88671875" bestFit="1" customWidth="1"/>
  </cols>
  <sheetData>
    <row r="1" spans="1:10" ht="23.4" x14ac:dyDescent="0.45">
      <c r="A1" s="100" t="s">
        <v>274</v>
      </c>
      <c r="B1" s="100"/>
      <c r="C1" s="100"/>
      <c r="D1" s="100"/>
      <c r="E1" s="100"/>
      <c r="F1" s="100"/>
      <c r="J1" t="s">
        <v>275</v>
      </c>
    </row>
    <row r="2" spans="1:10" ht="20.399999999999999" thickBot="1" x14ac:dyDescent="0.45">
      <c r="A2" s="29" t="s">
        <v>276</v>
      </c>
      <c r="B2" s="29" t="s">
        <v>277</v>
      </c>
      <c r="C2" s="29" t="s">
        <v>278</v>
      </c>
      <c r="D2" s="29" t="s">
        <v>279</v>
      </c>
      <c r="E2" s="29" t="s">
        <v>280</v>
      </c>
      <c r="F2" s="29" t="s">
        <v>281</v>
      </c>
      <c r="H2" s="30" t="s">
        <v>282</v>
      </c>
      <c r="J2">
        <v>0</v>
      </c>
    </row>
    <row r="3" spans="1:10" ht="15" thickTop="1" x14ac:dyDescent="0.3">
      <c r="A3" t="s">
        <v>283</v>
      </c>
      <c r="B3" t="e" cm="1" vm="1">
        <f t="array" ref="B3">_xlfn.LAMBDA(_xlpm.texto,_xlpm.de,_xlpm.para, IF( _xlpm.de = "", _xlpm.texto, AUX_TROCAR( SUBSTITUTE( _xlpm.texto, LEFT( _xlpm.de ), LEFT( _xlpm.para ) ), RIGHT( _xlpm.de, LEN( _xlpm.de ) - 1), RIGHT( _xlpm.para, LEN( _xlpm.para ) - 1 ) ) ) )</f>
        <v>#VALUE!</v>
      </c>
      <c r="C3">
        <v>1</v>
      </c>
      <c r="D3" s="31">
        <v>44768</v>
      </c>
      <c r="E3" s="31"/>
      <c r="F3" s="3" t="s">
        <v>284</v>
      </c>
      <c r="H3" s="32" t="s">
        <v>285</v>
      </c>
      <c r="J3">
        <v>1</v>
      </c>
    </row>
    <row r="4" spans="1:10" x14ac:dyDescent="0.3">
      <c r="A4" t="s">
        <v>286</v>
      </c>
      <c r="B4" t="e" vm="1">
        <f>_xlfn.LAMBDA(_xlpm.texto, AUX_TROCAR( _xlpm.texto, "áàâãäÁÀÂÃÄéèêëÉÈÊËíìîïÍÌÎÏóòôöÓÒÔÖúùûüÚÙÛÜçÇ&amp;'`´~^", "aaaaaAAAAAeeeeEEEEiiiiIIIIooooOOOOuuuuUUUUcC      " ) )</f>
        <v>#VALUE!</v>
      </c>
      <c r="C4">
        <v>1</v>
      </c>
      <c r="D4" s="31">
        <v>44768</v>
      </c>
      <c r="E4" s="31"/>
      <c r="F4" s="3" t="s">
        <v>287</v>
      </c>
      <c r="H4" s="32" t="s">
        <v>288</v>
      </c>
    </row>
    <row r="5" spans="1:10" x14ac:dyDescent="0.3">
      <c r="A5" t="s">
        <v>289</v>
      </c>
      <c r="B5" t="e" cm="1" vm="1">
        <f t="array" ref="B5">_xlfn.LAMBDA(_xlpm.script,_xlpm.chaves,_xlpm.valores, _xlfn.LET(
_xlpm.saida, _xlfn.REDUCE( _xlpm.script, _xlpm.chaves, _xlfn.LAMBDA(_xlpm.A,_xlpm.B, SUBSTITUTE( _xlpm.A, _xlpm.B, _xlfn.XLOOKUP( _xlpm.B, _xlpm.chaves, _xlpm.valores ) ) ) ),
_xlpm.saida
) )</f>
        <v>#VALUE!</v>
      </c>
      <c r="C5">
        <v>1</v>
      </c>
      <c r="D5" s="31">
        <v>44819</v>
      </c>
      <c r="E5" s="31"/>
      <c r="F5" s="3" t="s">
        <v>290</v>
      </c>
      <c r="H5" s="32" t="s">
        <v>291</v>
      </c>
    </row>
    <row r="6" spans="1:10" x14ac:dyDescent="0.3">
      <c r="D6" s="31"/>
      <c r="E6" s="31"/>
      <c r="F6" s="3"/>
      <c r="H6" s="32" t="s">
        <v>292</v>
      </c>
    </row>
    <row r="7" spans="1:10" x14ac:dyDescent="0.3">
      <c r="D7" s="31"/>
      <c r="E7" s="31"/>
      <c r="F7" s="3"/>
    </row>
    <row r="8" spans="1:10" x14ac:dyDescent="0.3">
      <c r="A8" t="s">
        <v>293</v>
      </c>
      <c r="B8" t="e" cm="1" vm="1">
        <f t="array" ref="B8">_xlfn.LAMBDA(_xlpm.data, "'" &amp; TEXT( TRIM( _xlpm.data ), "DD/MM/AAAA" ) &amp; "'" )</f>
        <v>#VALUE!</v>
      </c>
      <c r="C8">
        <v>1</v>
      </c>
      <c r="D8" s="31">
        <v>44841</v>
      </c>
      <c r="E8" s="31"/>
      <c r="F8" s="3" t="s">
        <v>294</v>
      </c>
    </row>
    <row r="9" spans="1:10" x14ac:dyDescent="0.3">
      <c r="A9" t="s">
        <v>295</v>
      </c>
      <c r="B9" t="e" cm="1" vm="1">
        <f t="array" ref="B9">_xlfn.LAMBDA(_xlpm.texto, "'" &amp; UPPER( TRIM( MIG_REMOVE.ESPECIAL( _xlpm.texto ) ) ) &amp; "'" )</f>
        <v>#VALUE!</v>
      </c>
      <c r="C9">
        <v>1</v>
      </c>
      <c r="D9" s="31">
        <v>44841</v>
      </c>
      <c r="E9" s="31"/>
      <c r="F9" s="3" t="s">
        <v>296</v>
      </c>
    </row>
    <row r="10" spans="1:10" x14ac:dyDescent="0.3">
      <c r="A10" t="s">
        <v>297</v>
      </c>
      <c r="B10" t="e" cm="1" vm="1">
        <f t="array" ref="B10">_xlfn.LAMBDA(_xlpm.número, SUBSTITUTE( _xlpm.número, ",", ".") )</f>
        <v>#VALUE!</v>
      </c>
      <c r="C10">
        <v>1</v>
      </c>
      <c r="D10" s="31">
        <v>44841</v>
      </c>
      <c r="E10" s="31"/>
      <c r="F10" s="3" t="s">
        <v>298</v>
      </c>
    </row>
    <row r="11" spans="1:10" x14ac:dyDescent="0.3">
      <c r="A11" t="s">
        <v>299</v>
      </c>
      <c r="B11" t="e" cm="1" vm="1">
        <f t="array" ref="B11">_xlfn.LAMBDA(_xlpm.texto, _xlfn.CONCAT( IFERROR( -- MID( _xlpm.texto, _xlfn.SEQUENCE(LEN( _xlpm.texto ) ), 1 ), "" ) ) )</f>
        <v>#VALUE!</v>
      </c>
      <c r="C11">
        <v>1</v>
      </c>
      <c r="D11" s="31">
        <v>44769</v>
      </c>
      <c r="E11" s="31">
        <v>44905</v>
      </c>
      <c r="F11" s="3" t="s">
        <v>300</v>
      </c>
    </row>
    <row r="13" spans="1:10" x14ac:dyDescent="0.3">
      <c r="A13" t="s">
        <v>301</v>
      </c>
      <c r="B13" t="e" cm="1" vm="1">
        <f t="array" ref="B13">_xlfn.LAMBDA(_xlpm.colunaPK,_xlpm.org,_xlpm.campo,_xlpm.tabela,_xlpm.offset,
_xlfn.LET(
_xlpm.menor, SMALL( _xlpm.colunaPK, _xlpm.offset ),
_xlpm.maior, LARGE( _xlpm.colunaPK, 1 ),
_xlpm.qde, _xlpm.maior - _xlpm.menor + 1,
"/*" &amp; _xlpm.tabela &amp; "*/
SELECT A + 1 A, B - 1 B, B - A - 1 LENGHT, (SELECT TO_NUMBER(NRSEQUENCIAL) FROM NOVOCODIGO WHERE NRORG = " &amp; _xlpm.org &amp; " AND CDCONTADOR = '" &amp; _xlpm.tabela &amp; "') NOVOCODIGO FROM (SELECT 0 A, MIN(" &amp; _xlpm.campo &amp; ") B FROM " &amp; _xlpm.tabela &amp; " WHERE NRORG = " &amp; _xlpm.org &amp; " UNION ALL SELECT " &amp; _xlpm.campo &amp;", LEAD(" &amp; _xlpm.campo &amp; ") OVER (ORDER BY " &amp; _xlpm.campo &amp; ") FROM " &amp; _xlpm.tabela &amp; " WHERE NRORG = " &amp; _xlpm.org &amp; " ) WHERE B - A &gt; " &amp; _xlpm.qde &amp; " OR B IS NULL ORDER BY A;"
) )</f>
        <v>#VALUE!</v>
      </c>
      <c r="C13">
        <v>1</v>
      </c>
      <c r="D13" s="33">
        <v>44847</v>
      </c>
      <c r="E13" s="33"/>
    </row>
    <row r="16" spans="1:10" x14ac:dyDescent="0.3">
      <c r="A16" s="31"/>
    </row>
    <row r="18" spans="1:2" x14ac:dyDescent="0.3">
      <c r="A18" s="33"/>
    </row>
    <row r="19" spans="1:2" x14ac:dyDescent="0.3">
      <c r="A19" s="34"/>
      <c r="B19" t="str" cm="1">
        <f t="array" ref="B19">MIG_NORMA.DECIMAL(A19)</f>
        <v/>
      </c>
    </row>
  </sheetData>
  <mergeCells count="1">
    <mergeCell ref="A1:F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Dados</vt:lpstr>
      <vt:lpstr>Base</vt:lpstr>
      <vt:lpstr>prototipo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APARECIDA DA SILVA</dc:creator>
  <cp:keywords/>
  <dc:description/>
  <cp:lastModifiedBy>Bruno Borba</cp:lastModifiedBy>
  <cp:revision/>
  <dcterms:created xsi:type="dcterms:W3CDTF">2022-06-20T13:32:26Z</dcterms:created>
  <dcterms:modified xsi:type="dcterms:W3CDTF">2026-04-27T17:05:48Z</dcterms:modified>
  <cp:category/>
  <cp:contentStatus/>
</cp:coreProperties>
</file>