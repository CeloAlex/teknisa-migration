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1e3a717f9713d1/Migração v2/Ferramentas de migração/Gerador Scripts/"/>
    </mc:Choice>
  </mc:AlternateContent>
  <xr:revisionPtr revIDLastSave="144" documentId="13_ncr:1_{CB9D3B00-979E-4CF8-8D43-0715C6D9DCAF}" xr6:coauthVersionLast="47" xr6:coauthVersionMax="47" xr10:uidLastSave="{DCC838E6-CE96-47A5-930C-5823CA5B8D56}"/>
  <bookViews>
    <workbookView xWindow="-120" yWindow="-120" windowWidth="20730" windowHeight="11160" xr2:uid="{1E863231-DDEE-40C1-92CD-44DE1FE14181}"/>
  </bookViews>
  <sheets>
    <sheet name="Script" sheetId="1" r:id="rId1"/>
    <sheet name="HCM" sheetId="2" r:id="rId2"/>
  </sheets>
  <definedNames>
    <definedName name="_xlnm._FilterDatabase" localSheetId="1" hidden="1">HCM!$A$1:$D$722</definedName>
    <definedName name="_xlnm._FilterDatabase" localSheetId="0" hidden="1">Script!$A$2:$H$2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10" i="1" l="1"/>
  <c r="P9" i="1"/>
  <c r="P8" i="1"/>
  <c r="P7" i="1"/>
  <c r="P6" i="1"/>
  <c r="P5" i="1"/>
  <c r="P4" i="1"/>
  <c r="P3" i="1"/>
  <c r="O10" i="1"/>
  <c r="N10" i="1"/>
  <c r="M10" i="1"/>
  <c r="L10" i="1"/>
  <c r="H10" i="1"/>
  <c r="O9" i="1"/>
  <c r="N9" i="1"/>
  <c r="M9" i="1"/>
  <c r="L9" i="1"/>
  <c r="O8" i="1"/>
  <c r="N8" i="1"/>
  <c r="M8" i="1"/>
  <c r="L8" i="1"/>
  <c r="O7" i="1"/>
  <c r="N7" i="1"/>
  <c r="M7" i="1"/>
  <c r="L7" i="1"/>
  <c r="O6" i="1"/>
  <c r="N6" i="1"/>
  <c r="M6" i="1"/>
  <c r="L6" i="1"/>
  <c r="H9" i="1"/>
  <c r="H8" i="1"/>
  <c r="H7" i="1"/>
  <c r="H6" i="1"/>
  <c r="H5" i="1"/>
  <c r="H4" i="1"/>
  <c r="H3" i="1"/>
  <c r="M5" i="1"/>
  <c r="M4" i="1"/>
  <c r="M3" i="1"/>
  <c r="T9" i="1"/>
  <c r="U9" i="1" s="1"/>
  <c r="X5" i="1"/>
  <c r="AA5" i="1" s="1"/>
  <c r="W5" i="1"/>
  <c r="Z5" i="1" s="1"/>
  <c r="X4" i="1"/>
  <c r="AA4" i="1" s="1"/>
  <c r="W4" i="1"/>
  <c r="Z4" i="1" s="1"/>
  <c r="X3" i="1"/>
  <c r="W3" i="1"/>
  <c r="X9" i="1" l="1"/>
  <c r="W9" i="1"/>
  <c r="AA9" i="1" l="1"/>
  <c r="AA2" i="1" s="1"/>
  <c r="Z9" i="1"/>
  <c r="Z2" i="1" s="1"/>
  <c r="O5" i="1" l="1"/>
  <c r="N5" i="1"/>
  <c r="L5" i="1"/>
  <c r="O4" i="1"/>
  <c r="N4" i="1"/>
  <c r="L4" i="1"/>
  <c r="O3" i="1"/>
  <c r="N3" i="1"/>
  <c r="L3" i="1"/>
  <c r="K3" i="1"/>
  <c r="J3" i="1"/>
  <c r="J4" i="1" s="1"/>
  <c r="Q3" i="1" l="1"/>
  <c r="J5" i="1"/>
  <c r="J6" i="1" s="1"/>
  <c r="K4" i="1"/>
  <c r="Q4" i="1" s="1"/>
  <c r="J7" i="1" l="1"/>
  <c r="K5" i="1"/>
  <c r="K6" i="1" s="1"/>
  <c r="K7" i="1" s="1"/>
  <c r="K8" i="1" s="1"/>
  <c r="K9" i="1" s="1"/>
  <c r="K10" i="1" s="1"/>
  <c r="Q5" i="1" l="1"/>
  <c r="Q6" i="1"/>
  <c r="J8" i="1"/>
  <c r="Q7" i="1"/>
  <c r="Q8" i="1" l="1"/>
  <c r="J9" i="1"/>
  <c r="U7" i="1"/>
  <c r="U6" i="1"/>
  <c r="X6" i="1" s="1"/>
  <c r="Q9" i="1" l="1"/>
  <c r="J10" i="1"/>
  <c r="X7" i="1"/>
  <c r="X2" i="1" s="1"/>
  <c r="U8" i="1"/>
  <c r="U2" i="1" s="1"/>
  <c r="Q10" i="1" l="1"/>
  <c r="T6" i="1" l="1"/>
  <c r="W6" i="1" s="1"/>
  <c r="T7" i="1"/>
  <c r="W7" i="1" l="1"/>
  <c r="W2" i="1" s="1"/>
  <c r="T8" i="1"/>
  <c r="T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6" authorId="0" shapeId="0" xr:uid="{97A15C89-39F1-44E8-ADF9-CA355D5E0918}">
      <text>
        <r>
          <rPr>
            <sz val="11"/>
            <color rgb="FF000000"/>
            <rFont val="Calibri"/>
            <family val="2"/>
            <charset val="1"/>
          </rPr>
          <t>Cabeçalho do mnemônicos.
Primeira célula desse cabeçalho.</t>
        </r>
      </text>
    </comment>
    <comment ref="U6" authorId="0" shapeId="0" xr:uid="{72B57CD3-D0F5-41D1-B54E-FF97C8B697D2}">
      <text>
        <r>
          <rPr>
            <sz val="11"/>
            <color rgb="FF000000"/>
            <rFont val="Calibri"/>
            <family val="2"/>
            <charset val="1"/>
          </rPr>
          <t>Cabeçalho do mnemônicos.
Primeira célula desse cabeçalho.</t>
        </r>
      </text>
    </comment>
    <comment ref="T7" authorId="0" shapeId="0" xr:uid="{1C99186C-2D95-4E0D-8DE7-6E2CFD421C8A}">
      <text>
        <r>
          <rPr>
            <sz val="11"/>
            <color rgb="FF000000"/>
            <rFont val="Calibri"/>
            <family val="2"/>
            <charset val="1"/>
          </rPr>
          <t>Cabeçalho do mnemônicos.
Primeira célula desse cabeçalho.</t>
        </r>
      </text>
    </comment>
    <comment ref="U7" authorId="0" shapeId="0" xr:uid="{7EDF5C2A-FE3C-4FDE-BD8B-13B032294043}">
      <text>
        <r>
          <rPr>
            <sz val="11"/>
            <color rgb="FF000000"/>
            <rFont val="Calibri"/>
            <family val="2"/>
            <charset val="1"/>
          </rPr>
          <t>Cabeçalho do mnemônicos.
Primeira célula desse cabeçalho.</t>
        </r>
      </text>
    </comment>
  </commentList>
</comments>
</file>

<file path=xl/sharedStrings.xml><?xml version="1.0" encoding="utf-8"?>
<sst xmlns="http://schemas.openxmlformats.org/spreadsheetml/2006/main" count="76" uniqueCount="52">
  <si>
    <t>@NRTIPOOCUPACAO@</t>
  </si>
  <si>
    <t>→</t>
  </si>
  <si>
    <t>@CDINTEGRACAO@</t>
  </si>
  <si>
    <t>ORGANIZAÇÃO</t>
  </si>
  <si>
    <t>@NROCUPACAOM@</t>
  </si>
  <si>
    <t>@NROCUPACAOH@</t>
  </si>
  <si>
    <t>@DTINIVIGENCIA@</t>
  </si>
  <si>
    <t>@DTFIMVIGENCIA@</t>
  </si>
  <si>
    <t>@COMPETENCIA@</t>
  </si>
  <si>
    <t>@NMOCUPACAOH@</t>
  </si>
  <si>
    <t>@NRCBO@</t>
  </si>
  <si>
    <t>Script</t>
  </si>
  <si>
    <t>Busca de PK’s livres</t>
  </si>
  <si>
    <t>Validações de PK</t>
  </si>
  <si>
    <t>Atualiza Novo Código</t>
  </si>
  <si>
    <t>tp ocupação</t>
  </si>
  <si>
    <t>Início Vigência</t>
  </si>
  <si>
    <t>Fim Vigência</t>
  </si>
  <si>
    <t>Nr Ocupacao</t>
  </si>
  <si>
    <t>Competência</t>
  </si>
  <si>
    <t>Descrição</t>
  </si>
  <si>
    <t>CBO</t>
  </si>
  <si>
    <t>Existe?</t>
  </si>
  <si>
    <t>INSERT INTO GPE_OCUPACAOM (NRORG, NROCUPACAOM, NRTIPOOCUPACAO, DTINIVIGENCIA, DTFIMVIGENCIA, DTINCLUSAO, NRORGINCLUSAO, CDOPERINCLUSAO) VALUES (@NRORG@, @NROCUPACAOM@, @NRTIPOOCUPACAO@, '@DTINIVIGENCIA@', '@DTFIMVIGENCIA@', SYSDATE, @NRORG@, '000000099991'); INSERT INTO GPE_OCUPACAOH (NRORG, NROCUPACAOH, NROCUPACAOM, DTMESCOMPETENC, NMOCUPACAOH, CDINTEGRACAO, NRCBO, DTINCLUSAO, NRORGINCLUSAO, CDOPERINCLUSAO) VALUES (@NRORG@, @NROCUPACAOH@, @NROCUPACAOM@, '@COMPETENCIA@', '@NMOCUPACAOH@', '@CDINTEGRACAO@', @NRCBO@, SYSDATE, @NRORG@, '000000099991' ); COMMIT;</t>
  </si>
  <si>
    <t>COMMIT;</t>
  </si>
  <si>
    <t>Mnemônico</t>
  </si>
  <si>
    <t>Tabela</t>
  </si>
  <si>
    <t>GPE_OCUPACAOM</t>
  </si>
  <si>
    <t>GPE_OCUPACAOH</t>
  </si>
  <si>
    <t>PK</t>
  </si>
  <si>
    <t>NROCUPACAOM</t>
  </si>
  <si>
    <t>NROCUPACAOH</t>
  </si>
  <si>
    <t>Inicio PK</t>
  </si>
  <si>
    <t>Fim PK</t>
  </si>
  <si>
    <t>Quantidade</t>
  </si>
  <si>
    <t>Organização</t>
  </si>
  <si>
    <t>CDINTEGRACAO</t>
  </si>
  <si>
    <t>NRTIPOOCUPACAO</t>
  </si>
  <si>
    <t>NMOCUPACAOH</t>
  </si>
  <si>
    <t>SELECT
  OH.CDINTEGRACAO,
  OM.NROCUPACAOM,
  OM.NRTIPOOCUPACAO,
  OH.NMOCUPACAOH
FROM GPE_OCUPACAOM OM
JOIN GPE_OCUPACAOH OH ON OH.NRORG          = OM.NRORG
                     AND OH.NROCUPACAOM    = OM.NROCUPACAOM
                     AND OH.DTMESCOMPETENC = ( SELECT MAX(DTMESCOMPETENC) FROM GPE_OCUPACAOH
                                               WHERE NRORG           = OH.NRORG
                                                 AND NROCUPACAOM     = OH.NROCUPACAOM
                                                 AND DTMESCOMPETENC &lt;= '01/07/2022' )
WHERE OM.NRORG = :P_NRORG
ORDER BY TO_NUMBER( OH.CDINTEGRACAO )</t>
  </si>
  <si>
    <t>Ajudante de Expedicao</t>
  </si>
  <si>
    <t>414110</t>
  </si>
  <si>
    <t>Ajudante de Expedicao I</t>
  </si>
  <si>
    <t>Ajudante de Expedicao II</t>
  </si>
  <si>
    <t>414135</t>
  </si>
  <si>
    <t>Ajudante Externo</t>
  </si>
  <si>
    <t>783225</t>
  </si>
  <si>
    <t>Ajudante Externo I</t>
  </si>
  <si>
    <t>Ajudante Externo II</t>
  </si>
  <si>
    <t>Ajudante Interno</t>
  </si>
  <si>
    <t>Almoxarife</t>
  </si>
  <si>
    <t>414105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</si>
</sst>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rgb="FF000000"/>
      <name val="Calibri Light"/>
      <family val="2"/>
      <charset val="1"/>
    </font>
    <font>
      <sz val="9"/>
      <color rgb="FF000000"/>
      <name val="Calibri Light"/>
      <family val="2"/>
      <charset val="1"/>
    </font>
    <font>
      <sz val="8"/>
      <color theme="1"/>
      <name val="Calibri"/>
      <family val="2"/>
      <scheme val="minor"/>
    </font>
    <font>
      <sz val="8"/>
      <name val="Calibri Light"/>
      <family val="2"/>
      <charset val="1"/>
    </font>
    <font>
      <b/>
      <sz val="8"/>
      <name val="Calibri Light"/>
      <family val="2"/>
      <scheme val="major"/>
    </font>
    <font>
      <b/>
      <sz val="8"/>
      <color rgb="FF000000"/>
      <name val="Calibri Light"/>
      <family val="2"/>
      <scheme val="major"/>
    </font>
    <font>
      <b/>
      <sz val="8"/>
      <color rgb="FF000000"/>
      <name val="Calibri Light"/>
      <family val="2"/>
      <charset val="1"/>
    </font>
    <font>
      <b/>
      <sz val="8"/>
      <color rgb="FF00A933"/>
      <name val="Calibri Light"/>
      <family val="2"/>
      <charset val="1"/>
    </font>
    <font>
      <b/>
      <sz val="8"/>
      <color rgb="FF2A6099"/>
      <name val="Calibri Light"/>
      <family val="2"/>
      <charset val="1"/>
    </font>
    <font>
      <sz val="8"/>
      <color rgb="FF000000"/>
      <name val="Calibri Light"/>
      <family val="2"/>
      <charset val="1"/>
    </font>
    <font>
      <b/>
      <sz val="8"/>
      <color rgb="FFFF0000"/>
      <name val="Calibri Light"/>
      <family val="2"/>
      <charset val="1"/>
    </font>
    <font>
      <sz val="8"/>
      <color rgb="FFFF0000"/>
      <name val="Calibri Light"/>
      <family val="2"/>
      <charset val="1"/>
    </font>
    <font>
      <sz val="11"/>
      <color rgb="FF000000"/>
      <name val="Calibri"/>
      <family val="2"/>
      <charset val="1"/>
    </font>
    <font>
      <sz val="10"/>
      <color theme="1"/>
      <name val="Calibri"/>
      <family val="2"/>
      <scheme val="minor"/>
    </font>
    <font>
      <b/>
      <sz val="9"/>
      <color rgb="FF000000"/>
      <name val="Calibri Light"/>
      <family val="2"/>
    </font>
    <font>
      <i/>
      <sz val="8"/>
      <name val="Calibri Light"/>
      <family val="2"/>
    </font>
    <font>
      <sz val="9"/>
      <name val="Calibri Light"/>
      <family val="2"/>
      <charset val="1"/>
    </font>
    <font>
      <sz val="10"/>
      <name val="Arial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EEEEE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FFF"/>
      </patternFill>
    </fill>
    <fill>
      <patternFill patternType="solid">
        <fgColor rgb="FFEEEEEE"/>
        <bgColor rgb="FFFFFFCC"/>
      </patternFill>
    </fill>
    <fill>
      <patternFill patternType="solid">
        <fgColor rgb="FFEEEEEE"/>
        <bgColor rgb="FFFFFFD7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1" fillId="0" borderId="0"/>
  </cellStyleXfs>
  <cellXfs count="29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9" fillId="3" borderId="0" xfId="1" applyFont="1" applyFill="1" applyAlignment="1">
      <alignment horizontal="center"/>
    </xf>
    <xf numFmtId="0" fontId="6" fillId="3" borderId="0" xfId="0" applyFont="1" applyFill="1"/>
    <xf numFmtId="0" fontId="10" fillId="4" borderId="0" xfId="0" applyFont="1" applyFill="1"/>
    <xf numFmtId="0" fontId="11" fillId="4" borderId="0" xfId="0" applyFont="1" applyFill="1"/>
    <xf numFmtId="0" fontId="12" fillId="4" borderId="0" xfId="0" applyFont="1" applyFill="1"/>
    <xf numFmtId="0" fontId="10" fillId="4" borderId="0" xfId="0" applyFont="1" applyFill="1" applyAlignment="1">
      <alignment horizontal="center"/>
    </xf>
    <xf numFmtId="0" fontId="14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wrapText="1"/>
    </xf>
    <xf numFmtId="0" fontId="15" fillId="4" borderId="0" xfId="0" applyFont="1" applyFill="1" applyAlignment="1">
      <alignment horizontal="left"/>
    </xf>
    <xf numFmtId="0" fontId="15" fillId="4" borderId="0" xfId="0" applyFont="1" applyFill="1" applyAlignment="1">
      <alignment horizontal="center"/>
    </xf>
    <xf numFmtId="0" fontId="13" fillId="4" borderId="0" xfId="0" applyFont="1" applyFill="1"/>
    <xf numFmtId="0" fontId="13" fillId="0" borderId="0" xfId="0" applyFont="1"/>
    <xf numFmtId="0" fontId="2" fillId="0" borderId="0" xfId="0" applyFont="1"/>
    <xf numFmtId="0" fontId="6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17" fillId="0" borderId="0" xfId="0" applyFont="1"/>
    <xf numFmtId="0" fontId="7" fillId="5" borderId="0" xfId="0" applyFont="1" applyFill="1" applyAlignment="1">
      <alignment vertical="top" wrapText="1"/>
    </xf>
    <xf numFmtId="0" fontId="18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7" fillId="6" borderId="0" xfId="0" quotePrefix="1" applyFont="1" applyFill="1" applyAlignment="1">
      <alignment horizontal="left" vertical="center"/>
    </xf>
    <xf numFmtId="0" fontId="22" fillId="0" borderId="0" xfId="2" applyFont="1"/>
    <xf numFmtId="0" fontId="22" fillId="0" borderId="0" xfId="2" applyFont="1" applyAlignment="1">
      <alignment horizontal="center"/>
    </xf>
  </cellXfs>
  <cellStyles count="3">
    <cellStyle name="Normal" xfId="0" builtinId="0"/>
    <cellStyle name="Normal 2" xfId="1" xr:uid="{E3783F94-E060-4E99-96B9-77AD12E64A3B}"/>
    <cellStyle name="Normal 3" xfId="2" xr:uid="{59B68245-A195-411D-8610-FE79A733E5B2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F60A8-3ED9-47DF-AFBC-D39E03EE890C}">
  <dimension ref="A1:AB10"/>
  <sheetViews>
    <sheetView tabSelected="1" topLeftCell="J1" workbookViewId="0">
      <selection activeCell="Q2" sqref="Q2"/>
    </sheetView>
  </sheetViews>
  <sheetFormatPr defaultRowHeight="15" x14ac:dyDescent="0.25"/>
  <cols>
    <col min="1" max="2" width="18.5703125" bestFit="1" customWidth="1"/>
    <col min="3" max="3" width="16.85546875" bestFit="1" customWidth="1"/>
    <col min="4" max="4" width="16.7109375" bestFit="1" customWidth="1"/>
    <col min="5" max="5" width="17.28515625" bestFit="1" customWidth="1"/>
    <col min="6" max="6" width="33.140625" bestFit="1" customWidth="1"/>
    <col min="7" max="7" width="9.28515625" bestFit="1" customWidth="1"/>
    <col min="8" max="8" width="11.85546875" bestFit="1" customWidth="1"/>
    <col min="9" max="9" width="12" bestFit="1" customWidth="1"/>
    <col min="10" max="10" width="16.28515625" bestFit="1" customWidth="1"/>
    <col min="11" max="11" width="16" bestFit="1" customWidth="1"/>
    <col min="12" max="12" width="15.85546875" bestFit="1" customWidth="1"/>
    <col min="13" max="13" width="16.42578125" bestFit="1" customWidth="1"/>
    <col min="14" max="14" width="15.140625" bestFit="1" customWidth="1"/>
    <col min="15" max="15" width="16.42578125" bestFit="1" customWidth="1"/>
    <col min="16" max="16" width="9.42578125" bestFit="1" customWidth="1"/>
    <col min="17" max="17" width="80.7109375" customWidth="1"/>
    <col min="19" max="19" width="11.28515625" bestFit="1" customWidth="1"/>
    <col min="20" max="21" width="25.7109375" customWidth="1"/>
    <col min="22" max="22" width="11.28515625" bestFit="1" customWidth="1"/>
    <col min="23" max="24" width="25.7109375" customWidth="1"/>
    <col min="25" max="25" width="11.28515625" bestFit="1" customWidth="1"/>
    <col min="26" max="27" width="25.7109375" customWidth="1"/>
  </cols>
  <sheetData>
    <row r="1" spans="1:28" x14ac:dyDescent="0.25">
      <c r="A1" s="3" t="s">
        <v>0</v>
      </c>
      <c r="B1" s="4" t="s">
        <v>1</v>
      </c>
      <c r="C1" s="4" t="s">
        <v>1</v>
      </c>
      <c r="D1" s="4" t="s">
        <v>2</v>
      </c>
      <c r="E1" s="4" t="s">
        <v>1</v>
      </c>
      <c r="F1" s="4" t="s">
        <v>1</v>
      </c>
      <c r="G1" s="4"/>
      <c r="H1" s="5"/>
      <c r="I1" s="6" t="s">
        <v>3</v>
      </c>
      <c r="J1" s="6" t="s">
        <v>4</v>
      </c>
      <c r="K1" s="6" t="s">
        <v>5</v>
      </c>
      <c r="L1" s="7" t="s">
        <v>6</v>
      </c>
      <c r="M1" s="7" t="s">
        <v>7</v>
      </c>
      <c r="N1" s="7" t="s">
        <v>8</v>
      </c>
      <c r="O1" s="8" t="s">
        <v>9</v>
      </c>
      <c r="P1" s="8" t="s">
        <v>10</v>
      </c>
      <c r="Q1" s="9" t="s">
        <v>11</v>
      </c>
      <c r="R1" s="15"/>
      <c r="S1" s="18"/>
      <c r="T1" s="19" t="s">
        <v>12</v>
      </c>
      <c r="U1" s="19"/>
      <c r="W1" s="19" t="s">
        <v>13</v>
      </c>
      <c r="Z1" s="19" t="s">
        <v>14</v>
      </c>
      <c r="AA1" s="20"/>
    </row>
    <row r="2" spans="1:28" ht="225" x14ac:dyDescent="0.25">
      <c r="A2" s="1" t="s">
        <v>15</v>
      </c>
      <c r="B2" s="1" t="s">
        <v>16</v>
      </c>
      <c r="C2" s="1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10">
        <v>3991</v>
      </c>
      <c r="J2" s="10">
        <v>0</v>
      </c>
      <c r="K2" s="10">
        <v>0</v>
      </c>
      <c r="L2" s="10" t="s">
        <v>16</v>
      </c>
      <c r="M2" s="10" t="s">
        <v>17</v>
      </c>
      <c r="N2" s="10" t="s">
        <v>19</v>
      </c>
      <c r="O2" s="10" t="s">
        <v>20</v>
      </c>
      <c r="P2" s="10" t="s">
        <v>21</v>
      </c>
      <c r="Q2" s="11" t="s">
        <v>23</v>
      </c>
      <c r="R2" s="15"/>
      <c r="S2" s="18"/>
      <c r="T2" s="21" t="str">
        <f ca="1">"/*"&amp;T4&amp;"*/
SELECT A + 1 A, B - 1 B, B - A - 1 LENGHT, (SELECT TO_NUMBER(NRSEQUENCIAL) FROM NOVOCODIGO WHERE NRORG = "&amp;T9&amp;" AND CDCONTADOR = '"&amp;T4&amp;"') NOVOCODIGO FROM (SELECT 0 A, MIN("&amp;T5&amp;") B FROM "&amp;T4&amp;" WHERE NRORG = "&amp;T9&amp;" UNION ALL SELECT "&amp;T5&amp;", LEAD("&amp;T5&amp;") OVER (ORDER BY "&amp;T5&amp;") FROM "&amp;T4&amp;" WHERE NRORG = "&amp;T9&amp;" ) WHERE B - A &gt; "&amp;T8&amp;" OR B IS NULL ORDER BY A;"</f>
        <v>/*GPE_OCUPACAOM*/
SELECT A + 1 A, B - 1 B, B - A - 1 LENGHT, (SELECT TO_NUMBER(NRSEQUENCIAL) FROM NOVOCODIGO WHERE NRORG = 3991 AND CDCONTADOR = 'GPE_OCUPACAOM') NOVOCODIGO FROM (SELECT 0 A, MIN(NROCUPACAOM) B FROM GPE_OCUPACAOM WHERE NRORG = 3991 UNION ALL SELECT NROCUPACAOM, LEAD(NROCUPACAOM) OVER (ORDER BY NROCUPACAOM) FROM GPE_OCUPACAOM WHERE NRORG = 3991 ) WHERE B - A &gt; 8 OR B IS NULL ORDER BY A;</v>
      </c>
      <c r="U2" s="21" t="str">
        <f t="shared" ref="U2" ca="1" si="0">"/*"&amp;U4&amp;"*/
SELECT A + 1 A, B - 1 B, B - A - 1 LENGHT, (SELECT TO_NUMBER(NRSEQUENCIAL) FROM NOVOCODIGO WHERE NRORG = "&amp;U9&amp;" AND CDCONTADOR = '"&amp;U4&amp;"') NOVOCODIGO FROM (SELECT 0 A, MIN("&amp;U5&amp;") B FROM "&amp;U4&amp;" WHERE NRORG = "&amp;U9&amp;" UNION ALL SELECT "&amp;U5&amp;", LEAD("&amp;U5&amp;") OVER (ORDER BY "&amp;U5&amp;") FROM "&amp;U4&amp;" WHERE NRORG = "&amp;U9&amp;" ) WHERE B - A &gt; "&amp;U8&amp;" OR B IS NULL ORDER BY A;"</f>
        <v>/*GPE_OCUPACAOH*/
SELECT A + 1 A, B - 1 B, B - A - 1 LENGHT, (SELECT TO_NUMBER(NRSEQUENCIAL) FROM NOVOCODIGO WHERE NRORG = 3991 AND CDCONTADOR = 'GPE_OCUPACAOH') NOVOCODIGO FROM (SELECT 0 A, MIN(NROCUPACAOH) B FROM GPE_OCUPACAOH WHERE NRORG = 3991 UNION ALL SELECT NROCUPACAOH, LEAD(NROCUPACAOH) OVER (ORDER BY NROCUPACAOH) FROM GPE_OCUPACAOH WHERE NRORG = 3991 ) WHERE B - A &gt; 8 OR B IS NULL ORDER BY A;</v>
      </c>
      <c r="W2" s="21" t="str">
        <f ca="1">"SELECT DECODE(COUNT(1),0,'OK',COUNT(1)||' conflito(s)') STATUS, '"&amp;W4&amp;"' TABELA FROM "&amp;W4&amp;" WHERE NRORG = "&amp;W9&amp;" AND "&amp;W5&amp;" BETWEEN "&amp;W6&amp;" AND "&amp;W7&amp;" UNION ALL "</f>
        <v xml:space="preserve">SELECT DECODE(COUNT(1),0,'OK',COUNT(1)||' conflito(s)') STATUS, 'GPE_OCUPACAOM' TABELA FROM GPE_OCUPACAOM WHERE NRORG = 3991 AND NROCUPACAOM BETWEEN 1 AND 8 UNION ALL </v>
      </c>
      <c r="X2" s="21" t="str">
        <f ca="1">"SELECT DECODE(COUNT(1),0,'OK',COUNT(1)||' conflito(s)') STATUS, '"&amp;X4&amp;"' TABELA FROM "&amp;X4&amp;" WHERE NRORG = "&amp;X9&amp;" AND "&amp;X5&amp;" BETWEEN "&amp;X6&amp;" AND "&amp;X7&amp;" /*UNION ALL*/ ;"</f>
        <v>SELECT DECODE(COUNT(1),0,'OK',COUNT(1)||' conflito(s)') STATUS, 'GPE_OCUPACAOH' TABELA FROM GPE_OCUPACAOH WHERE NRORG = 3991 AND NROCUPACAOH BETWEEN 1 AND 8 /*UNION ALL*/ ;</v>
      </c>
      <c r="Z2" s="21" t="str">
        <f ca="1">"MERGE INTO NOVOCODIGO NC
  USING ( SELECT LPAD( MAX( "&amp;Z5&amp;" ) + 1, 20, '0' ) NRSEQUENCIAL
          FROM "&amp;Z4&amp;"
          WHERE NRORG = "&amp;Z9&amp;"
        ) TABELA
  ON (     NC.NRORG      = "&amp;Z9&amp;"
       AND NC.CDCONTADOR = '"&amp;Z4&amp;"' )
  WHEN     MATCHED THEN
    UPDATE SET NC.NRSEQUENCIAL = TABELA.NRSEQUENCIAL
  WHEN NOT MATCHED THEN
    INSERT ( CDCONTADOR, NRSEQUENCIAL, NRORG, DTINCLUSAO )
    VALUES ( '"&amp;Z4&amp;"', TABELA.NRSEQUENCIAL, "&amp;Z9&amp;", SYSDATE );"</f>
        <v>MERGE INTO NOVOCODIGO NC
  USING ( SELECT LPAD( MAX( NROCUPACAOM ) + 1, 20, '0' ) NRSEQUENCIAL
          FROM GPE_OCUPACAOM
          WHERE NRORG = 3991
        ) TABELA
  ON (     NC.NRORG      = 3991
       AND NC.CDCONTADOR = 'GPE_OCUPACAOM' )
  WHEN     MATCHED THEN
    UPDATE SET NC.NRSEQUENCIAL = TABELA.NRSEQUENCIAL
  WHEN NOT MATCHED THEN
    INSERT ( CDCONTADOR, NRSEQUENCIAL, NRORG, DTINCLUSAO )
    VALUES ( 'GPE_OCUPACAOM', TABELA.NRSEQUENCIAL, 3991, SYSDATE );</v>
      </c>
      <c r="AA2" s="21" t="str">
        <f t="shared" ref="AA2" ca="1" si="1">"MERGE INTO NOVOCODIGO NC
  USING ( SELECT LPAD( MAX( "&amp;AA5&amp;" ) + 1, 20, '0' ) NRSEQUENCIAL
          FROM "&amp;AA4&amp;"
          WHERE NRORG = "&amp;AA9&amp;"
        ) TABELA
  ON (     NC.NRORG      = "&amp;AA9&amp;"
       AND NC.CDCONTADOR = '"&amp;AA4&amp;"' )
  WHEN     MATCHED THEN
    UPDATE SET NC.NRSEQUENCIAL = TABELA.NRSEQUENCIAL
  WHEN NOT MATCHED THEN
    INSERT ( CDCONTADOR, NRSEQUENCIAL, NRORG, DTINCLUSAO )
    VALUES ( '"&amp;AA4&amp;"', TABELA.NRSEQUENCIAL, "&amp;AA9&amp;", SYSDATE ) ;"</f>
        <v>MERGE INTO NOVOCODIGO NC
  USING ( SELECT LPAD( MAX( NROCUPACAOH ) + 1, 20, '0' ) NRSEQUENCIAL
          FROM GPE_OCUPACAOH
          WHERE NRORG = 3991
        ) TABELA
  ON (     NC.NRORG      = 3991
       AND NC.CDCONTADOR = 'GPE_OCUPACAOH' )
  WHEN     MATCHED THEN
    UPDATE SET NC.NRSEQUENCIAL = TABELA.NRSEQUENCIAL
  WHEN NOT MATCHED THEN
    INSERT ( CDCONTADOR, NRSEQUENCIAL, NRORG, DTINCLUSAO )
    VALUES ( 'GPE_OCUPACAOH', TABELA.NRSEQUENCIAL, 3991, SYSDATE ) ;</v>
      </c>
      <c r="AB2" s="21" t="s">
        <v>24</v>
      </c>
    </row>
    <row r="3" spans="1:28" x14ac:dyDescent="0.25">
      <c r="A3" s="27">
        <v>1</v>
      </c>
      <c r="B3" s="27">
        <v>33022</v>
      </c>
      <c r="C3" s="27"/>
      <c r="D3" s="27">
        <v>1</v>
      </c>
      <c r="E3" s="27">
        <v>33022</v>
      </c>
      <c r="F3" s="27" t="s">
        <v>40</v>
      </c>
      <c r="G3" s="28" t="s">
        <v>41</v>
      </c>
      <c r="H3">
        <f>COUNTIF( HCM!A:A, D3 * 1 )</f>
        <v>0</v>
      </c>
      <c r="I3" s="12"/>
      <c r="J3" s="13">
        <f t="shared" ref="J3:K5" si="2">J2+1</f>
        <v>1</v>
      </c>
      <c r="K3" s="13">
        <f t="shared" si="2"/>
        <v>1</v>
      </c>
      <c r="L3" s="13" t="str">
        <f t="shared" ref="L3:L5" si="3">TEXT(B3,"DD/MM/AAAA")</f>
        <v>29/05/1990</v>
      </c>
      <c r="M3" s="13" t="str">
        <f>IF( C3 = "", "", TEXT(C3,"DD/MM/AAAA") )</f>
        <v/>
      </c>
      <c r="N3" s="13" t="str">
        <f t="shared" ref="N3:N5" si="4">TEXT(E3,"DD/MM/AAAA")</f>
        <v>29/05/1990</v>
      </c>
      <c r="O3" s="12" t="str">
        <f t="shared" ref="O3:O5" si="5">TRIM(SUBSTITUTE(F3,"'",""))</f>
        <v>Ajudante de Expedicao</v>
      </c>
      <c r="P3" s="13" t="str">
        <f t="shared" ref="P3:P10" si="6">IF(TRIM(G3)="","NULL",SUBSTITUTE(SUBSTITUTE(SUBSTITUTE(SUBSTITUTE(SUBSTITUTE(SUBSTITUTE(TRIM(G3)," ",""),".",""),",",""),"-",""),"_",""),CHAR(9),""))</f>
        <v>414110</v>
      </c>
      <c r="Q3" s="14" t="str">
        <f t="shared" ref="Q3:Q5" si="7">SUBSTITUTE(SUBSTITUTE(SUBSTITUTE(SUBSTITUTE(SUBSTITUTE(SUBSTITUTE(SUBSTITUTE(SUBSTITUTE(SUBSTITUTE(SUBSTITUTE(SUBSTITUTE(SUBSTITUTE(SUBSTITUTE(SUBSTITUTE($Q$2,"@NRORG@",$I$2),$A$1,A3),$B$1,B3),$B$1,B3),$D$1,D3),$B$1,B3),$B$1,B3),$J$1,J3),$K$1,K3),$L$1,L3),$M$1,M3),$N$1,N3),$O$1,O3),$P$1,P3)</f>
        <v>INSERT INTO GPE_OCUPACAOM (NRORG, NROCUPACAOM, NRTIPOOCUPACAO, DTINIVIGENCIA, DTFIMVIGENCIA, DTINCLUSAO, NRORGINCLUSAO, CDOPERINCLUSAO) VALUES (3991, 1, 1, '29/05/1990', '', SYSDATE, 3991, '000000099991'); INSERT INTO GPE_OCUPACAOH (NRORG, NROCUPACAOH, NROCUPACAOM, DTMESCOMPETENC, NMOCUPACAOH, CDINTEGRACAO, NRCBO, DTINCLUSAO, NRORGINCLUSAO, CDOPERINCLUSAO) VALUES (3991, 1, 1, '29/05/1990', 'Ajudante de Expedicao', '1', 414110, SYSDATE, 3991, '000000099991' ); COMMIT;</v>
      </c>
      <c r="R3" s="15"/>
      <c r="S3" s="22" t="s">
        <v>25</v>
      </c>
      <c r="T3" s="26" t="s">
        <v>4</v>
      </c>
      <c r="U3" s="26" t="s">
        <v>5</v>
      </c>
      <c r="V3" s="22" t="s">
        <v>25</v>
      </c>
      <c r="W3" s="24" t="str">
        <f t="shared" ref="W3:X7" si="8">T3</f>
        <v>@NROCUPACAOM@</v>
      </c>
      <c r="X3" s="24" t="str">
        <f t="shared" si="8"/>
        <v>@NROCUPACAOH@</v>
      </c>
      <c r="Y3" s="22"/>
      <c r="Z3" s="24"/>
      <c r="AA3" s="24"/>
    </row>
    <row r="4" spans="1:28" x14ac:dyDescent="0.25">
      <c r="A4" s="27">
        <v>1</v>
      </c>
      <c r="B4" s="27">
        <v>33022</v>
      </c>
      <c r="C4" s="27"/>
      <c r="D4" s="27">
        <v>2</v>
      </c>
      <c r="E4" s="27">
        <v>33022</v>
      </c>
      <c r="F4" s="27" t="s">
        <v>42</v>
      </c>
      <c r="G4" s="28" t="s">
        <v>41</v>
      </c>
      <c r="H4">
        <f>COUNTIF( HCM!A:A, D4 * 1 )</f>
        <v>0</v>
      </c>
      <c r="I4" s="12"/>
      <c r="J4" s="13">
        <f t="shared" si="2"/>
        <v>2</v>
      </c>
      <c r="K4" s="13">
        <f t="shared" si="2"/>
        <v>2</v>
      </c>
      <c r="L4" s="13" t="str">
        <f t="shared" si="3"/>
        <v>29/05/1990</v>
      </c>
      <c r="M4" s="13" t="str">
        <f t="shared" ref="M4:M5" si="9">IF( C4 = "", "", TEXT(C4,"DD/MM/AAAA") )</f>
        <v/>
      </c>
      <c r="N4" s="13" t="str">
        <f t="shared" si="4"/>
        <v>29/05/1990</v>
      </c>
      <c r="O4" s="12" t="str">
        <f t="shared" si="5"/>
        <v>Ajudante de Expedicao I</v>
      </c>
      <c r="P4" s="13" t="str">
        <f t="shared" si="6"/>
        <v>414110</v>
      </c>
      <c r="Q4" s="14" t="str">
        <f t="shared" si="7"/>
        <v>INSERT INTO GPE_OCUPACAOM (NRORG, NROCUPACAOM, NRTIPOOCUPACAO, DTINIVIGENCIA, DTFIMVIGENCIA, DTINCLUSAO, NRORGINCLUSAO, CDOPERINCLUSAO) VALUES (3991, 2, 1, '29/05/1990', '', SYSDATE, 3991, '000000099991'); INSERT INTO GPE_OCUPACAOH (NRORG, NROCUPACAOH, NROCUPACAOM, DTMESCOMPETENC, NMOCUPACAOH, CDINTEGRACAO, NRCBO, DTINCLUSAO, NRORGINCLUSAO, CDOPERINCLUSAO) VALUES (3991, 2, 2, '29/05/1990', 'Ajudante de Expedicao I', '2', 414110, SYSDATE, 3991, '000000099991' ); COMMIT;</v>
      </c>
      <c r="R4" s="15"/>
      <c r="S4" s="22" t="s">
        <v>26</v>
      </c>
      <c r="T4" s="23" t="s">
        <v>27</v>
      </c>
      <c r="U4" s="23" t="s">
        <v>28</v>
      </c>
      <c r="V4" s="22" t="s">
        <v>26</v>
      </c>
      <c r="W4" s="24" t="str">
        <f t="shared" si="8"/>
        <v>GPE_OCUPACAOM</v>
      </c>
      <c r="X4" s="24" t="str">
        <f t="shared" si="8"/>
        <v>GPE_OCUPACAOH</v>
      </c>
      <c r="Y4" s="22" t="s">
        <v>26</v>
      </c>
      <c r="Z4" s="24" t="str">
        <f>W4</f>
        <v>GPE_OCUPACAOM</v>
      </c>
      <c r="AA4" s="24" t="str">
        <f>X4</f>
        <v>GPE_OCUPACAOH</v>
      </c>
    </row>
    <row r="5" spans="1:28" x14ac:dyDescent="0.25">
      <c r="A5" s="27">
        <v>1</v>
      </c>
      <c r="B5" s="27">
        <v>33022</v>
      </c>
      <c r="C5" s="27"/>
      <c r="D5" s="27">
        <v>3</v>
      </c>
      <c r="E5" s="27">
        <v>33022</v>
      </c>
      <c r="F5" s="27" t="s">
        <v>43</v>
      </c>
      <c r="G5" s="28" t="s">
        <v>44</v>
      </c>
      <c r="H5">
        <f>COUNTIF( HCM!A:A, D5 * 1 )</f>
        <v>0</v>
      </c>
      <c r="I5" s="12"/>
      <c r="J5" s="13">
        <f t="shared" si="2"/>
        <v>3</v>
      </c>
      <c r="K5" s="13">
        <f t="shared" si="2"/>
        <v>3</v>
      </c>
      <c r="L5" s="13" t="str">
        <f t="shared" si="3"/>
        <v>29/05/1990</v>
      </c>
      <c r="M5" s="13" t="str">
        <f t="shared" si="9"/>
        <v/>
      </c>
      <c r="N5" s="13" t="str">
        <f t="shared" si="4"/>
        <v>29/05/1990</v>
      </c>
      <c r="O5" s="12" t="str">
        <f t="shared" si="5"/>
        <v>Ajudante de Expedicao II</v>
      </c>
      <c r="P5" s="13" t="str">
        <f t="shared" si="6"/>
        <v>414135</v>
      </c>
      <c r="Q5" s="14" t="str">
        <f t="shared" si="7"/>
        <v>INSERT INTO GPE_OCUPACAOM (NRORG, NROCUPACAOM, NRTIPOOCUPACAO, DTINIVIGENCIA, DTFIMVIGENCIA, DTINCLUSAO, NRORGINCLUSAO, CDOPERINCLUSAO) VALUES (3991, 3, 1, '29/05/1990', '', SYSDATE, 3991, '000000099991'); INSERT INTO GPE_OCUPACAOH (NRORG, NROCUPACAOH, NROCUPACAOM, DTMESCOMPETENC, NMOCUPACAOH, CDINTEGRACAO, NRCBO, DTINCLUSAO, NRORGINCLUSAO, CDOPERINCLUSAO) VALUES (3991, 3, 3, '29/05/1990', 'Ajudante de Expedicao II', '3', 414135, SYSDATE, 3991, '000000099991' ); COMMIT;</v>
      </c>
      <c r="R5" s="15"/>
      <c r="S5" s="22" t="s">
        <v>29</v>
      </c>
      <c r="T5" s="23" t="s">
        <v>30</v>
      </c>
      <c r="U5" s="23" t="s">
        <v>31</v>
      </c>
      <c r="V5" s="22" t="s">
        <v>29</v>
      </c>
      <c r="W5" s="24" t="str">
        <f t="shared" si="8"/>
        <v>NROCUPACAOM</v>
      </c>
      <c r="X5" s="24" t="str">
        <f t="shared" si="8"/>
        <v>NROCUPACAOH</v>
      </c>
      <c r="Y5" s="22" t="s">
        <v>29</v>
      </c>
      <c r="Z5" s="24" t="str">
        <f>W5</f>
        <v>NROCUPACAOM</v>
      </c>
      <c r="AA5" s="24" t="str">
        <f>X5</f>
        <v>NROCUPACAOH</v>
      </c>
    </row>
    <row r="6" spans="1:28" x14ac:dyDescent="0.25">
      <c r="A6" s="27">
        <v>1</v>
      </c>
      <c r="B6" s="27">
        <v>33022</v>
      </c>
      <c r="C6" s="27"/>
      <c r="D6" s="27">
        <v>4</v>
      </c>
      <c r="E6" s="27">
        <v>33022</v>
      </c>
      <c r="F6" s="27" t="s">
        <v>45</v>
      </c>
      <c r="G6" s="28" t="s">
        <v>46</v>
      </c>
      <c r="H6">
        <f>COUNTIF( HCM!A:A, D6 * 1 )</f>
        <v>0</v>
      </c>
      <c r="I6" s="12"/>
      <c r="J6" s="13">
        <f t="shared" ref="J6:K6" si="10">J5+1</f>
        <v>4</v>
      </c>
      <c r="K6" s="13">
        <f t="shared" si="10"/>
        <v>4</v>
      </c>
      <c r="L6" s="13" t="str">
        <f t="shared" ref="L6:L9" si="11">TEXT(B6,"DD/MM/AAAA")</f>
        <v>29/05/1990</v>
      </c>
      <c r="M6" s="13" t="str">
        <f t="shared" ref="M6:M9" si="12">IF( C6 = "", "", TEXT(C6,"DD/MM/AAAA") )</f>
        <v/>
      </c>
      <c r="N6" s="13" t="str">
        <f t="shared" ref="N6:N9" si="13">TEXT(E6,"DD/MM/AAAA")</f>
        <v>29/05/1990</v>
      </c>
      <c r="O6" s="12" t="str">
        <f t="shared" ref="O6:O9" si="14">TRIM(SUBSTITUTE(F6,"'",""))</f>
        <v>Ajudante Externo</v>
      </c>
      <c r="P6" s="13" t="str">
        <f t="shared" si="6"/>
        <v>783225</v>
      </c>
      <c r="Q6" s="14" t="str">
        <f t="shared" ref="Q6:Q9" si="15">SUBSTITUTE(SUBSTITUTE(SUBSTITUTE(SUBSTITUTE(SUBSTITUTE(SUBSTITUTE(SUBSTITUTE(SUBSTITUTE(SUBSTITUTE(SUBSTITUTE(SUBSTITUTE(SUBSTITUTE(SUBSTITUTE(SUBSTITUTE($Q$2,"@NRORG@",$I$2),$A$1,A6),$B$1,B6),$B$1,B6),$D$1,D6),$B$1,B6),$B$1,B6),$J$1,J6),$K$1,K6),$L$1,L6),$M$1,M6),$N$1,N6),$O$1,O6),$P$1,P6)</f>
        <v>INSERT INTO GPE_OCUPACAOM (NRORG, NROCUPACAOM, NRTIPOOCUPACAO, DTINIVIGENCIA, DTFIMVIGENCIA, DTINCLUSAO, NRORGINCLUSAO, CDOPERINCLUSAO) VALUES (3991, 4, 1, '29/05/1990', '', SYSDATE, 3991, '000000099991'); INSERT INTO GPE_OCUPACAOH (NRORG, NROCUPACAOH, NROCUPACAOM, DTMESCOMPETENC, NMOCUPACAOH, CDINTEGRACAO, NRCBO, DTINCLUSAO, NRORGINCLUSAO, CDOPERINCLUSAO) VALUES (3991, 4, 4, '29/05/1990', 'Ajudante Externo', '4', 783225, SYSDATE, 3991, '000000099991' ); COMMIT;</v>
      </c>
      <c r="R6" s="15"/>
      <c r="S6" s="22" t="s">
        <v>32</v>
      </c>
      <c r="T6" s="25">
        <f ca="1">MIN(OFFSET($A$1,2,MATCH(T$3,$1:$1,0)-1,1048574,1))</f>
        <v>1</v>
      </c>
      <c r="U6" s="25">
        <f ca="1">MIN(OFFSET($A$1,2,MATCH(U$3,$1:$1,0)-1,1048574,1))</f>
        <v>1</v>
      </c>
      <c r="V6" s="22" t="s">
        <v>32</v>
      </c>
      <c r="W6" s="24">
        <f t="shared" ca="1" si="8"/>
        <v>1</v>
      </c>
      <c r="X6" s="24">
        <f t="shared" ca="1" si="8"/>
        <v>1</v>
      </c>
      <c r="Y6" s="22"/>
      <c r="Z6" s="24"/>
      <c r="AA6" s="24"/>
    </row>
    <row r="7" spans="1:28" x14ac:dyDescent="0.25">
      <c r="A7" s="27">
        <v>1</v>
      </c>
      <c r="B7" s="27">
        <v>33022</v>
      </c>
      <c r="C7" s="27"/>
      <c r="D7" s="27">
        <v>5</v>
      </c>
      <c r="E7" s="27">
        <v>33022</v>
      </c>
      <c r="F7" s="27" t="s">
        <v>47</v>
      </c>
      <c r="G7" s="28" t="s">
        <v>46</v>
      </c>
      <c r="H7">
        <f>COUNTIF( HCM!A:A, D7 * 1 )</f>
        <v>0</v>
      </c>
      <c r="I7" s="12"/>
      <c r="J7" s="13">
        <f t="shared" ref="J7:K7" si="16">J6+1</f>
        <v>5</v>
      </c>
      <c r="K7" s="13">
        <f t="shared" si="16"/>
        <v>5</v>
      </c>
      <c r="L7" s="13" t="str">
        <f t="shared" si="11"/>
        <v>29/05/1990</v>
      </c>
      <c r="M7" s="13" t="str">
        <f t="shared" si="12"/>
        <v/>
      </c>
      <c r="N7" s="13" t="str">
        <f t="shared" si="13"/>
        <v>29/05/1990</v>
      </c>
      <c r="O7" s="12" t="str">
        <f t="shared" si="14"/>
        <v>Ajudante Externo I</v>
      </c>
      <c r="P7" s="13" t="str">
        <f t="shared" si="6"/>
        <v>783225</v>
      </c>
      <c r="Q7" s="14" t="str">
        <f t="shared" si="15"/>
        <v>INSERT INTO GPE_OCUPACAOM (NRORG, NROCUPACAOM, NRTIPOOCUPACAO, DTINIVIGENCIA, DTFIMVIGENCIA, DTINCLUSAO, NRORGINCLUSAO, CDOPERINCLUSAO) VALUES (3991, 5, 1, '29/05/1990', '', SYSDATE, 3991, '000000099991'); INSERT INTO GPE_OCUPACAOH (NRORG, NROCUPACAOH, NROCUPACAOM, DTMESCOMPETENC, NMOCUPACAOH, CDINTEGRACAO, NRCBO, DTINCLUSAO, NRORGINCLUSAO, CDOPERINCLUSAO) VALUES (3991, 5, 5, '29/05/1990', 'Ajudante Externo I', '5', 783225, SYSDATE, 3991, '000000099991' ); COMMIT;</v>
      </c>
      <c r="R7" s="15"/>
      <c r="S7" s="22" t="s">
        <v>33</v>
      </c>
      <c r="T7" s="25">
        <f ca="1">MAX(OFFSET($A$1,2,MATCH(T$3,$1:$1,0)-1,1048574,1))</f>
        <v>8</v>
      </c>
      <c r="U7" s="25">
        <f ca="1">MAX(OFFSET($A$1,2,MATCH(U$3,$1:$1,0)-1,1048574,1))</f>
        <v>8</v>
      </c>
      <c r="V7" s="22" t="s">
        <v>33</v>
      </c>
      <c r="W7" s="24">
        <f t="shared" ca="1" si="8"/>
        <v>8</v>
      </c>
      <c r="X7" s="24">
        <f t="shared" ca="1" si="8"/>
        <v>8</v>
      </c>
      <c r="Y7" s="22"/>
      <c r="Z7" s="24"/>
      <c r="AA7" s="24"/>
    </row>
    <row r="8" spans="1:28" x14ac:dyDescent="0.25">
      <c r="A8" s="27">
        <v>1</v>
      </c>
      <c r="B8" s="27">
        <v>33022</v>
      </c>
      <c r="C8" s="27"/>
      <c r="D8" s="27">
        <v>6</v>
      </c>
      <c r="E8" s="27">
        <v>33022</v>
      </c>
      <c r="F8" s="27" t="s">
        <v>48</v>
      </c>
      <c r="G8" s="28" t="s">
        <v>46</v>
      </c>
      <c r="H8">
        <f>COUNTIF( HCM!A:A, D8 * 1 )</f>
        <v>0</v>
      </c>
      <c r="I8" s="12"/>
      <c r="J8" s="13">
        <f t="shared" ref="J8:K8" si="17">J7+1</f>
        <v>6</v>
      </c>
      <c r="K8" s="13">
        <f t="shared" si="17"/>
        <v>6</v>
      </c>
      <c r="L8" s="13" t="str">
        <f t="shared" si="11"/>
        <v>29/05/1990</v>
      </c>
      <c r="M8" s="13" t="str">
        <f t="shared" si="12"/>
        <v/>
      </c>
      <c r="N8" s="13" t="str">
        <f t="shared" si="13"/>
        <v>29/05/1990</v>
      </c>
      <c r="O8" s="12" t="str">
        <f t="shared" si="14"/>
        <v>Ajudante Externo II</v>
      </c>
      <c r="P8" s="13" t="str">
        <f t="shared" si="6"/>
        <v>783225</v>
      </c>
      <c r="Q8" s="14" t="str">
        <f t="shared" si="15"/>
        <v>INSERT INTO GPE_OCUPACAOM (NRORG, NROCUPACAOM, NRTIPOOCUPACAO, DTINIVIGENCIA, DTFIMVIGENCIA, DTINCLUSAO, NRORGINCLUSAO, CDOPERINCLUSAO) VALUES (3991, 6, 1, '29/05/1990', '', SYSDATE, 3991, '000000099991'); INSERT INTO GPE_OCUPACAOH (NRORG, NROCUPACAOH, NROCUPACAOM, DTMESCOMPETENC, NMOCUPACAOH, CDINTEGRACAO, NRCBO, DTINCLUSAO, NRORGINCLUSAO, CDOPERINCLUSAO) VALUES (3991, 6, 6, '29/05/1990', 'Ajudante Externo II', '6', 783225, SYSDATE, 3991, '000000099991' ); COMMIT;</v>
      </c>
      <c r="R8" s="15"/>
      <c r="S8" s="22" t="s">
        <v>34</v>
      </c>
      <c r="T8" s="25">
        <f ca="1">T7-T6+1</f>
        <v>8</v>
      </c>
      <c r="U8" s="25">
        <f ca="1">U7-U6+1</f>
        <v>8</v>
      </c>
      <c r="V8" s="22"/>
      <c r="W8" s="24"/>
      <c r="X8" s="24"/>
      <c r="Y8" s="22"/>
      <c r="Z8" s="24"/>
      <c r="AA8" s="24"/>
    </row>
    <row r="9" spans="1:28" x14ac:dyDescent="0.25">
      <c r="A9" s="27">
        <v>1</v>
      </c>
      <c r="B9" s="27">
        <v>33022</v>
      </c>
      <c r="C9" s="27"/>
      <c r="D9" s="27">
        <v>7</v>
      </c>
      <c r="E9" s="27">
        <v>33022</v>
      </c>
      <c r="F9" s="27" t="s">
        <v>49</v>
      </c>
      <c r="G9" s="28" t="s">
        <v>41</v>
      </c>
      <c r="H9">
        <f>COUNTIF( HCM!A:A, D9 * 1 )</f>
        <v>0</v>
      </c>
      <c r="I9" s="12"/>
      <c r="J9" s="13">
        <f t="shared" ref="J9:K9" si="18">J8+1</f>
        <v>7</v>
      </c>
      <c r="K9" s="13">
        <f t="shared" si="18"/>
        <v>7</v>
      </c>
      <c r="L9" s="13" t="str">
        <f t="shared" si="11"/>
        <v>29/05/1990</v>
      </c>
      <c r="M9" s="13" t="str">
        <f t="shared" si="12"/>
        <v/>
      </c>
      <c r="N9" s="13" t="str">
        <f t="shared" si="13"/>
        <v>29/05/1990</v>
      </c>
      <c r="O9" s="12" t="str">
        <f t="shared" si="14"/>
        <v>Ajudante Interno</v>
      </c>
      <c r="P9" s="13" t="str">
        <f t="shared" si="6"/>
        <v>414110</v>
      </c>
      <c r="Q9" s="14" t="str">
        <f t="shared" si="15"/>
        <v>INSERT INTO GPE_OCUPACAOM (NRORG, NROCUPACAOM, NRTIPOOCUPACAO, DTINIVIGENCIA, DTFIMVIGENCIA, DTINCLUSAO, NRORGINCLUSAO, CDOPERINCLUSAO) VALUES (3991, 7, 1, '29/05/1990', '', SYSDATE, 3991, '000000099991'); INSERT INTO GPE_OCUPACAOH (NRORG, NROCUPACAOH, NROCUPACAOM, DTMESCOMPETENC, NMOCUPACAOH, CDINTEGRACAO, NRCBO, DTINCLUSAO, NRORGINCLUSAO, CDOPERINCLUSAO) VALUES (3991, 7, 7, '29/05/1990', 'Ajudante Interno', '7', 414110, SYSDATE, 3991, '000000099991' ); COMMIT;</v>
      </c>
      <c r="R9" s="15"/>
      <c r="S9" s="22" t="s">
        <v>35</v>
      </c>
      <c r="T9" s="25">
        <f ca="1">OFFSET($A$1,1,MATCH(S9,$1:$1,0)-1)</f>
        <v>3991</v>
      </c>
      <c r="U9" s="25">
        <f ca="1">T9</f>
        <v>3991</v>
      </c>
      <c r="V9" s="22" t="s">
        <v>35</v>
      </c>
      <c r="W9" s="24">
        <f ca="1">T9</f>
        <v>3991</v>
      </c>
      <c r="X9" s="24">
        <f ca="1">U9</f>
        <v>3991</v>
      </c>
      <c r="Y9" s="22" t="s">
        <v>35</v>
      </c>
      <c r="Z9" s="24">
        <f ca="1">W9</f>
        <v>3991</v>
      </c>
      <c r="AA9" s="24">
        <f ca="1">X9</f>
        <v>3991</v>
      </c>
    </row>
    <row r="10" spans="1:28" x14ac:dyDescent="0.25">
      <c r="A10" s="27">
        <v>1</v>
      </c>
      <c r="B10" s="27">
        <v>33022</v>
      </c>
      <c r="C10" s="27"/>
      <c r="D10" s="27">
        <v>8</v>
      </c>
      <c r="E10" s="27">
        <v>33022</v>
      </c>
      <c r="F10" s="27" t="s">
        <v>50</v>
      </c>
      <c r="G10" s="28" t="s">
        <v>51</v>
      </c>
      <c r="H10">
        <f>COUNTIF( HCM!A:A, D10 * 1 )</f>
        <v>0</v>
      </c>
      <c r="I10" s="12"/>
      <c r="J10" s="13">
        <f t="shared" ref="J10:K10" si="19">J9+1</f>
        <v>8</v>
      </c>
      <c r="K10" s="13">
        <f t="shared" si="19"/>
        <v>8</v>
      </c>
      <c r="L10" s="13" t="str">
        <f t="shared" ref="L10" si="20">TEXT(B10,"DD/MM/AAAA")</f>
        <v>29/05/1990</v>
      </c>
      <c r="M10" s="13" t="str">
        <f t="shared" ref="M10" si="21">IF( C10 = "", "", TEXT(C10,"DD/MM/AAAA") )</f>
        <v/>
      </c>
      <c r="N10" s="13" t="str">
        <f t="shared" ref="N10" si="22">TEXT(E10,"DD/MM/AAAA")</f>
        <v>29/05/1990</v>
      </c>
      <c r="O10" s="12" t="str">
        <f t="shared" ref="O10" si="23">TRIM(SUBSTITUTE(F10,"'",""))</f>
        <v>Almoxarife</v>
      </c>
      <c r="P10" s="13" t="str">
        <f t="shared" si="6"/>
        <v>414105</v>
      </c>
      <c r="Q10" s="14" t="str">
        <f t="shared" ref="Q10" si="24">SUBSTITUTE(SUBSTITUTE(SUBSTITUTE(SUBSTITUTE(SUBSTITUTE(SUBSTITUTE(SUBSTITUTE(SUBSTITUTE(SUBSTITUTE(SUBSTITUTE(SUBSTITUTE(SUBSTITUTE(SUBSTITUTE(SUBSTITUTE($Q$2,"@NRORG@",$I$2),$A$1,A10),$B$1,B10),$B$1,B10),$D$1,D10),$B$1,B10),$B$1,B10),$J$1,J10),$K$1,K10),$L$1,L10),$M$1,M10),$N$1,N10),$O$1,O10),$P$1,P10)</f>
        <v>INSERT INTO GPE_OCUPACAOM (NRORG, NROCUPACAOM, NRTIPOOCUPACAO, DTINIVIGENCIA, DTFIMVIGENCIA, DTINCLUSAO, NRORGINCLUSAO, CDOPERINCLUSAO) VALUES (3991, 8, 1, '29/05/1990', '', SYSDATE, 3991, '000000099991'); INSERT INTO GPE_OCUPACAOH (NRORG, NROCUPACAOH, NROCUPACAOM, DTMESCOMPETENC, NMOCUPACAOH, CDINTEGRACAO, NRCBO, DTINCLUSAO, NRORGINCLUSAO, CDOPERINCLUSAO) VALUES (3991, 8, 8, '29/05/1990', 'Almoxarife', '8', 414105, SYSDATE, 3991, '000000099991' ); COMMIT;</v>
      </c>
      <c r="R10" s="15"/>
      <c r="S10" s="15"/>
      <c r="T10" s="15"/>
      <c r="U10" s="15"/>
    </row>
  </sheetData>
  <autoFilter ref="A2:H2" xr:uid="{8F3F60A8-3ED9-47DF-AFBC-D39E03EE890C}"/>
  <conditionalFormatting sqref="F2">
    <cfRule type="duplicateValues" dxfId="0" priority="1" stopIfTrue="1"/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87FFD-FF13-4355-AA0E-A05BFB99EDE7}">
  <dimension ref="A1:F1"/>
  <sheetViews>
    <sheetView topLeftCell="B1" workbookViewId="0">
      <selection activeCell="F1" sqref="F1"/>
    </sheetView>
  </sheetViews>
  <sheetFormatPr defaultRowHeight="15" x14ac:dyDescent="0.25"/>
  <cols>
    <col min="1" max="1" width="17.5703125" bestFit="1" customWidth="1"/>
    <col min="2" max="2" width="18.140625" bestFit="1" customWidth="1"/>
    <col min="3" max="3" width="20.5703125" bestFit="1" customWidth="1"/>
    <col min="4" max="4" width="59.28515625" bestFit="1" customWidth="1"/>
    <col min="6" max="6" width="65.85546875" bestFit="1" customWidth="1"/>
  </cols>
  <sheetData>
    <row r="1" spans="1:6" ht="158.25" x14ac:dyDescent="0.25">
      <c r="A1" s="16" t="s">
        <v>36</v>
      </c>
      <c r="B1" s="16" t="s">
        <v>30</v>
      </c>
      <c r="C1" s="16" t="s">
        <v>37</v>
      </c>
      <c r="D1" s="16" t="s">
        <v>38</v>
      </c>
      <c r="F1" s="17" t="s">
        <v>39</v>
      </c>
    </row>
  </sheetData>
  <autoFilter ref="A1:D722" xr:uid="{32487FFD-FF13-4355-AA0E-A05BFB99EDE7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Script</vt:lpstr>
      <vt:lpstr>HCM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APARECIDA DA SILVA</dc:creator>
  <cp:keywords/>
  <dc:description/>
  <cp:lastModifiedBy>Rafael Pickbrenner</cp:lastModifiedBy>
  <cp:revision/>
  <dcterms:created xsi:type="dcterms:W3CDTF">2022-06-17T20:28:51Z</dcterms:created>
  <dcterms:modified xsi:type="dcterms:W3CDTF">2026-02-03T18:35:23Z</dcterms:modified>
  <cp:category/>
  <cp:contentStatus/>
</cp:coreProperties>
</file>