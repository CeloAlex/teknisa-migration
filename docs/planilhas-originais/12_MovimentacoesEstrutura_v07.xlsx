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663" documentId="13_ncr:4000b_{F5D2B5E7-3E80-40AE-BBE0-79A380620FA8}" xr6:coauthVersionLast="47" xr6:coauthVersionMax="47" xr10:uidLastSave="{A7354868-776A-4A1D-A8BE-7285DA99AF40}"/>
  <bookViews>
    <workbookView xWindow="22635" yWindow="0" windowWidth="26010" windowHeight="20880" tabRatio="199" xr2:uid="{00000000-000D-0000-FFFF-FFFF00000000}"/>
  </bookViews>
  <sheets>
    <sheet name="Dados" sheetId="1" r:id="rId1"/>
    <sheet name="Base" sheetId="2" r:id="rId2"/>
    <sheet name="prototipo 2" sheetId="3" r:id="rId3"/>
  </sheets>
  <definedNames>
    <definedName name="_xlnm._FilterDatabase" localSheetId="0" hidden="1">Dados!$A$2:$J$2</definedName>
    <definedName name="AUX_TROCAR">_xlfn.LAMBDA(_xlpm.texto,_xlpm.de,_xlpm.para, IF( _xlpm.de = "", _xlpm.texto, AUX_TROCAR( SUBSTITUTE( _xlpm.texto, LEFT( _xlpm.de ), LEFT( _xlpm.para ) ), RIGHT( _xlpm.de, LEN( _xlpm.de ) - 1), RIGHT( _xlpm.para, LEN( _xlpm.para ) - 1 ) ) ) )</definedName>
    <definedName name="MIG_GERA.SCRIPT">_xlfn.LAMBDA(_xlpm.script,_xlpm.chaves,_xlpm.valores, _xlfn.LET( _xlpm.saida, _xlfn.REDUCE( _xlpm.script, _xlpm.chaves, _xlfn.LAMBDA(_xlpm.A,_xlpm.B, SUBSTITUTE( _xlpm.A, _xlpm.B, _xlfn.XLOOKUP( _xlpm.B, _xlpm.chaves, _xlpm.valores ) ) ) ), _xlpm.saida ) )</definedName>
    <definedName name="MIG_NORMA.DATA">_xlfn.LAMBDA(_xlpm.data, "'" &amp; TEXT( TRIM( _xlpm.data ), "DD/MM/AAAA" ) &amp; "'" )</definedName>
    <definedName name="MIG_NORMA.DECIMAL">_xlfn.LAMBDA(_xlpm.número, SUBSTITUTE( _xlpm.número, ",", ".") )</definedName>
    <definedName name="MIG_NORMA.NÚMERICO">_xlfn.LAMBDA(_xlpm.texto, _xlfn.CONCAT( "'", IFERROR( -- MID( _xlpm.texto, _xlfn.SEQUENCE(LEN( _xlpm.texto ) ), 1 ), "" ), "'"  ) )</definedName>
    <definedName name="MIG_NORMA.TEXTO">_xlfn.LAMBDA(_xlpm.texto, "'" &amp; UPPER( TRIM( MIG_REMOVE.ESPECIAL( _xlpm.texto ) ) ) &amp; "'" )</definedName>
    <definedName name="MIG_QRY.CHAVES">_xlfn.LAMBDA(_xlpm.colunaPK,_xlpm.org,_xlpm.campo,_xlpm.tabela,_xlpm.offset, _xlfn.LET( _xlpm.menor, SMALL( _xlpm.colunaPK, _xlpm.offset ), _xlpm.maior, LARGE( _xlpm.colunaPK, 1 ), _xlpm.qde, _xlpm.maior - _xlpm.menor + 1, "/*" &amp; _xlpm.tabela &amp; "*/ 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 ) )</definedName>
    <definedName name="MIG_REMOVE.ESPECIAL">_xlfn.LAMBDA(_xlpm.texto, AUX_TROCAR( _xlpm.texto, "áàâãäÁÀÂÃÄéèêëÉÈÊËíìîïÍÌÎÏóòôöÓÒÔÖúùûüÚÙÛÜçÇ&amp;'`´~^", "aaaaaAAAAAeeeeEEEEiiiiIIIIooooOOOOuuuuUUUUcC      " ) 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 a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AL1" i="1"/>
  <c r="W24" i="1"/>
  <c r="V24" i="1"/>
  <c r="U24" i="1"/>
  <c r="T24" i="1"/>
  <c r="S24" i="1"/>
  <c r="R24" i="1"/>
  <c r="Q24" i="1"/>
  <c r="P24" i="1"/>
  <c r="O24" i="1"/>
  <c r="M24" i="1"/>
  <c r="W23" i="1"/>
  <c r="V23" i="1"/>
  <c r="U23" i="1"/>
  <c r="T23" i="1"/>
  <c r="S23" i="1"/>
  <c r="R23" i="1"/>
  <c r="Q23" i="1"/>
  <c r="P23" i="1"/>
  <c r="O23" i="1"/>
  <c r="M23" i="1"/>
  <c r="W22" i="1"/>
  <c r="V22" i="1"/>
  <c r="U22" i="1"/>
  <c r="T22" i="1"/>
  <c r="S22" i="1"/>
  <c r="R22" i="1"/>
  <c r="Q22" i="1"/>
  <c r="P22" i="1"/>
  <c r="O22" i="1"/>
  <c r="M22" i="1"/>
  <c r="W21" i="1"/>
  <c r="V21" i="1"/>
  <c r="U21" i="1"/>
  <c r="T21" i="1"/>
  <c r="S21" i="1"/>
  <c r="R21" i="1"/>
  <c r="Q21" i="1"/>
  <c r="P21" i="1"/>
  <c r="O21" i="1"/>
  <c r="M21" i="1"/>
  <c r="W20" i="1"/>
  <c r="V20" i="1"/>
  <c r="U20" i="1"/>
  <c r="T20" i="1"/>
  <c r="S20" i="1"/>
  <c r="R20" i="1"/>
  <c r="Q20" i="1"/>
  <c r="P20" i="1"/>
  <c r="O20" i="1"/>
  <c r="M20" i="1"/>
  <c r="W19" i="1"/>
  <c r="V19" i="1"/>
  <c r="U19" i="1"/>
  <c r="T19" i="1"/>
  <c r="S19" i="1"/>
  <c r="R19" i="1"/>
  <c r="Q19" i="1"/>
  <c r="P19" i="1"/>
  <c r="O19" i="1"/>
  <c r="M19" i="1"/>
  <c r="W18" i="1"/>
  <c r="V18" i="1"/>
  <c r="U18" i="1"/>
  <c r="T18" i="1"/>
  <c r="S18" i="1"/>
  <c r="R18" i="1"/>
  <c r="Q18" i="1"/>
  <c r="P18" i="1"/>
  <c r="O18" i="1"/>
  <c r="M18" i="1"/>
  <c r="W17" i="1"/>
  <c r="V17" i="1"/>
  <c r="U17" i="1"/>
  <c r="T17" i="1"/>
  <c r="S17" i="1"/>
  <c r="R17" i="1"/>
  <c r="Q17" i="1"/>
  <c r="P17" i="1"/>
  <c r="O17" i="1"/>
  <c r="M17" i="1"/>
  <c r="W16" i="1"/>
  <c r="V16" i="1"/>
  <c r="U16" i="1"/>
  <c r="T16" i="1"/>
  <c r="S16" i="1"/>
  <c r="R16" i="1"/>
  <c r="Q16" i="1"/>
  <c r="P16" i="1"/>
  <c r="O16" i="1"/>
  <c r="M16" i="1"/>
  <c r="W15" i="1"/>
  <c r="V15" i="1"/>
  <c r="U15" i="1"/>
  <c r="T15" i="1"/>
  <c r="S15" i="1"/>
  <c r="R15" i="1"/>
  <c r="Q15" i="1"/>
  <c r="P15" i="1"/>
  <c r="O15" i="1"/>
  <c r="M15" i="1"/>
  <c r="W14" i="1"/>
  <c r="V14" i="1"/>
  <c r="U14" i="1"/>
  <c r="T14" i="1"/>
  <c r="S14" i="1"/>
  <c r="R14" i="1"/>
  <c r="Q14" i="1"/>
  <c r="P14" i="1"/>
  <c r="O14" i="1"/>
  <c r="M14" i="1"/>
  <c r="W13" i="1"/>
  <c r="V13" i="1"/>
  <c r="U13" i="1"/>
  <c r="T13" i="1"/>
  <c r="S13" i="1"/>
  <c r="R13" i="1"/>
  <c r="Q13" i="1"/>
  <c r="P13" i="1"/>
  <c r="O13" i="1"/>
  <c r="M13" i="1"/>
  <c r="W12" i="1"/>
  <c r="V12" i="1"/>
  <c r="U12" i="1"/>
  <c r="T12" i="1"/>
  <c r="S12" i="1"/>
  <c r="R12" i="1"/>
  <c r="Q12" i="1"/>
  <c r="P12" i="1"/>
  <c r="O12" i="1"/>
  <c r="M12" i="1"/>
  <c r="W11" i="1"/>
  <c r="V11" i="1"/>
  <c r="U11" i="1"/>
  <c r="T11" i="1"/>
  <c r="S11" i="1"/>
  <c r="R11" i="1"/>
  <c r="Q11" i="1"/>
  <c r="P11" i="1"/>
  <c r="O11" i="1"/>
  <c r="M11" i="1"/>
  <c r="S3" i="1"/>
  <c r="M10" i="1"/>
  <c r="M9" i="1"/>
  <c r="M8" i="1"/>
  <c r="M7" i="1"/>
  <c r="M6" i="1"/>
  <c r="M5" i="1"/>
  <c r="M4" i="1"/>
  <c r="M3" i="1"/>
  <c r="B19" i="3" a="1"/>
  <c r="B13" i="3" a="1"/>
  <c r="B11" i="3" a="1"/>
  <c r="B10" i="3" a="1"/>
  <c r="B9" i="3" a="1"/>
  <c r="B8" i="3" a="1"/>
  <c r="B5" i="3" a="1"/>
  <c r="B4" i="3"/>
  <c r="B3" i="3" a="1"/>
  <c r="AI1" i="1"/>
  <c r="W10" i="1"/>
  <c r="V10" i="1"/>
  <c r="U10" i="1"/>
  <c r="T10" i="1"/>
  <c r="S10" i="1"/>
  <c r="R10" i="1"/>
  <c r="Q10" i="1"/>
  <c r="P10" i="1"/>
  <c r="O10" i="1"/>
  <c r="W9" i="1"/>
  <c r="V9" i="1"/>
  <c r="U9" i="1"/>
  <c r="T9" i="1"/>
  <c r="S9" i="1"/>
  <c r="R9" i="1"/>
  <c r="Q9" i="1"/>
  <c r="P9" i="1"/>
  <c r="O9" i="1"/>
  <c r="W8" i="1"/>
  <c r="V8" i="1"/>
  <c r="U8" i="1"/>
  <c r="T8" i="1"/>
  <c r="S8" i="1"/>
  <c r="R8" i="1"/>
  <c r="Q8" i="1"/>
  <c r="P8" i="1"/>
  <c r="O8" i="1"/>
  <c r="W7" i="1"/>
  <c r="V7" i="1"/>
  <c r="U7" i="1"/>
  <c r="T7" i="1"/>
  <c r="S7" i="1"/>
  <c r="R7" i="1"/>
  <c r="Q7" i="1"/>
  <c r="P7" i="1"/>
  <c r="O7" i="1"/>
  <c r="W6" i="1"/>
  <c r="V6" i="1"/>
  <c r="U6" i="1"/>
  <c r="T6" i="1"/>
  <c r="S6" i="1"/>
  <c r="R6" i="1"/>
  <c r="Q6" i="1"/>
  <c r="P6" i="1"/>
  <c r="O6" i="1"/>
  <c r="W5" i="1"/>
  <c r="V5" i="1"/>
  <c r="U5" i="1"/>
  <c r="T5" i="1"/>
  <c r="S5" i="1"/>
  <c r="R5" i="1"/>
  <c r="Q5" i="1"/>
  <c r="P5" i="1"/>
  <c r="O5" i="1"/>
  <c r="R4" i="1"/>
  <c r="R3" i="1"/>
  <c r="O4" i="1"/>
  <c r="O3" i="1"/>
  <c r="AC9" i="1"/>
  <c r="AE9" i="1" s="1"/>
  <c r="AG9" i="1" s="1"/>
  <c r="AG2" i="1" s="1"/>
  <c r="AE5" i="1"/>
  <c r="AG5" i="1" s="1"/>
  <c r="AE4" i="1"/>
  <c r="AG4" i="1" s="1"/>
  <c r="AE3" i="1"/>
  <c r="AJ3" i="1" a="1"/>
  <c r="AL3" i="1" a="1"/>
  <c r="AM3" i="1" s="1" a="1"/>
  <c r="Z20" i="1" l="1"/>
  <c r="Z15" i="1"/>
  <c r="Z17" i="1"/>
  <c r="Z23" i="1"/>
  <c r="Z24" i="1"/>
  <c r="Z19" i="1"/>
  <c r="N3" i="1"/>
  <c r="Y3" i="1" s="1" a="1"/>
  <c r="P2" i="1"/>
  <c r="Q2" i="1"/>
  <c r="S2" i="1"/>
  <c r="T2" i="1"/>
  <c r="U2" i="1"/>
  <c r="V2" i="1"/>
  <c r="W2" i="1"/>
  <c r="W4" i="1"/>
  <c r="V4" i="1"/>
  <c r="U4" i="1"/>
  <c r="T4" i="1"/>
  <c r="S4" i="1"/>
  <c r="Q4" i="1"/>
  <c r="P4" i="1"/>
  <c r="W3" i="1"/>
  <c r="V3" i="1"/>
  <c r="U3" i="1"/>
  <c r="T3" i="1"/>
  <c r="AK3" i="1" a="1"/>
  <c r="N4" i="1" l="1"/>
  <c r="Y4" i="1" s="1" a="1"/>
  <c r="N5" i="1"/>
  <c r="Y5" i="1" s="1" a="1"/>
  <c r="Q3" i="1"/>
  <c r="P3" i="1"/>
  <c r="N6" i="1" l="1"/>
  <c r="Y6" i="1" s="1" a="1"/>
  <c r="Z5" i="1"/>
  <c r="Z3" i="1"/>
  <c r="Z4" i="1"/>
  <c r="N7" i="1" l="1"/>
  <c r="Y7" i="1" s="1" a="1"/>
  <c r="Z6" i="1"/>
  <c r="N8" i="1" l="1"/>
  <c r="Y8" i="1" s="1" a="1"/>
  <c r="Z7" i="1"/>
  <c r="N9" i="1" l="1"/>
  <c r="Y9" i="1" s="1" a="1"/>
  <c r="Z8" i="1"/>
  <c r="N10" i="1" l="1"/>
  <c r="Y10" i="1" s="1" a="1"/>
  <c r="Z9" i="1"/>
  <c r="Z10" i="1" l="1"/>
  <c r="N11" i="1"/>
  <c r="Y11" i="1" s="1" a="1"/>
  <c r="N12" i="1" l="1"/>
  <c r="Y12" i="1" s="1" a="1"/>
  <c r="Z11" i="1"/>
  <c r="N13" i="1" l="1"/>
  <c r="Y13" i="1" s="1" a="1"/>
  <c r="Z12" i="1"/>
  <c r="N14" i="1" l="1"/>
  <c r="Y14" i="1" s="1" a="1"/>
  <c r="Z13" i="1"/>
  <c r="N15" i="1" l="1"/>
  <c r="Y15" i="1" s="1" a="1"/>
  <c r="Z14" i="1"/>
  <c r="N16" i="1" l="1"/>
  <c r="Y16" i="1" s="1" a="1"/>
  <c r="N17" i="1" l="1"/>
  <c r="Y17" i="1" s="1" a="1"/>
  <c r="Z16" i="1"/>
  <c r="N18" i="1" l="1"/>
  <c r="Y18" i="1" s="1" a="1"/>
  <c r="N19" i="1" l="1"/>
  <c r="Y19" i="1" s="1" a="1"/>
  <c r="Z18" i="1"/>
  <c r="N20" i="1" l="1"/>
  <c r="Y20" i="1" s="1" a="1"/>
  <c r="N21" i="1" l="1"/>
  <c r="Y21" i="1" s="1" a="1"/>
  <c r="N22" i="1" l="1"/>
  <c r="Y22" i="1" s="1" a="1"/>
  <c r="Z21" i="1"/>
  <c r="N23" i="1" l="1"/>
  <c r="Y23" i="1" s="1" a="1"/>
  <c r="Z22" i="1"/>
  <c r="N24" i="1" l="1"/>
  <c r="Y24" i="1" s="1" a="1"/>
  <c r="AC6" i="1" l="1"/>
  <c r="AE6" i="1" s="1"/>
  <c r="AC7" i="1"/>
  <c r="AC8" i="1" l="1"/>
  <c r="AC2" i="1" s="1"/>
  <c r="AE7" i="1"/>
  <c r="AE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C6" authorId="0" shapeId="0" xr:uid="{EEFEA5F5-9AE1-4E81-A0B1-35AFF899E461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AC7" authorId="0" shapeId="0" xr:uid="{9DD63076-45ED-4B27-93A3-0262F6FD87E2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<sst xmlns="http://schemas.openxmlformats.org/spreadsheetml/2006/main" count="234" uniqueCount="137">
  <si>
    <t>→</t>
  </si>
  <si>
    <t>!!</t>
  </si>
  <si>
    <t>ORGANIZAÇÃO</t>
  </si>
  <si>
    <t>@NRORG@</t>
  </si>
  <si>
    <t>@NRMOVIMENTACAO@</t>
  </si>
  <si>
    <t>@NRVINCULOM@</t>
  </si>
  <si>
    <t>@NRTIPOTRANSFER@</t>
  </si>
  <si>
    <t>@NRTPMOVTRANSFM@</t>
  </si>
  <si>
    <t>@NRESTRUTURAM@</t>
  </si>
  <si>
    <t>@DSOBSERVACAO@</t>
  </si>
  <si>
    <t>@DTFIMMOVIMENT@</t>
  </si>
  <si>
    <t>@DTINIMOVIMENT@</t>
  </si>
  <si>
    <t>@NRTIPOESTRUTURA@</t>
  </si>
  <si>
    <t>@DTMOVIMENTRETRO@</t>
  </si>
  <si>
    <t>Script</t>
  </si>
  <si>
    <t>Saída</t>
  </si>
  <si>
    <t>Busca de PK’s livres</t>
  </si>
  <si>
    <t>Validações de PK</t>
  </si>
  <si>
    <t>Atualiza Novo Código</t>
  </si>
  <si>
    <t>Verificação de PK</t>
  </si>
  <si>
    <t>Nr Vínculo</t>
  </si>
  <si>
    <t>Nr Tipo Transferência</t>
  </si>
  <si>
    <t>Nr Motivo Transferência</t>
  </si>
  <si>
    <t>Nr Estrutura</t>
  </si>
  <si>
    <t>Obervação</t>
  </si>
  <si>
    <t>Dt Fim Movimentação</t>
  </si>
  <si>
    <t>Dt Início Movimentação</t>
  </si>
  <si>
    <t>Nr Tipo Estrutura</t>
  </si>
  <si>
    <t>Dt Mov Retroativa</t>
  </si>
  <si>
    <t>Motivo da Transferência</t>
  </si>
  <si>
    <t>Nr Vínculo
Matrícula string</t>
  </si>
  <si>
    <t>Nr Estrutura
Código de integração string</t>
  </si>
  <si>
    <t>/*Autaliza ou cria o novo codigo*/</t>
  </si>
  <si>
    <t>COMMIT;</t>
  </si>
  <si>
    <t>Existe vínculo?</t>
  </si>
  <si>
    <t>Vínculo(s) não encontrado(s) no sistema:</t>
  </si>
  <si>
    <t>Existe estrutura?</t>
  </si>
  <si>
    <t>Estrutura(s) não encontrada(s) no sistema:</t>
  </si>
  <si>
    <t>1</t>
  </si>
  <si>
    <t>2</t>
  </si>
  <si>
    <t>Mnemônico</t>
  </si>
  <si>
    <t>Tabela</t>
  </si>
  <si>
    <t>GPE_MOVIMENTACAO</t>
  </si>
  <si>
    <t>PK</t>
  </si>
  <si>
    <t>NRMOVIMENTACAO</t>
  </si>
  <si>
    <t>Inicio PK</t>
  </si>
  <si>
    <t>Fim PK</t>
  </si>
  <si>
    <t>Quantidade</t>
  </si>
  <si>
    <t>Organização</t>
  </si>
  <si>
    <t>CDMATRICULA</t>
  </si>
  <si>
    <t>SELECT
  VM.CDMATRICULA/*,
  VM.NRVINCULOM,
  VM.DTADMISSAOVINC,
  VM.DTRESCISAOVINC*/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ORDER BY /*TO_NUMBER(*/ VM.CDMATRICULA /*)*/;</t>
  </si>
  <si>
    <t>CDINTESTRUTURA</t>
  </si>
  <si>
    <t>SELECT
  EM.CDINTESTRUTURA/*,
  EM.NRESTRUTURAM,
  (SELECT NMTIPOESTRUTURA FROM TIPOESTRUTURA WHERE NRTIPOESTRUTURA = EM.NRTIPOESTRUTURA) NMTIPOESTRUTURA,
  EH.NMESTRUTURAH,
  EM.DTINIVIGENCIA,
  EM.DTFIMVIGENCIA*/
FROM ESTRUTURAM EM
JOIN ESTRUTURAH EH ON EH.NRORG        = EM.NRORG
                  AND EH.NRESTRUTURAM = EM.NRESTRUTURAM
                  AND EH.DTMESCOMPETENC = ( SELECT MAX(DTMESCOMPETENC) FROM ESTRUTURAH 
                                            WHERE NRORG           = EM.NRORG
                                              AND NRESTRUTURAM    = EM.NRESTRUTURAM
                                              AND DTMESCOMPETENC &lt;= :P_DTMESCOMPETENC )
WHERE EM.NRORG = :P_NRORG
  AND ( EM.DTFIMVIGENCIA &gt; :P_DTMESCOMPETENC OR EM.DTFIMVIGENCIA IS NULL )
ORDER BY EM.CDINTESTRUTURA;</t>
  </si>
  <si>
    <t>Protótipo 2 - 07/10/2022</t>
  </si>
  <si>
    <t>texto</t>
  </si>
  <si>
    <t>Nome da função</t>
  </si>
  <si>
    <t>Fórmula lambda</t>
  </si>
  <si>
    <t>Versão</t>
  </si>
  <si>
    <t>Criada</t>
  </si>
  <si>
    <t>Descrição</t>
  </si>
  <si>
    <t>Planilhas:</t>
  </si>
  <si>
    <t>AUX_TROCAR</t>
  </si>
  <si>
    <t>Função auxiliar para trocar caracters especiais</t>
  </si>
  <si>
    <t>Dados</t>
  </si>
  <si>
    <t>MIG_REMOVE.ESPECIAL</t>
  </si>
  <si>
    <t>Remove caracteres especiais. Utiliza a função AUX.TROCAR</t>
  </si>
  <si>
    <t>MIG_GERA.SCRIPT</t>
  </si>
  <si>
    <t>Gera um script substituíndo um texto (script) com mnemônicos de um array por valores de outro array de valores.</t>
  </si>
  <si>
    <t>Base</t>
  </si>
  <si>
    <t>protótipo</t>
  </si>
  <si>
    <t>MIG_NORMA.DATA</t>
  </si>
  <si>
    <t>Normaliza um valor para data</t>
  </si>
  <si>
    <t>MIG_NORMA.TEXTO</t>
  </si>
  <si>
    <t>Normaliza um valor de texto. Remove espaçoes me branco, caracteres especiais e torna o texto maiúsculo.</t>
  </si>
  <si>
    <t>MIG_NORMA.DECIMAL</t>
  </si>
  <si>
    <t>Normaliza um número para ser inserido no banco de dados</t>
  </si>
  <si>
    <t>MIG_NORMA.NÚMERICO</t>
  </si>
  <si>
    <t>Retorna apenas os números de um texto</t>
  </si>
  <si>
    <t>MIG_QRY.CHAVES</t>
  </si>
  <si>
    <t>2001_11</t>
  </si>
  <si>
    <t>1CC2.103</t>
  </si>
  <si>
    <t>08/08/2003</t>
  </si>
  <si>
    <t>121</t>
  </si>
  <si>
    <t>2001_17</t>
  </si>
  <si>
    <t>18/11/2000</t>
  </si>
  <si>
    <t>0001_25</t>
  </si>
  <si>
    <t>EST0001</t>
  </si>
  <si>
    <t>01/10/1997</t>
  </si>
  <si>
    <t>20</t>
  </si>
  <si>
    <t>0001_56</t>
  </si>
  <si>
    <t>UNI0008</t>
  </si>
  <si>
    <t>01/08/2001</t>
  </si>
  <si>
    <t>120</t>
  </si>
  <si>
    <t>0001_62</t>
  </si>
  <si>
    <t>01/02/2003</t>
  </si>
  <si>
    <t>2001_75</t>
  </si>
  <si>
    <t>EST0015</t>
  </si>
  <si>
    <t>19/07/2006</t>
  </si>
  <si>
    <t>0001_85</t>
  </si>
  <si>
    <t>1CC1.103</t>
  </si>
  <si>
    <t>01/11/2004</t>
  </si>
  <si>
    <t>0001_111</t>
  </si>
  <si>
    <t>EST0013</t>
  </si>
  <si>
    <t>18/10/2000</t>
  </si>
  <si>
    <t>0001_128</t>
  </si>
  <si>
    <t>EST0036</t>
  </si>
  <si>
    <t>01/06/2000</t>
  </si>
  <si>
    <t>0001_155</t>
  </si>
  <si>
    <t>EST0023</t>
  </si>
  <si>
    <t>17/06/2006</t>
  </si>
  <si>
    <t>0001_191</t>
  </si>
  <si>
    <t>03/06/2004</t>
  </si>
  <si>
    <t>0001_237</t>
  </si>
  <si>
    <t>02/10/2006</t>
  </si>
  <si>
    <t>0001_306</t>
  </si>
  <si>
    <t>01/12/2013</t>
  </si>
  <si>
    <t>0001_311</t>
  </si>
  <si>
    <t>0001_319</t>
  </si>
  <si>
    <t>0001_336</t>
  </si>
  <si>
    <t>UNI0063</t>
  </si>
  <si>
    <t>10/02/2017</t>
  </si>
  <si>
    <t>0001_344</t>
  </si>
  <si>
    <t>01/11/2013</t>
  </si>
  <si>
    <t>0001_345</t>
  </si>
  <si>
    <t>0001_361</t>
  </si>
  <si>
    <t>0001_385</t>
  </si>
  <si>
    <t>EST0022</t>
  </si>
  <si>
    <t>01/10/2006</t>
  </si>
  <si>
    <t>0001_410</t>
  </si>
  <si>
    <t>01/03/2013</t>
  </si>
  <si>
    <t>0001_413</t>
  </si>
  <si>
    <t>EST0024</t>
  </si>
  <si>
    <t>21/04/2013</t>
  </si>
  <si>
    <t>@NRMOTIVOTRANSF@</t>
  </si>
  <si>
    <t>8</t>
  </si>
  <si>
    <t>INSERT INTO GPE_MOVIMENTACAO ( NRMOVIMENTACAO, NRORG, NRVINCULOM, NRTIPOTRANSFER, NRTPMOVTRANSFM, NRESTRUTURAM, DTINIMOVIMENT, DTFIMMOVIMENT, DSOBSERVACAO, DTINCLUSAO, NRORGINCLUSAO, CDOPERINCLUSAO, NRTIPOESTRUTURA, DTMOVIMENTRETRO, NRMOTIVOTRANSF ) VALUES ( @NRMOVIMENTACAO@, @NRORG@, ( SELECT /*MAX(*/ NRVINCULOM /*)*/ FROM GPE_VINCULOM WHERE NRORG = @NRORG@ AND CDMATRICULA = '@NRVINCULOM@' ), @NRTIPOTRANSFER@, @NRTPMOVTRANSFM@,( SELECT MAX( NRESTRUTURAM ) FROM ESTRUTURAM WHERE NRORG = @NRORG@ AND CDINTESTRUTURA = '@NRESTRUTURAM@' ), '@DTINIMOVIMENT@', '@DTFIMMOVIMENT@', '@DSOBSERVACAO@', SYSDATE, @NRORG@, '000000099991', @NRTIPOESTRUTURA@, '@DTMOVIMENTRETRO@', '@NRMOTIVOTRANSF@' ); COMMIT;</t>
  </si>
  <si>
    <t>Matriculas Duplicadas!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</si>
</sst>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8"/>
      <color theme="9"/>
      <name val="Calibri"/>
      <family val="2"/>
      <scheme val="minor"/>
    </font>
    <font>
      <sz val="9"/>
      <color rgb="FF000000"/>
      <name val="Calibri Light"/>
      <family val="2"/>
      <charset val="1"/>
    </font>
    <font>
      <b/>
      <sz val="9"/>
      <color rgb="FF000000"/>
      <name val="Calibri Light"/>
      <family val="2"/>
      <charset val="1"/>
    </font>
    <font>
      <sz val="8"/>
      <name val="Calibri Light"/>
      <family val="2"/>
      <charset val="1"/>
    </font>
    <font>
      <b/>
      <sz val="9"/>
      <color rgb="FF000000"/>
      <name val="Calibri Light"/>
      <family val="2"/>
    </font>
    <font>
      <i/>
      <sz val="8"/>
      <name val="Calibri Light"/>
      <family val="2"/>
    </font>
    <font>
      <sz val="9"/>
      <name val="Calibri Light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/>
        <bgColor rgb="FFFFFFD7"/>
      </patternFill>
    </fill>
    <fill>
      <patternFill patternType="solid">
        <fgColor theme="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7">
    <xf numFmtId="0" fontId="0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7" borderId="0" applyNumberFormat="0" applyBorder="0" applyAlignment="0" applyProtection="0"/>
    <xf numFmtId="0" fontId="1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3" fillId="2" borderId="0" xfId="0" quotePrefix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2" fillId="4" borderId="0" xfId="0" quotePrefix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49" fontId="18" fillId="0" borderId="0" xfId="0" applyNumberFormat="1" applyFont="1" applyAlignment="1">
      <alignment horizontal="left"/>
    </xf>
    <xf numFmtId="49" fontId="18" fillId="0" borderId="0" xfId="0" applyNumberFormat="1" applyFont="1"/>
    <xf numFmtId="49" fontId="18" fillId="0" borderId="0" xfId="0" applyNumberFormat="1" applyFont="1" applyAlignment="1">
      <alignment horizontal="right"/>
    </xf>
    <xf numFmtId="49" fontId="17" fillId="0" borderId="0" xfId="0" applyNumberFormat="1" applyFont="1"/>
    <xf numFmtId="49" fontId="2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/>
    </xf>
    <xf numFmtId="0" fontId="2" fillId="6" borderId="0" xfId="0" applyFont="1" applyFill="1"/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horizontal="left" vertical="top" wrapText="1"/>
    </xf>
    <xf numFmtId="0" fontId="3" fillId="6" borderId="0" xfId="0" applyFont="1" applyFill="1"/>
    <xf numFmtId="0" fontId="1" fillId="0" borderId="0" xfId="6"/>
    <xf numFmtId="0" fontId="21" fillId="0" borderId="1" xfId="3"/>
    <xf numFmtId="0" fontId="22" fillId="0" borderId="2" xfId="4" applyFill="1"/>
    <xf numFmtId="14" fontId="1" fillId="0" borderId="0" xfId="6" applyNumberFormat="1"/>
    <xf numFmtId="0" fontId="24" fillId="0" borderId="0" xfId="6" applyFont="1" applyAlignment="1">
      <alignment wrapText="1"/>
    </xf>
    <xf numFmtId="0" fontId="23" fillId="7" borderId="0" xfId="5"/>
    <xf numFmtId="16" fontId="1" fillId="0" borderId="0" xfId="6" applyNumberFormat="1"/>
    <xf numFmtId="4" fontId="1" fillId="0" borderId="0" xfId="6" quotePrefix="1" applyNumberFormat="1"/>
    <xf numFmtId="0" fontId="4" fillId="2" borderId="0" xfId="0" quotePrefix="1" applyFont="1" applyFill="1" applyAlignment="1">
      <alignment horizontal="center"/>
    </xf>
    <xf numFmtId="49" fontId="0" fillId="0" borderId="0" xfId="0" applyNumberFormat="1"/>
    <xf numFmtId="0" fontId="20" fillId="0" borderId="0" xfId="2" applyAlignment="1">
      <alignment horizontal="center"/>
    </xf>
    <xf numFmtId="0" fontId="17" fillId="8" borderId="0" xfId="0" applyNumberFormat="1" applyFont="1" applyFill="1"/>
    <xf numFmtId="0" fontId="18" fillId="0" borderId="0" xfId="0" applyNumberFormat="1" applyFont="1" applyFill="1"/>
  </cellXfs>
  <cellStyles count="7">
    <cellStyle name="Neutro" xfId="5" builtinId="28"/>
    <cellStyle name="Normal" xfId="0" builtinId="0"/>
    <cellStyle name="Normal 2" xfId="1" xr:uid="{75E1877C-42F0-4776-95A3-3703A2655028}"/>
    <cellStyle name="Normal 2 2" xfId="6" xr:uid="{219D4FFC-1F7A-487E-93E4-D43A0C849AB2}"/>
    <cellStyle name="Título" xfId="2" builtinId="15"/>
    <cellStyle name="Título 1" xfId="3" builtinId="16"/>
    <cellStyle name="Título 2" xfId="4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11.5703125" defaultRowHeight="12.75" x14ac:dyDescent="0.2"/>
  <cols>
    <col min="1" max="1" width="12.5703125" style="2" bestFit="1" customWidth="1"/>
    <col min="2" max="2" width="22.42578125" style="1" bestFit="1" customWidth="1"/>
    <col min="3" max="3" width="25.140625" style="1" bestFit="1" customWidth="1"/>
    <col min="4" max="4" width="17" style="1" bestFit="1" customWidth="1"/>
    <col min="5" max="5" width="12.7109375" style="1" bestFit="1" customWidth="1"/>
    <col min="6" max="6" width="23" style="1" bestFit="1" customWidth="1"/>
    <col min="7" max="7" width="22.42578125" style="3" bestFit="1" customWidth="1"/>
    <col min="8" max="8" width="18.28515625" style="1" bestFit="1" customWidth="1"/>
    <col min="9" max="9" width="19.5703125" style="1" bestFit="1" customWidth="1"/>
    <col min="10" max="10" width="25.140625" style="1" bestFit="1" customWidth="1"/>
    <col min="11" max="11" width="12.42578125" customWidth="1"/>
    <col min="12" max="12" width="10.85546875" style="1" bestFit="1" customWidth="1"/>
    <col min="13" max="13" width="10.85546875" style="1" customWidth="1"/>
    <col min="14" max="14" width="17.5703125" style="1" bestFit="1" customWidth="1"/>
    <col min="15" max="15" width="13.28515625" style="1" bestFit="1" customWidth="1"/>
    <col min="16" max="16" width="15.42578125" style="1" bestFit="1" customWidth="1"/>
    <col min="17" max="17" width="17.42578125" style="1" bestFit="1" customWidth="1"/>
    <col min="18" max="18" width="14.85546875" style="1" bestFit="1" customWidth="1"/>
    <col min="19" max="19" width="14.7109375" style="1" bestFit="1" customWidth="1"/>
    <col min="20" max="20" width="16" style="1" bestFit="1" customWidth="1"/>
    <col min="21" max="21" width="15.28515625" style="1" bestFit="1" customWidth="1"/>
    <col min="22" max="22" width="15.28515625" style="1" customWidth="1"/>
    <col min="23" max="23" width="17.7109375" style="1" bestFit="1" customWidth="1"/>
    <col min="24" max="24" width="17.7109375" style="1" customWidth="1"/>
    <col min="25" max="26" width="75.7109375" style="1" customWidth="1"/>
    <col min="27" max="27" width="11.5703125" style="1"/>
    <col min="28" max="28" width="11.28515625" style="1" bestFit="1" customWidth="1"/>
    <col min="29" max="29" width="30.7109375" style="1" customWidth="1"/>
    <col min="30" max="30" width="11.28515625" style="1" bestFit="1" customWidth="1"/>
    <col min="31" max="31" width="25.7109375" style="1" customWidth="1"/>
    <col min="32" max="32" width="11.28515625" style="1" bestFit="1" customWidth="1"/>
    <col min="33" max="33" width="35.7109375" style="1" customWidth="1"/>
    <col min="34" max="34" width="7" style="1" bestFit="1" customWidth="1"/>
    <col min="35" max="35" width="11.5703125" style="1"/>
    <col min="36" max="36" width="6.5703125" style="32" bestFit="1" customWidth="1"/>
    <col min="37" max="37" width="15.7109375" style="32" customWidth="1"/>
    <col min="38" max="38" width="8.140625" style="32" bestFit="1" customWidth="1"/>
    <col min="39" max="39" width="15.7109375" style="32" customWidth="1"/>
    <col min="40" max="16384" width="11.5703125" style="1"/>
  </cols>
  <sheetData>
    <row r="1" spans="1:39" ht="12.75" customHeight="1" x14ac:dyDescent="0.2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19" t="s">
        <v>1</v>
      </c>
      <c r="L1" s="5" t="s">
        <v>2</v>
      </c>
      <c r="M1" s="44" t="s">
        <v>3</v>
      </c>
      <c r="N1" s="6" t="s">
        <v>4</v>
      </c>
      <c r="O1" s="7" t="s">
        <v>5</v>
      </c>
      <c r="P1" s="7" t="s">
        <v>6</v>
      </c>
      <c r="Q1" s="7" t="s">
        <v>7</v>
      </c>
      <c r="R1" s="7" t="s">
        <v>8</v>
      </c>
      <c r="S1" s="7" t="s">
        <v>9</v>
      </c>
      <c r="T1" s="8" t="s">
        <v>10</v>
      </c>
      <c r="U1" s="8" t="s">
        <v>11</v>
      </c>
      <c r="V1" s="7" t="s">
        <v>12</v>
      </c>
      <c r="W1" s="6" t="s">
        <v>13</v>
      </c>
      <c r="X1" s="6" t="s">
        <v>133</v>
      </c>
      <c r="Y1" s="9" t="s">
        <v>14</v>
      </c>
      <c r="Z1" s="9" t="s">
        <v>15</v>
      </c>
      <c r="AB1" s="4"/>
      <c r="AC1" s="23" t="s">
        <v>16</v>
      </c>
      <c r="AD1"/>
      <c r="AE1" s="23" t="s">
        <v>17</v>
      </c>
      <c r="AF1"/>
      <c r="AG1" s="23" t="s">
        <v>18</v>
      </c>
      <c r="AH1"/>
      <c r="AI1" s="31" t="str">
        <f>"A3:A" &amp; COUNTA( A:A )</f>
        <v>A3:A24</v>
      </c>
      <c r="AK1" s="35" t="s">
        <v>19</v>
      </c>
      <c r="AL1" s="32" t="str">
        <f>"D3:D" &amp; COUNTA( A:A )</f>
        <v>D3:D24</v>
      </c>
      <c r="AM1" s="35" t="s">
        <v>19</v>
      </c>
    </row>
    <row r="2" spans="1:39" ht="88.5" customHeight="1" x14ac:dyDescent="0.25">
      <c r="A2" s="26" t="s">
        <v>20</v>
      </c>
      <c r="B2" s="27" t="s">
        <v>21</v>
      </c>
      <c r="C2" s="27" t="s">
        <v>22</v>
      </c>
      <c r="D2" s="27" t="s">
        <v>23</v>
      </c>
      <c r="E2" s="27" t="s">
        <v>24</v>
      </c>
      <c r="F2" s="27" t="s">
        <v>25</v>
      </c>
      <c r="G2" s="28" t="s">
        <v>26</v>
      </c>
      <c r="H2" s="27" t="s">
        <v>27</v>
      </c>
      <c r="I2" s="27" t="s">
        <v>28</v>
      </c>
      <c r="J2" s="27" t="s">
        <v>29</v>
      </c>
      <c r="L2" s="10">
        <v>3951</v>
      </c>
      <c r="M2" s="10"/>
      <c r="N2" s="11">
        <v>36640</v>
      </c>
      <c r="O2" s="12" t="s">
        <v>30</v>
      </c>
      <c r="P2" s="12" t="str">
        <f>B2</f>
        <v>Nr Tipo Transferência</v>
      </c>
      <c r="Q2" s="12" t="str">
        <f>C2</f>
        <v>Nr Motivo Transferência</v>
      </c>
      <c r="R2" s="12" t="s">
        <v>31</v>
      </c>
      <c r="S2" s="12" t="str">
        <f>E2</f>
        <v>Obervação</v>
      </c>
      <c r="T2" s="12" t="str">
        <f>F2</f>
        <v>Dt Fim Movimentação</v>
      </c>
      <c r="U2" s="12" t="str">
        <f>G2</f>
        <v>Dt Início Movimentação</v>
      </c>
      <c r="V2" s="12" t="str">
        <f>H2</f>
        <v>Nr Tipo Estrutura</v>
      </c>
      <c r="W2" s="12" t="str">
        <f>I2</f>
        <v>Dt Mov Retroativa</v>
      </c>
      <c r="X2" s="12" t="s">
        <v>29</v>
      </c>
      <c r="Y2" s="13" t="s">
        <v>135</v>
      </c>
      <c r="Z2" s="13"/>
      <c r="AB2" s="4"/>
      <c r="AC2" s="18" t="str">
        <f ca="1">"/*"&amp;AC4&amp;"*/
SELECT A + 1 A, B - 1 B, B - A - 1 LENGHT, (SELECT TO_NUMBER(NRSEQUENCIAL) FROM NOVOCODIGO WHERE NRORG = "&amp;AC9&amp;" AND CDCONTADOR = '"&amp;AC4&amp;"') NOVOCODIGO FROM (SELECT 0 A, MIN("&amp;AC5&amp;") B FROM "&amp;AC4&amp;" WHERE NRORG = "&amp;AC9&amp;" UNION ALL SELECT "&amp;AC5&amp;", LEAD("&amp;AC5&amp;") OVER (ORDER BY "&amp;AC5&amp;") FROM "&amp;AC4&amp;" WHERE NRORG = "&amp;AC9&amp;" ) WHERE B - A &gt; "&amp;AC8&amp;" OR B IS NULL ORDER BY A;"</f>
        <v>/*GPE_MOVIMENTACAO*/
SELECT A + 1 A, B - 1 B, B - A - 1 LENGHT, (SELECT TO_NUMBER(NRSEQUENCIAL) FROM NOVOCODIGO WHERE NRORG = 3951 AND CDCONTADOR = 'GPE_MOVIMENTACAO') NOVOCODIGO FROM (SELECT 0 A, MIN(NRMOVIMENTACAO) B FROM GPE_MOVIMENTACAO WHERE NRORG = 3951 UNION ALL SELECT NRMOVIMENTACAO, LEAD(NRMOVIMENTACAO) OVER (ORDER BY NRMOVIMENTACAO) FROM GPE_MOVIMENTACAO WHERE NRORG = 3951 ) WHERE B - A &gt; 1 OR B IS NULL ORDER BY A;</v>
      </c>
      <c r="AD2"/>
      <c r="AE2" s="18" t="str">
        <f ca="1">"SELECT DECODE(COUNT(1),0,'OK',COUNT(1)||' conflito(s)') STATUS, '"&amp;AE4&amp;"' TABELA FROM "&amp;AE4&amp;" WHERE NRORG = "&amp;AE9&amp;" AND "&amp;AE5&amp;" BETWEEN "&amp;AE6&amp;" AND "&amp;AE7&amp;" /*UNION ALL*/ ;"</f>
        <v>SELECT DECODE(COUNT(1),0,'OK',COUNT(1)||' conflito(s)') STATUS, 'GPE_MOVIMENTACAO' TABELA FROM GPE_MOVIMENTACAO WHERE NRORG = 3951 AND NRMOVIMENTACAO BETWEEN 36640 AND 36640 /*UNION ALL*/ ;</v>
      </c>
      <c r="AF2" s="18" t="s">
        <v>32</v>
      </c>
      <c r="AG2" s="18" t="str">
        <f ca="1">"MERGE INTO NOVOCODIGO NC
  USING ( SELECT LPAD( MAX( "&amp;AG5&amp;" ) + 1, 20, '0' ) NRSEQUENCIAL
          FROM "&amp;AG4&amp;"
          WHERE NRORG = "&amp;AG9&amp;"
        ) TABELA
  ON (     NC.NRORG      = "&amp;AG9&amp;"
       AND NC.CDCONTADOR = '"&amp;AG4&amp;"' )
  WHEN     MATCHED THEN
    UPDATE SET NC.NRSEQUENCIAL = TABELA.NRSEQUENCIAL
  WHEN NOT MATCHED THEN
    INSERT ( CDCONTADOR, NRSEQUENCIAL, NRORG, DTINCLUSAO )
    VALUES ( '"&amp;AG4&amp;"', TABELA.NRSEQUENCIAL, "&amp;AG9&amp;", SYSDATE );"</f>
        <v>MERGE INTO NOVOCODIGO NC
  USING ( SELECT LPAD( MAX( NRMOVIMENTACAO ) + 1, 20, '0' ) NRSEQUENCIAL
          FROM GPE_MOVIMENTACAO
          WHERE NRORG = 3951
        ) TABELA
  ON (     NC.NRORG      = 3951
       AND NC.CDCONTADOR = 'GPE_MOVIMENTACAO' )
  WHEN     MATCHED THEN
    UPDATE SET NC.NRSEQUENCIAL = TABELA.NRSEQUENCIAL
  WHEN NOT MATCHED THEN
    INSERT ( CDCONTADOR, NRSEQUENCIAL, NRORG, DTINCLUSAO )
    VALUES ( 'GPE_MOVIMENTACAO', TABELA.NRSEQUENCIAL, 3951, SYSDATE );</v>
      </c>
      <c r="AH2" s="18" t="s">
        <v>33</v>
      </c>
      <c r="AJ2" s="34" t="s">
        <v>34</v>
      </c>
      <c r="AK2" s="33" t="s">
        <v>35</v>
      </c>
      <c r="AL2" s="34" t="s">
        <v>36</v>
      </c>
      <c r="AM2" s="33" t="s">
        <v>37</v>
      </c>
    </row>
    <row r="3" spans="1:39" x14ac:dyDescent="0.2">
      <c r="A3" s="45" t="s">
        <v>79</v>
      </c>
      <c r="B3" s="45" t="s">
        <v>39</v>
      </c>
      <c r="C3" s="45" t="s">
        <v>39</v>
      </c>
      <c r="D3" s="45" t="s">
        <v>80</v>
      </c>
      <c r="E3" s="45"/>
      <c r="F3" s="45"/>
      <c r="G3" s="45" t="s">
        <v>81</v>
      </c>
      <c r="H3" s="45" t="s">
        <v>82</v>
      </c>
      <c r="I3" s="45"/>
      <c r="J3" s="45"/>
      <c r="L3" s="14"/>
      <c r="M3" s="14">
        <f>$L$2</f>
        <v>3951</v>
      </c>
      <c r="N3" s="15">
        <f ca="1">IF( AND( AJ3 = "existe", AL3 = "existe" ), N2 + 1, N2 )</f>
        <v>36640</v>
      </c>
      <c r="O3" s="16" t="str">
        <f>A3</f>
        <v>2001_11</v>
      </c>
      <c r="P3" s="16">
        <f>B3*1</f>
        <v>2</v>
      </c>
      <c r="Q3" s="16">
        <f>C3*1</f>
        <v>2</v>
      </c>
      <c r="R3" s="16" t="str">
        <f>D3</f>
        <v>1CC2.103</v>
      </c>
      <c r="S3" s="16" t="str">
        <f>TRIM( E3 )</f>
        <v/>
      </c>
      <c r="T3" s="16" t="str">
        <f xml:space="preserve"> IF( TRIM( F3 ) = "", "", TEXT( F3, "DD/MM/AAAA" ) )</f>
        <v/>
      </c>
      <c r="U3" s="16" t="str">
        <f xml:space="preserve"> IF( TRIM( G3 ) = "", "", TEXT( G3, "DD/MM/AAAA" ) )</f>
        <v>08/08/2003</v>
      </c>
      <c r="V3" s="16">
        <f>H3*1</f>
        <v>121</v>
      </c>
      <c r="W3" s="16" t="str">
        <f xml:space="preserve"> IF( TRIM( I3 ) = "", "", TEXT( I3, "DD/MM/AAAA" ) )</f>
        <v/>
      </c>
      <c r="X3" s="16" t="str">
        <f>IF(TRIM(J3)="","",--TRIM(J3))</f>
        <v/>
      </c>
      <c r="Y3" s="17" t="str" cm="1">
        <f t="array" aca="1" ref="Y3" ca="1">MIG_GERA.SCRIPT($Y$2, $M$1:$X$1,M3:X3 )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'2001_11' ), 2, 2,( SELECT MAX( NRESTRUTURAM ) FROM ESTRUTURAM WHERE NRORG = 3951 AND CDINTESTRUTURA = '1CC2.103' ), '08/08/2003', '', '', SYSDATE, 3951, '000000099991', 121, '', '' ); COMMIT;</v>
      </c>
      <c r="Z3" s="17" t="str">
        <f ca="1">IF( AND( AJ3 = "existe", AL3 = "existe" ), Y3, "" )</f>
        <v/>
      </c>
      <c r="AB3" s="20" t="s">
        <v>40</v>
      </c>
      <c r="AC3" s="24" t="s">
        <v>4</v>
      </c>
      <c r="AD3" s="20" t="s">
        <v>40</v>
      </c>
      <c r="AE3" s="21" t="str">
        <f>AC3</f>
        <v>@NRMOVIMENTACAO@</v>
      </c>
      <c r="AF3" s="20"/>
      <c r="AG3" s="21"/>
      <c r="AH3"/>
      <c r="AJ3" s="32" t="str" cm="1">
        <f t="array" aca="1" ref="AJ3:AJ24" ca="1">IF( COUNTIF( Base!A:A, INDIRECT(AI1)) = 1, "existe", "não" )</f>
        <v>não</v>
      </c>
      <c r="AK3" s="32" t="str" cm="1">
        <f t="array" aca="1" ref="AK3:AK24" ca="1" xml:space="preserve"> _xlfn._xlws.SORT( _xlfn.UNIQUE( IF(_xlfn.ANCHORARRAY( AJ3) &lt;&gt; "existe",INDIRECT(AI1), "") ) )</f>
        <v>0001_111</v>
      </c>
      <c r="AL3" s="32" t="str" cm="1">
        <f t="array" aca="1" ref="AL3:AL24" ca="1">IF( COUNTIF( Base!C:C, INDIRECT(AL1) ) &gt;= 1, "existe", "não" )</f>
        <v>não</v>
      </c>
      <c r="AM3" s="32" t="str" cm="1">
        <f t="array" aca="1" ref="AM3:AM9" ca="1">_xlfn._xlws.SORT(_xlfn.UNIQUE(IF(_xlfn.ANCHORARRAY(AL3)&lt;&gt;"existe",D3:D10,"")))</f>
        <v>1CC1.103</v>
      </c>
    </row>
    <row r="4" spans="1:39" x14ac:dyDescent="0.2">
      <c r="A4" s="45" t="s">
        <v>83</v>
      </c>
      <c r="B4" s="45" t="s">
        <v>39</v>
      </c>
      <c r="C4" s="45" t="s">
        <v>39</v>
      </c>
      <c r="D4" s="45" t="s">
        <v>80</v>
      </c>
      <c r="E4" s="45"/>
      <c r="F4" s="45"/>
      <c r="G4" s="45" t="s">
        <v>84</v>
      </c>
      <c r="H4" s="45" t="s">
        <v>82</v>
      </c>
      <c r="I4" s="45"/>
      <c r="J4" s="45"/>
      <c r="L4" s="14"/>
      <c r="M4" s="14">
        <f t="shared" ref="M4:M24" si="0">$L$2</f>
        <v>3951</v>
      </c>
      <c r="N4" s="15">
        <f t="shared" ref="N4:N10" ca="1" si="1">IF( AND( AJ4 = "existe", AL4 = "existe" ), N3 + 1, N3 )</f>
        <v>36640</v>
      </c>
      <c r="O4" s="16" t="str">
        <f>A4</f>
        <v>2001_17</v>
      </c>
      <c r="P4" s="16">
        <f>B4*1</f>
        <v>2</v>
      </c>
      <c r="Q4" s="16">
        <f>C4*1</f>
        <v>2</v>
      </c>
      <c r="R4" s="16" t="str">
        <f>D4</f>
        <v>1CC2.103</v>
      </c>
      <c r="S4" s="16" t="str">
        <f>TRIM( E4 )</f>
        <v/>
      </c>
      <c r="T4" s="16" t="str">
        <f xml:space="preserve"> IF( TRIM( F4 ) = "", "", TEXT( F4, "DD/MM/AAAA" ) )</f>
        <v/>
      </c>
      <c r="U4" s="16" t="str">
        <f xml:space="preserve"> IF( TRIM( G4 ) = "", "", TEXT( G4, "DD/MM/AAAA" ) )</f>
        <v>18/11/2000</v>
      </c>
      <c r="V4" s="16">
        <f>H4*1</f>
        <v>121</v>
      </c>
      <c r="W4" s="16" t="str">
        <f xml:space="preserve"> IF( TRIM( I4 ) = "", "", TEXT( I4, "DD/MM/AAAA" ) )</f>
        <v/>
      </c>
      <c r="X4" s="16" t="str">
        <f t="shared" ref="X4:X24" si="2">IF(TRIM(J4)="","",--TRIM(J4))</f>
        <v/>
      </c>
      <c r="Y4" s="17" t="str" cm="1">
        <f t="array" aca="1" ref="Y4" ca="1">MIG_GERA.SCRIPT($Y$2, $M$1:$X$1,M4:X4 )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'2001_17' ), 2, 2,( SELECT MAX( NRESTRUTURAM ) FROM ESTRUTURAM WHERE NRORG = 3951 AND CDINTESTRUTURA = '1CC2.103' ), '18/11/2000', '', '', SYSDATE, 3951, '000000099991', 121, '', '' ); COMMIT;</v>
      </c>
      <c r="Z4" s="17" t="str">
        <f t="shared" ref="Z4:Z10" ca="1" si="3">IF( AND( AJ4 = "existe", AL4 = "existe" ), Y4, "" )</f>
        <v/>
      </c>
      <c r="AB4" s="20" t="s">
        <v>41</v>
      </c>
      <c r="AC4" s="25" t="s">
        <v>42</v>
      </c>
      <c r="AD4" s="20" t="s">
        <v>41</v>
      </c>
      <c r="AE4" s="21" t="str">
        <f>AC4</f>
        <v>GPE_MOVIMENTACAO</v>
      </c>
      <c r="AF4" s="20" t="s">
        <v>41</v>
      </c>
      <c r="AG4" s="21" t="str">
        <f>AE4</f>
        <v>GPE_MOVIMENTACAO</v>
      </c>
      <c r="AH4"/>
      <c r="AJ4" s="32" t="str">
        <f ca="1"/>
        <v>não</v>
      </c>
      <c r="AK4" s="32" t="str">
        <f ca="1"/>
        <v>0001_128</v>
      </c>
      <c r="AL4" s="32" t="str">
        <f ca="1"/>
        <v>não</v>
      </c>
      <c r="AM4" s="32" t="str">
        <f ca="1"/>
        <v>1CC2.103</v>
      </c>
    </row>
    <row r="5" spans="1:39" x14ac:dyDescent="0.2">
      <c r="A5" s="45" t="s">
        <v>85</v>
      </c>
      <c r="B5" s="45" t="s">
        <v>38</v>
      </c>
      <c r="C5" s="45" t="s">
        <v>39</v>
      </c>
      <c r="D5" s="45" t="s">
        <v>86</v>
      </c>
      <c r="E5" s="45"/>
      <c r="F5" s="45"/>
      <c r="G5" s="45" t="s">
        <v>87</v>
      </c>
      <c r="H5" s="45" t="s">
        <v>88</v>
      </c>
      <c r="I5" s="45"/>
      <c r="J5" s="45"/>
      <c r="L5" s="14"/>
      <c r="M5" s="14">
        <f t="shared" si="0"/>
        <v>3951</v>
      </c>
      <c r="N5" s="15">
        <f t="shared" ca="1" si="1"/>
        <v>36640</v>
      </c>
      <c r="O5" s="16" t="str">
        <f t="shared" ref="O5:O10" si="4">A5</f>
        <v>0001_25</v>
      </c>
      <c r="P5" s="16">
        <f t="shared" ref="P5:P10" si="5">B5*1</f>
        <v>1</v>
      </c>
      <c r="Q5" s="16">
        <f t="shared" ref="Q5:Q10" si="6">C5*1</f>
        <v>2</v>
      </c>
      <c r="R5" s="16" t="str">
        <f t="shared" ref="R5:R10" si="7">D5</f>
        <v>EST0001</v>
      </c>
      <c r="S5" s="16" t="str">
        <f t="shared" ref="S5:S10" si="8">TRIM( E5 )</f>
        <v/>
      </c>
      <c r="T5" s="16" t="str">
        <f t="shared" ref="T5:T10" si="9" xml:space="preserve"> IF( TRIM( F5 ) = "", "", TEXT( F5, "DD/MM/AAAA" ) )</f>
        <v/>
      </c>
      <c r="U5" s="16" t="str">
        <f t="shared" ref="U5:U10" si="10" xml:space="preserve"> IF( TRIM( G5 ) = "", "", TEXT( G5, "DD/MM/AAAA" ) )</f>
        <v>01/10/1997</v>
      </c>
      <c r="V5" s="16">
        <f t="shared" ref="V5:V10" si="11">H5*1</f>
        <v>20</v>
      </c>
      <c r="W5" s="16" t="str">
        <f t="shared" ref="W5:W10" si="12" xml:space="preserve"> IF( TRIM( I5 ) = "", "", TEXT( I5, "DD/MM/AAAA" ) )</f>
        <v/>
      </c>
      <c r="X5" s="16" t="str">
        <f t="shared" si="2"/>
        <v/>
      </c>
      <c r="Y5" s="17" t="str" cm="1">
        <f t="array" aca="1" ref="Y5" ca="1">MIG_GERA.SCRIPT($Y$2, $M$1:$X$1,M5:X5 )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'0001_25' ), 1, 2,( SELECT MAX( NRESTRUTURAM ) FROM ESTRUTURAM WHERE NRORG = 3951 AND CDINTESTRUTURA = 'EST0001' ), '01/10/1997', '', '', SYSDATE, 3951, '000000099991', 20, '', '' ); COMMIT;</v>
      </c>
      <c r="Z5" s="17" t="str">
        <f t="shared" ca="1" si="3"/>
        <v/>
      </c>
      <c r="AB5" s="20" t="s">
        <v>43</v>
      </c>
      <c r="AC5" s="24" t="s">
        <v>44</v>
      </c>
      <c r="AD5" s="20" t="s">
        <v>43</v>
      </c>
      <c r="AE5" s="21" t="str">
        <f>AC5</f>
        <v>NRMOVIMENTACAO</v>
      </c>
      <c r="AF5" s="20" t="s">
        <v>43</v>
      </c>
      <c r="AG5" s="21" t="str">
        <f>AE5</f>
        <v>NRMOVIMENTACAO</v>
      </c>
      <c r="AH5"/>
      <c r="AJ5" s="32" t="str">
        <f ca="1"/>
        <v>não</v>
      </c>
      <c r="AK5" s="32" t="str">
        <f ca="1"/>
        <v>0001_155</v>
      </c>
      <c r="AL5" s="32" t="str">
        <f ca="1"/>
        <v>não</v>
      </c>
      <c r="AM5" s="32" t="str">
        <f ca="1"/>
        <v>EST0001</v>
      </c>
    </row>
    <row r="6" spans="1:39" x14ac:dyDescent="0.2">
      <c r="A6" s="45" t="s">
        <v>89</v>
      </c>
      <c r="B6" s="45" t="s">
        <v>39</v>
      </c>
      <c r="C6" s="45" t="s">
        <v>39</v>
      </c>
      <c r="D6" s="45" t="s">
        <v>90</v>
      </c>
      <c r="E6" s="45"/>
      <c r="F6" s="45"/>
      <c r="G6" s="45" t="s">
        <v>91</v>
      </c>
      <c r="H6" s="45" t="s">
        <v>92</v>
      </c>
      <c r="I6" s="45"/>
      <c r="J6" s="45"/>
      <c r="L6" s="14"/>
      <c r="M6" s="14">
        <f t="shared" si="0"/>
        <v>3951</v>
      </c>
      <c r="N6" s="15">
        <f t="shared" ca="1" si="1"/>
        <v>36640</v>
      </c>
      <c r="O6" s="16" t="str">
        <f t="shared" si="4"/>
        <v>0001_56</v>
      </c>
      <c r="P6" s="16">
        <f t="shared" si="5"/>
        <v>2</v>
      </c>
      <c r="Q6" s="16">
        <f t="shared" si="6"/>
        <v>2</v>
      </c>
      <c r="R6" s="16" t="str">
        <f t="shared" si="7"/>
        <v>UNI0008</v>
      </c>
      <c r="S6" s="16" t="str">
        <f t="shared" si="8"/>
        <v/>
      </c>
      <c r="T6" s="16" t="str">
        <f t="shared" si="9"/>
        <v/>
      </c>
      <c r="U6" s="16" t="str">
        <f t="shared" si="10"/>
        <v>01/08/2001</v>
      </c>
      <c r="V6" s="16">
        <f t="shared" si="11"/>
        <v>120</v>
      </c>
      <c r="W6" s="16" t="str">
        <f t="shared" si="12"/>
        <v/>
      </c>
      <c r="X6" s="16" t="str">
        <f t="shared" si="2"/>
        <v/>
      </c>
      <c r="Y6" s="17" t="str" cm="1">
        <f t="array" aca="1" ref="Y6" ca="1">MIG_GERA.SCRIPT($Y$2, $M$1:$X$1,M6:X6 )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'0001_56' ), 2, 2,( SELECT MAX( NRESTRUTURAM ) FROM ESTRUTURAM WHERE NRORG = 3951 AND CDINTESTRUTURA = 'UNI0008' ), '01/08/2001', '', '', SYSDATE, 3951, '000000099991', 120, '', '' ); COMMIT;</v>
      </c>
      <c r="Z6" s="17" t="str">
        <f t="shared" ca="1" si="3"/>
        <v/>
      </c>
      <c r="AB6" s="20" t="s">
        <v>45</v>
      </c>
      <c r="AC6" s="22">
        <f ca="1">MIN( OFFSET( $A$1, 2, MATCH( AC$3, $1:$1, 0 ) - 1, 1048574, 1 ) )</f>
        <v>36640</v>
      </c>
      <c r="AD6" s="20" t="s">
        <v>45</v>
      </c>
      <c r="AE6" s="21">
        <f ca="1">AC6</f>
        <v>36640</v>
      </c>
      <c r="AF6" s="20"/>
      <c r="AG6" s="21"/>
      <c r="AH6"/>
      <c r="AJ6" s="32" t="str">
        <f ca="1"/>
        <v>não</v>
      </c>
      <c r="AK6" s="32" t="str">
        <f ca="1"/>
        <v>0001_191</v>
      </c>
      <c r="AL6" s="32" t="str">
        <f ca="1"/>
        <v>não</v>
      </c>
      <c r="AM6" s="32" t="str">
        <f ca="1"/>
        <v>EST0013</v>
      </c>
    </row>
    <row r="7" spans="1:39" x14ac:dyDescent="0.2">
      <c r="A7" s="45" t="s">
        <v>93</v>
      </c>
      <c r="B7" s="45" t="s">
        <v>39</v>
      </c>
      <c r="C7" s="45" t="s">
        <v>39</v>
      </c>
      <c r="D7" s="45" t="s">
        <v>90</v>
      </c>
      <c r="E7" s="45"/>
      <c r="F7" s="45"/>
      <c r="G7" s="45" t="s">
        <v>94</v>
      </c>
      <c r="H7" s="45" t="s">
        <v>92</v>
      </c>
      <c r="I7" s="45"/>
      <c r="J7" s="45"/>
      <c r="L7" s="14"/>
      <c r="M7" s="14">
        <f t="shared" si="0"/>
        <v>3951</v>
      </c>
      <c r="N7" s="15">
        <f t="shared" ca="1" si="1"/>
        <v>36640</v>
      </c>
      <c r="O7" s="16" t="str">
        <f t="shared" si="4"/>
        <v>0001_62</v>
      </c>
      <c r="P7" s="16">
        <f t="shared" si="5"/>
        <v>2</v>
      </c>
      <c r="Q7" s="16">
        <f t="shared" si="6"/>
        <v>2</v>
      </c>
      <c r="R7" s="16" t="str">
        <f t="shared" si="7"/>
        <v>UNI0008</v>
      </c>
      <c r="S7" s="16" t="str">
        <f t="shared" si="8"/>
        <v/>
      </c>
      <c r="T7" s="16" t="str">
        <f t="shared" si="9"/>
        <v/>
      </c>
      <c r="U7" s="16" t="str">
        <f t="shared" si="10"/>
        <v>01/02/2003</v>
      </c>
      <c r="V7" s="16">
        <f t="shared" si="11"/>
        <v>120</v>
      </c>
      <c r="W7" s="16" t="str">
        <f t="shared" si="12"/>
        <v/>
      </c>
      <c r="X7" s="16" t="str">
        <f t="shared" si="2"/>
        <v/>
      </c>
      <c r="Y7" s="17" t="str" cm="1">
        <f t="array" aca="1" ref="Y7" ca="1">MIG_GERA.SCRIPT($Y$2, $M$1:$X$1,M7:X7 )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'0001_62' ), 2, 2,( SELECT MAX( NRESTRUTURAM ) FROM ESTRUTURAM WHERE NRORG = 3951 AND CDINTESTRUTURA = 'UNI0008' ), '01/02/2003', '', '', SYSDATE, 3951, '000000099991', 120, '', '' ); COMMIT;</v>
      </c>
      <c r="Z7" s="17" t="str">
        <f t="shared" ca="1" si="3"/>
        <v/>
      </c>
      <c r="AB7" s="20" t="s">
        <v>46</v>
      </c>
      <c r="AC7" s="22">
        <f ca="1">MAX(OFFSET($A$1,2,MATCH(AC$3,$1:$1,0)-1,1048574,1))</f>
        <v>36640</v>
      </c>
      <c r="AD7" s="20" t="s">
        <v>46</v>
      </c>
      <c r="AE7" s="21">
        <f ca="1">AC7</f>
        <v>36640</v>
      </c>
      <c r="AF7" s="20"/>
      <c r="AG7" s="21"/>
      <c r="AH7"/>
      <c r="AJ7" s="32" t="str">
        <f ca="1"/>
        <v>não</v>
      </c>
      <c r="AK7" s="32" t="str">
        <f ca="1"/>
        <v>0001_237</v>
      </c>
      <c r="AL7" s="32" t="str">
        <f ca="1"/>
        <v>não</v>
      </c>
      <c r="AM7" s="32" t="str">
        <f ca="1"/>
        <v>EST0015</v>
      </c>
    </row>
    <row r="8" spans="1:39" x14ac:dyDescent="0.2">
      <c r="A8" s="45" t="s">
        <v>95</v>
      </c>
      <c r="B8" s="45" t="s">
        <v>38</v>
      </c>
      <c r="C8" s="45" t="s">
        <v>39</v>
      </c>
      <c r="D8" s="45" t="s">
        <v>96</v>
      </c>
      <c r="E8" s="45"/>
      <c r="F8" s="45"/>
      <c r="G8" s="45" t="s">
        <v>97</v>
      </c>
      <c r="H8" s="45" t="s">
        <v>88</v>
      </c>
      <c r="I8" s="45"/>
      <c r="J8" s="45"/>
      <c r="L8" s="14"/>
      <c r="M8" s="14">
        <f t="shared" si="0"/>
        <v>3951</v>
      </c>
      <c r="N8" s="15">
        <f t="shared" ca="1" si="1"/>
        <v>36640</v>
      </c>
      <c r="O8" s="16" t="str">
        <f t="shared" si="4"/>
        <v>2001_75</v>
      </c>
      <c r="P8" s="16">
        <f t="shared" si="5"/>
        <v>1</v>
      </c>
      <c r="Q8" s="16">
        <f t="shared" si="6"/>
        <v>2</v>
      </c>
      <c r="R8" s="16" t="str">
        <f t="shared" si="7"/>
        <v>EST0015</v>
      </c>
      <c r="S8" s="16" t="str">
        <f t="shared" si="8"/>
        <v/>
      </c>
      <c r="T8" s="16" t="str">
        <f t="shared" si="9"/>
        <v/>
      </c>
      <c r="U8" s="16" t="str">
        <f t="shared" si="10"/>
        <v>19/07/2006</v>
      </c>
      <c r="V8" s="16">
        <f t="shared" si="11"/>
        <v>20</v>
      </c>
      <c r="W8" s="16" t="str">
        <f t="shared" si="12"/>
        <v/>
      </c>
      <c r="X8" s="16" t="str">
        <f t="shared" si="2"/>
        <v/>
      </c>
      <c r="Y8" s="17" t="str" cm="1">
        <f t="array" aca="1" ref="Y8" ca="1">MIG_GERA.SCRIPT($Y$2, $M$1:$X$1,M8:X8 )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'2001_75' ), 1, 2,( SELECT MAX( NRESTRUTURAM ) FROM ESTRUTURAM WHERE NRORG = 3951 AND CDINTESTRUTURA = 'EST0015' ), '19/07/2006', '', '', SYSDATE, 3951, '000000099991', 20, '', '' ); COMMIT;</v>
      </c>
      <c r="Z8" s="17" t="str">
        <f t="shared" ca="1" si="3"/>
        <v/>
      </c>
      <c r="AB8" s="20" t="s">
        <v>47</v>
      </c>
      <c r="AC8" s="22">
        <f ca="1">AC7-AC6+1</f>
        <v>1</v>
      </c>
      <c r="AD8" s="20"/>
      <c r="AE8" s="21"/>
      <c r="AF8" s="20"/>
      <c r="AG8" s="21"/>
      <c r="AH8"/>
      <c r="AJ8" s="32" t="str">
        <f ca="1"/>
        <v>não</v>
      </c>
      <c r="AK8" s="32" t="str">
        <f ca="1"/>
        <v>0001_25</v>
      </c>
      <c r="AL8" s="32" t="str">
        <f ca="1"/>
        <v>não</v>
      </c>
      <c r="AM8" s="32" t="str">
        <f ca="1"/>
        <v>UNI0008</v>
      </c>
    </row>
    <row r="9" spans="1:39" x14ac:dyDescent="0.2">
      <c r="A9" s="45" t="s">
        <v>98</v>
      </c>
      <c r="B9" s="45" t="s">
        <v>39</v>
      </c>
      <c r="C9" s="45" t="s">
        <v>39</v>
      </c>
      <c r="D9" s="45" t="s">
        <v>99</v>
      </c>
      <c r="E9" s="45"/>
      <c r="F9" s="45"/>
      <c r="G9" s="45" t="s">
        <v>100</v>
      </c>
      <c r="H9" s="45" t="s">
        <v>82</v>
      </c>
      <c r="I9" s="45"/>
      <c r="J9" s="45"/>
      <c r="L9" s="14"/>
      <c r="M9" s="14">
        <f t="shared" si="0"/>
        <v>3951</v>
      </c>
      <c r="N9" s="15">
        <f t="shared" ca="1" si="1"/>
        <v>36640</v>
      </c>
      <c r="O9" s="16" t="str">
        <f t="shared" si="4"/>
        <v>0001_85</v>
      </c>
      <c r="P9" s="16">
        <f t="shared" si="5"/>
        <v>2</v>
      </c>
      <c r="Q9" s="16">
        <f t="shared" si="6"/>
        <v>2</v>
      </c>
      <c r="R9" s="16" t="str">
        <f t="shared" si="7"/>
        <v>1CC1.103</v>
      </c>
      <c r="S9" s="16" t="str">
        <f t="shared" si="8"/>
        <v/>
      </c>
      <c r="T9" s="16" t="str">
        <f t="shared" si="9"/>
        <v/>
      </c>
      <c r="U9" s="16" t="str">
        <f t="shared" si="10"/>
        <v>01/11/2004</v>
      </c>
      <c r="V9" s="16">
        <f t="shared" si="11"/>
        <v>121</v>
      </c>
      <c r="W9" s="16" t="str">
        <f t="shared" si="12"/>
        <v/>
      </c>
      <c r="X9" s="16" t="str">
        <f t="shared" si="2"/>
        <v/>
      </c>
      <c r="Y9" s="17" t="str" cm="1">
        <f t="array" aca="1" ref="Y9" ca="1">MIG_GERA.SCRIPT($Y$2, $M$1:$X$1,M9:X9 )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'0001_85' ), 2, 2,( SELECT MAX( NRESTRUTURAM ) FROM ESTRUTURAM WHERE NRORG = 3951 AND CDINTESTRUTURA = '1CC1.103' ), '01/11/2004', '', '', SYSDATE, 3951, '000000099991', 121, '', '' ); COMMIT;</v>
      </c>
      <c r="Z9" s="17" t="str">
        <f t="shared" ca="1" si="3"/>
        <v/>
      </c>
      <c r="AB9" s="20" t="s">
        <v>48</v>
      </c>
      <c r="AC9" s="22">
        <f ca="1">OFFSET($A$1,1,MATCH(AB9,$1:$1,0)-1)</f>
        <v>3951</v>
      </c>
      <c r="AD9" s="20" t="s">
        <v>48</v>
      </c>
      <c r="AE9" s="21">
        <f ca="1">AC9</f>
        <v>3951</v>
      </c>
      <c r="AF9" s="20" t="s">
        <v>48</v>
      </c>
      <c r="AG9" s="21">
        <f ca="1">AE9</f>
        <v>3951</v>
      </c>
      <c r="AH9"/>
      <c r="AJ9" s="32" t="str">
        <f ca="1"/>
        <v>não</v>
      </c>
      <c r="AK9" s="32" t="str">
        <f ca="1"/>
        <v>0001_306</v>
      </c>
      <c r="AL9" s="32" t="str">
        <f ca="1"/>
        <v>não</v>
      </c>
      <c r="AM9" s="32" t="e">
        <f ca="1"/>
        <v>#N/A</v>
      </c>
    </row>
    <row r="10" spans="1:39" x14ac:dyDescent="0.2">
      <c r="A10" s="45" t="s">
        <v>101</v>
      </c>
      <c r="B10" s="45" t="s">
        <v>38</v>
      </c>
      <c r="C10" s="45" t="s">
        <v>39</v>
      </c>
      <c r="D10" s="45" t="s">
        <v>102</v>
      </c>
      <c r="E10" s="45"/>
      <c r="F10" s="45"/>
      <c r="G10" s="45" t="s">
        <v>103</v>
      </c>
      <c r="H10" s="45" t="s">
        <v>88</v>
      </c>
      <c r="I10" s="45"/>
      <c r="J10" s="45"/>
      <c r="L10" s="14"/>
      <c r="M10" s="14">
        <f t="shared" si="0"/>
        <v>3951</v>
      </c>
      <c r="N10" s="15">
        <f t="shared" ca="1" si="1"/>
        <v>36640</v>
      </c>
      <c r="O10" s="16" t="str">
        <f t="shared" si="4"/>
        <v>0001_111</v>
      </c>
      <c r="P10" s="16">
        <f t="shared" si="5"/>
        <v>1</v>
      </c>
      <c r="Q10" s="16">
        <f t="shared" si="6"/>
        <v>2</v>
      </c>
      <c r="R10" s="16" t="str">
        <f t="shared" si="7"/>
        <v>EST0013</v>
      </c>
      <c r="S10" s="16" t="str">
        <f t="shared" si="8"/>
        <v/>
      </c>
      <c r="T10" s="16" t="str">
        <f t="shared" si="9"/>
        <v/>
      </c>
      <c r="U10" s="16" t="str">
        <f t="shared" si="10"/>
        <v>18/10/2000</v>
      </c>
      <c r="V10" s="16">
        <f t="shared" si="11"/>
        <v>20</v>
      </c>
      <c r="W10" s="16" t="str">
        <f t="shared" si="12"/>
        <v/>
      </c>
      <c r="X10" s="16" t="str">
        <f t="shared" si="2"/>
        <v/>
      </c>
      <c r="Y10" s="17" t="str" cm="1">
        <f t="array" aca="1" ref="Y10" ca="1">MIG_GERA.SCRIPT($Y$2, $M$1:$X$1,M10:X10 )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'0001_111' ), 1, 2,( SELECT MAX( NRESTRUTURAM ) FROM ESTRUTURAM WHERE NRORG = 3951 AND CDINTESTRUTURA = 'EST0013' ), '18/10/2000', '', '', SYSDATE, 3951, '000000099991', 20, '', '' ); COMMIT;</v>
      </c>
      <c r="Z10" s="17" t="str">
        <f t="shared" ca="1" si="3"/>
        <v/>
      </c>
      <c r="AJ10" s="32" t="str">
        <f ca="1"/>
        <v>não</v>
      </c>
      <c r="AK10" s="32" t="str">
        <f ca="1"/>
        <v>0001_311</v>
      </c>
      <c r="AL10" s="32" t="str">
        <f ca="1"/>
        <v>não</v>
      </c>
    </row>
    <row r="11" spans="1:39" x14ac:dyDescent="0.2">
      <c r="A11" s="45" t="s">
        <v>104</v>
      </c>
      <c r="B11" s="45" t="s">
        <v>38</v>
      </c>
      <c r="C11" s="45" t="s">
        <v>39</v>
      </c>
      <c r="D11" s="45" t="s">
        <v>105</v>
      </c>
      <c r="E11" s="45"/>
      <c r="F11" s="45"/>
      <c r="G11" s="45" t="s">
        <v>106</v>
      </c>
      <c r="H11" s="45" t="s">
        <v>88</v>
      </c>
      <c r="I11" s="45"/>
      <c r="J11" s="45"/>
      <c r="L11" s="14"/>
      <c r="M11" s="14">
        <f t="shared" si="0"/>
        <v>3951</v>
      </c>
      <c r="N11" s="15">
        <f t="shared" ref="N11:N24" ca="1" si="13">IF( AND( AJ11 = "existe", AL11 = "existe" ), N10 + 1, N10 )</f>
        <v>36640</v>
      </c>
      <c r="O11" s="16" t="str">
        <f t="shared" ref="O11:O24" si="14">A11</f>
        <v>0001_128</v>
      </c>
      <c r="P11" s="16">
        <f t="shared" ref="P11:P24" si="15">B11*1</f>
        <v>1</v>
      </c>
      <c r="Q11" s="16">
        <f t="shared" ref="Q11:Q24" si="16">C11*1</f>
        <v>2</v>
      </c>
      <c r="R11" s="16" t="str">
        <f t="shared" ref="R11:R24" si="17">D11</f>
        <v>EST0036</v>
      </c>
      <c r="S11" s="16" t="str">
        <f t="shared" ref="S11:S24" si="18">TRIM( E11 )</f>
        <v/>
      </c>
      <c r="T11" s="16" t="str">
        <f t="shared" ref="T11:T24" si="19" xml:space="preserve"> IF( TRIM( F11 ) = "", "", TEXT( F11, "DD/MM/AAAA" ) )</f>
        <v/>
      </c>
      <c r="U11" s="16" t="str">
        <f t="shared" ref="U11:U24" si="20" xml:space="preserve"> IF( TRIM( G11 ) = "", "", TEXT( G11, "DD/MM/AAAA" ) )</f>
        <v>01/06/2000</v>
      </c>
      <c r="V11" s="16">
        <f t="shared" ref="V11:V24" si="21">H11*1</f>
        <v>20</v>
      </c>
      <c r="W11" s="16" t="str">
        <f t="shared" ref="W11:W24" si="22" xml:space="preserve"> IF( TRIM( I11 ) = "", "", TEXT( I11, "DD/MM/AAAA" ) )</f>
        <v/>
      </c>
      <c r="X11" s="16" t="str">
        <f t="shared" si="2"/>
        <v/>
      </c>
      <c r="Y11" s="17" t="str" cm="1">
        <f t="array" aca="1" ref="Y11" ca="1">MIG_GERA.SCRIPT($Y$2, $M$1:$X$1,M11:X11 )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'0001_128' ), 1, 2,( SELECT MAX( NRESTRUTURAM ) FROM ESTRUTURAM WHERE NRORG = 3951 AND CDINTESTRUTURA = 'EST0036' ), '01/06/2000', '', '', SYSDATE, 3951, '000000099991', 20, '', '' ); COMMIT;</v>
      </c>
      <c r="Z11" s="17" t="str">
        <f t="shared" ref="Z11:Z24" ca="1" si="23">IF( AND( AJ11 = "existe", AL11 = "existe" ), Y11, "" )</f>
        <v/>
      </c>
      <c r="AJ11" s="32" t="str">
        <f ca="1"/>
        <v>não</v>
      </c>
      <c r="AK11" s="32" t="str">
        <f ca="1"/>
        <v>0001_319</v>
      </c>
      <c r="AL11" s="32" t="str">
        <f ca="1"/>
        <v>não</v>
      </c>
    </row>
    <row r="12" spans="1:39" x14ac:dyDescent="0.2">
      <c r="A12" s="45" t="s">
        <v>107</v>
      </c>
      <c r="B12" s="45" t="s">
        <v>38</v>
      </c>
      <c r="C12" s="45" t="s">
        <v>39</v>
      </c>
      <c r="D12" s="45" t="s">
        <v>108</v>
      </c>
      <c r="E12" s="45"/>
      <c r="F12" s="45"/>
      <c r="G12" s="45" t="s">
        <v>109</v>
      </c>
      <c r="H12" s="45" t="s">
        <v>88</v>
      </c>
      <c r="I12" s="45"/>
      <c r="J12" s="45"/>
      <c r="L12" s="14"/>
      <c r="M12" s="14">
        <f t="shared" si="0"/>
        <v>3951</v>
      </c>
      <c r="N12" s="15">
        <f t="shared" ca="1" si="13"/>
        <v>36640</v>
      </c>
      <c r="O12" s="16" t="str">
        <f t="shared" si="14"/>
        <v>0001_155</v>
      </c>
      <c r="P12" s="16">
        <f t="shared" si="15"/>
        <v>1</v>
      </c>
      <c r="Q12" s="16">
        <f t="shared" si="16"/>
        <v>2</v>
      </c>
      <c r="R12" s="16" t="str">
        <f t="shared" si="17"/>
        <v>EST0023</v>
      </c>
      <c r="S12" s="16" t="str">
        <f t="shared" si="18"/>
        <v/>
      </c>
      <c r="T12" s="16" t="str">
        <f t="shared" si="19"/>
        <v/>
      </c>
      <c r="U12" s="16" t="str">
        <f t="shared" si="20"/>
        <v>17/06/2006</v>
      </c>
      <c r="V12" s="16">
        <f t="shared" si="21"/>
        <v>20</v>
      </c>
      <c r="W12" s="16" t="str">
        <f t="shared" si="22"/>
        <v/>
      </c>
      <c r="X12" s="16" t="str">
        <f t="shared" si="2"/>
        <v/>
      </c>
      <c r="Y12" s="17" t="str" cm="1">
        <f t="array" aca="1" ref="Y12" ca="1">MIG_GERA.SCRIPT($Y$2, $M$1:$X$1,M12:X12 )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'0001_155' ), 1, 2,( SELECT MAX( NRESTRUTURAM ) FROM ESTRUTURAM WHERE NRORG = 3951 AND CDINTESTRUTURA = 'EST0023' ), '17/06/2006', '', '', SYSDATE, 3951, '000000099991', 20, '', '' ); COMMIT;</v>
      </c>
      <c r="Z12" s="17" t="str">
        <f t="shared" ca="1" si="23"/>
        <v/>
      </c>
      <c r="AJ12" s="32" t="str">
        <f ca="1"/>
        <v>não</v>
      </c>
      <c r="AK12" s="32" t="str">
        <f ca="1"/>
        <v>0001_336</v>
      </c>
      <c r="AL12" s="32" t="str">
        <f ca="1"/>
        <v>não</v>
      </c>
    </row>
    <row r="13" spans="1:39" x14ac:dyDescent="0.2">
      <c r="A13" s="45" t="s">
        <v>110</v>
      </c>
      <c r="B13" s="45" t="s">
        <v>38</v>
      </c>
      <c r="C13" s="45" t="s">
        <v>39</v>
      </c>
      <c r="D13" s="45" t="s">
        <v>102</v>
      </c>
      <c r="E13" s="45"/>
      <c r="F13" s="45"/>
      <c r="G13" s="45" t="s">
        <v>111</v>
      </c>
      <c r="H13" s="45" t="s">
        <v>88</v>
      </c>
      <c r="I13" s="45"/>
      <c r="J13" s="45"/>
      <c r="L13" s="14"/>
      <c r="M13" s="14">
        <f t="shared" si="0"/>
        <v>3951</v>
      </c>
      <c r="N13" s="15">
        <f t="shared" ca="1" si="13"/>
        <v>36640</v>
      </c>
      <c r="O13" s="16" t="str">
        <f t="shared" si="14"/>
        <v>0001_191</v>
      </c>
      <c r="P13" s="16">
        <f t="shared" si="15"/>
        <v>1</v>
      </c>
      <c r="Q13" s="16">
        <f t="shared" si="16"/>
        <v>2</v>
      </c>
      <c r="R13" s="16" t="str">
        <f t="shared" si="17"/>
        <v>EST0013</v>
      </c>
      <c r="S13" s="16" t="str">
        <f t="shared" si="18"/>
        <v/>
      </c>
      <c r="T13" s="16" t="str">
        <f t="shared" si="19"/>
        <v/>
      </c>
      <c r="U13" s="16" t="str">
        <f t="shared" si="20"/>
        <v>03/06/2004</v>
      </c>
      <c r="V13" s="16">
        <f t="shared" si="21"/>
        <v>20</v>
      </c>
      <c r="W13" s="16" t="str">
        <f t="shared" si="22"/>
        <v/>
      </c>
      <c r="X13" s="16" t="str">
        <f t="shared" si="2"/>
        <v/>
      </c>
      <c r="Y13" s="17" t="str" cm="1">
        <f t="array" aca="1" ref="Y13" ca="1">MIG_GERA.SCRIPT($Y$2, $M$1:$X$1,M13:X13 )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'0001_191' ), 1, 2,( SELECT MAX( NRESTRUTURAM ) FROM ESTRUTURAM WHERE NRORG = 3951 AND CDINTESTRUTURA = 'EST0013' ), '03/06/2004', '', '', SYSDATE, 3951, '000000099991', 20, '', '' ); COMMIT;</v>
      </c>
      <c r="Z13" s="17" t="str">
        <f t="shared" ca="1" si="23"/>
        <v/>
      </c>
      <c r="AJ13" s="32" t="str">
        <f ca="1"/>
        <v>não</v>
      </c>
      <c r="AK13" s="32" t="str">
        <f ca="1"/>
        <v>0001_344</v>
      </c>
      <c r="AL13" s="32" t="str">
        <f ca="1"/>
        <v>não</v>
      </c>
    </row>
    <row r="14" spans="1:39" x14ac:dyDescent="0.2">
      <c r="A14" s="45" t="s">
        <v>112</v>
      </c>
      <c r="B14" s="45" t="s">
        <v>38</v>
      </c>
      <c r="C14" s="45" t="s">
        <v>39</v>
      </c>
      <c r="D14" s="45" t="s">
        <v>102</v>
      </c>
      <c r="E14" s="45"/>
      <c r="F14" s="45"/>
      <c r="G14" s="45" t="s">
        <v>113</v>
      </c>
      <c r="H14" s="45" t="s">
        <v>88</v>
      </c>
      <c r="I14" s="45"/>
      <c r="J14" s="45"/>
      <c r="L14" s="14"/>
      <c r="M14" s="14">
        <f t="shared" si="0"/>
        <v>3951</v>
      </c>
      <c r="N14" s="15">
        <f t="shared" ca="1" si="13"/>
        <v>36640</v>
      </c>
      <c r="O14" s="16" t="str">
        <f t="shared" si="14"/>
        <v>0001_237</v>
      </c>
      <c r="P14" s="16">
        <f t="shared" si="15"/>
        <v>1</v>
      </c>
      <c r="Q14" s="16">
        <f t="shared" si="16"/>
        <v>2</v>
      </c>
      <c r="R14" s="16" t="str">
        <f t="shared" si="17"/>
        <v>EST0013</v>
      </c>
      <c r="S14" s="16" t="str">
        <f t="shared" si="18"/>
        <v/>
      </c>
      <c r="T14" s="16" t="str">
        <f t="shared" si="19"/>
        <v/>
      </c>
      <c r="U14" s="16" t="str">
        <f t="shared" si="20"/>
        <v>02/10/2006</v>
      </c>
      <c r="V14" s="16">
        <f t="shared" si="21"/>
        <v>20</v>
      </c>
      <c r="W14" s="16" t="str">
        <f t="shared" si="22"/>
        <v/>
      </c>
      <c r="X14" s="16" t="str">
        <f t="shared" si="2"/>
        <v/>
      </c>
      <c r="Y14" s="17" t="str" cm="1">
        <f t="array" aca="1" ref="Y14" ca="1">MIG_GERA.SCRIPT($Y$2, $M$1:$X$1,M14:X14 )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'0001_237' ), 1, 2,( SELECT MAX( NRESTRUTURAM ) FROM ESTRUTURAM WHERE NRORG = 3951 AND CDINTESTRUTURA = 'EST0013' ), '02/10/2006', '', '', SYSDATE, 3951, '000000099991', 20, '', '' ); COMMIT;</v>
      </c>
      <c r="Z14" s="17" t="str">
        <f t="shared" ca="1" si="23"/>
        <v/>
      </c>
      <c r="AJ14" s="32" t="str">
        <f ca="1"/>
        <v>não</v>
      </c>
      <c r="AK14" s="32" t="str">
        <f ca="1"/>
        <v>0001_345</v>
      </c>
      <c r="AL14" s="32" t="str">
        <f ca="1"/>
        <v>não</v>
      </c>
    </row>
    <row r="15" spans="1:39" x14ac:dyDescent="0.2">
      <c r="A15" s="45" t="s">
        <v>114</v>
      </c>
      <c r="B15" s="45" t="s">
        <v>38</v>
      </c>
      <c r="C15" s="45" t="s">
        <v>39</v>
      </c>
      <c r="D15" s="45" t="s">
        <v>86</v>
      </c>
      <c r="E15" s="45"/>
      <c r="F15" s="45"/>
      <c r="G15" s="45" t="s">
        <v>115</v>
      </c>
      <c r="H15" s="45" t="s">
        <v>88</v>
      </c>
      <c r="I15" s="45"/>
      <c r="J15" s="45"/>
      <c r="L15" s="14"/>
      <c r="M15" s="14">
        <f t="shared" si="0"/>
        <v>3951</v>
      </c>
      <c r="N15" s="15">
        <f t="shared" ca="1" si="13"/>
        <v>36640</v>
      </c>
      <c r="O15" s="16" t="str">
        <f t="shared" si="14"/>
        <v>0001_306</v>
      </c>
      <c r="P15" s="16">
        <f t="shared" si="15"/>
        <v>1</v>
      </c>
      <c r="Q15" s="16">
        <f t="shared" si="16"/>
        <v>2</v>
      </c>
      <c r="R15" s="16" t="str">
        <f t="shared" si="17"/>
        <v>EST0001</v>
      </c>
      <c r="S15" s="16" t="str">
        <f t="shared" si="18"/>
        <v/>
      </c>
      <c r="T15" s="16" t="str">
        <f t="shared" si="19"/>
        <v/>
      </c>
      <c r="U15" s="16" t="str">
        <f t="shared" si="20"/>
        <v>01/12/2013</v>
      </c>
      <c r="V15" s="16">
        <f t="shared" si="21"/>
        <v>20</v>
      </c>
      <c r="W15" s="16" t="str">
        <f t="shared" si="22"/>
        <v/>
      </c>
      <c r="X15" s="16" t="str">
        <f t="shared" si="2"/>
        <v/>
      </c>
      <c r="Y15" s="17" t="str" cm="1">
        <f t="array" aca="1" ref="Y15" ca="1">MIG_GERA.SCRIPT($Y$2, $M$1:$X$1,M15:X15 )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'0001_306' ), 1, 2,( SELECT MAX( NRESTRUTURAM ) FROM ESTRUTURAM WHERE NRORG = 3951 AND CDINTESTRUTURA = 'EST0001' ), '01/12/2013', '', '', SYSDATE, 3951, '000000099991', 20, '', '' ); COMMIT;</v>
      </c>
      <c r="Z15" s="17" t="str">
        <f t="shared" ca="1" si="23"/>
        <v/>
      </c>
      <c r="AJ15" s="32" t="str">
        <f ca="1"/>
        <v>não</v>
      </c>
      <c r="AK15" s="32" t="str">
        <f ca="1"/>
        <v>0001_361</v>
      </c>
      <c r="AL15" s="32" t="str">
        <f ca="1"/>
        <v>não</v>
      </c>
    </row>
    <row r="16" spans="1:39" x14ac:dyDescent="0.2">
      <c r="A16" s="45" t="s">
        <v>116</v>
      </c>
      <c r="B16" s="45" t="s">
        <v>38</v>
      </c>
      <c r="C16" s="45" t="s">
        <v>39</v>
      </c>
      <c r="D16" s="45" t="s">
        <v>86</v>
      </c>
      <c r="E16" s="45"/>
      <c r="F16" s="45"/>
      <c r="G16" s="45" t="s">
        <v>115</v>
      </c>
      <c r="H16" s="45" t="s">
        <v>88</v>
      </c>
      <c r="I16" s="45"/>
      <c r="J16" s="45"/>
      <c r="L16" s="14"/>
      <c r="M16" s="14">
        <f t="shared" si="0"/>
        <v>3951</v>
      </c>
      <c r="N16" s="15">
        <f t="shared" ca="1" si="13"/>
        <v>36640</v>
      </c>
      <c r="O16" s="16" t="str">
        <f t="shared" si="14"/>
        <v>0001_311</v>
      </c>
      <c r="P16" s="16">
        <f t="shared" si="15"/>
        <v>1</v>
      </c>
      <c r="Q16" s="16">
        <f t="shared" si="16"/>
        <v>2</v>
      </c>
      <c r="R16" s="16" t="str">
        <f t="shared" si="17"/>
        <v>EST0001</v>
      </c>
      <c r="S16" s="16" t="str">
        <f t="shared" si="18"/>
        <v/>
      </c>
      <c r="T16" s="16" t="str">
        <f t="shared" si="19"/>
        <v/>
      </c>
      <c r="U16" s="16" t="str">
        <f t="shared" si="20"/>
        <v>01/12/2013</v>
      </c>
      <c r="V16" s="16">
        <f t="shared" si="21"/>
        <v>20</v>
      </c>
      <c r="W16" s="16" t="str">
        <f t="shared" si="22"/>
        <v/>
      </c>
      <c r="X16" s="16" t="str">
        <f t="shared" si="2"/>
        <v/>
      </c>
      <c r="Y16" s="17" t="str" cm="1">
        <f t="array" aca="1" ref="Y16" ca="1">MIG_GERA.SCRIPT($Y$2, $M$1:$X$1,M16:X16 )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'0001_311' ), 1, 2,( SELECT MAX( NRESTRUTURAM ) FROM ESTRUTURAM WHERE NRORG = 3951 AND CDINTESTRUTURA = 'EST0001' ), '01/12/2013', '', '', SYSDATE, 3951, '000000099991', 20, '', '' ); COMMIT;</v>
      </c>
      <c r="Z16" s="17" t="str">
        <f t="shared" ca="1" si="23"/>
        <v/>
      </c>
      <c r="AJ16" s="32" t="str">
        <f ca="1"/>
        <v>não</v>
      </c>
      <c r="AK16" s="32" t="str">
        <f ca="1"/>
        <v>0001_385</v>
      </c>
      <c r="AL16" s="32" t="str">
        <f ca="1"/>
        <v>não</v>
      </c>
    </row>
    <row r="17" spans="1:38" x14ac:dyDescent="0.2">
      <c r="A17" s="45" t="s">
        <v>117</v>
      </c>
      <c r="B17" s="45" t="s">
        <v>38</v>
      </c>
      <c r="C17" s="45" t="s">
        <v>39</v>
      </c>
      <c r="D17" s="45" t="s">
        <v>86</v>
      </c>
      <c r="E17" s="45"/>
      <c r="F17" s="45"/>
      <c r="G17" s="45" t="s">
        <v>115</v>
      </c>
      <c r="H17" s="45" t="s">
        <v>88</v>
      </c>
      <c r="I17" s="45"/>
      <c r="J17" s="45"/>
      <c r="L17" s="14"/>
      <c r="M17" s="14">
        <f t="shared" si="0"/>
        <v>3951</v>
      </c>
      <c r="N17" s="15">
        <f t="shared" ca="1" si="13"/>
        <v>36640</v>
      </c>
      <c r="O17" s="16" t="str">
        <f t="shared" si="14"/>
        <v>0001_319</v>
      </c>
      <c r="P17" s="16">
        <f t="shared" si="15"/>
        <v>1</v>
      </c>
      <c r="Q17" s="16">
        <f t="shared" si="16"/>
        <v>2</v>
      </c>
      <c r="R17" s="16" t="str">
        <f t="shared" si="17"/>
        <v>EST0001</v>
      </c>
      <c r="S17" s="16" t="str">
        <f t="shared" si="18"/>
        <v/>
      </c>
      <c r="T17" s="16" t="str">
        <f t="shared" si="19"/>
        <v/>
      </c>
      <c r="U17" s="16" t="str">
        <f t="shared" si="20"/>
        <v>01/12/2013</v>
      </c>
      <c r="V17" s="16">
        <f t="shared" si="21"/>
        <v>20</v>
      </c>
      <c r="W17" s="16" t="str">
        <f t="shared" si="22"/>
        <v/>
      </c>
      <c r="X17" s="16" t="str">
        <f t="shared" si="2"/>
        <v/>
      </c>
      <c r="Y17" s="17" t="str" cm="1">
        <f t="array" aca="1" ref="Y17" ca="1">MIG_GERA.SCRIPT($Y$2, $M$1:$X$1,M17:X17 )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'0001_319' ), 1, 2,( SELECT MAX( NRESTRUTURAM ) FROM ESTRUTURAM WHERE NRORG = 3951 AND CDINTESTRUTURA = 'EST0001' ), '01/12/2013', '', '', SYSDATE, 3951, '000000099991', 20, '', '' ); COMMIT;</v>
      </c>
      <c r="Z17" s="17" t="str">
        <f t="shared" ca="1" si="23"/>
        <v/>
      </c>
      <c r="AJ17" s="32" t="str">
        <f ca="1"/>
        <v>não</v>
      </c>
      <c r="AK17" s="32" t="str">
        <f ca="1"/>
        <v>0001_410</v>
      </c>
      <c r="AL17" s="32" t="str">
        <f ca="1"/>
        <v>não</v>
      </c>
    </row>
    <row r="18" spans="1:38" x14ac:dyDescent="0.2">
      <c r="A18" s="45" t="s">
        <v>118</v>
      </c>
      <c r="B18" s="45" t="s">
        <v>39</v>
      </c>
      <c r="C18" s="45" t="s">
        <v>39</v>
      </c>
      <c r="D18" s="45" t="s">
        <v>119</v>
      </c>
      <c r="E18" s="45"/>
      <c r="F18" s="45"/>
      <c r="G18" s="45" t="s">
        <v>120</v>
      </c>
      <c r="H18" s="45" t="s">
        <v>92</v>
      </c>
      <c r="I18" s="45"/>
      <c r="J18" s="45"/>
      <c r="L18" s="14"/>
      <c r="M18" s="14">
        <f t="shared" si="0"/>
        <v>3951</v>
      </c>
      <c r="N18" s="15">
        <f t="shared" ca="1" si="13"/>
        <v>36640</v>
      </c>
      <c r="O18" s="16" t="str">
        <f t="shared" si="14"/>
        <v>0001_336</v>
      </c>
      <c r="P18" s="16">
        <f t="shared" si="15"/>
        <v>2</v>
      </c>
      <c r="Q18" s="16">
        <f t="shared" si="16"/>
        <v>2</v>
      </c>
      <c r="R18" s="16" t="str">
        <f t="shared" si="17"/>
        <v>UNI0063</v>
      </c>
      <c r="S18" s="16" t="str">
        <f t="shared" si="18"/>
        <v/>
      </c>
      <c r="T18" s="16" t="str">
        <f t="shared" si="19"/>
        <v/>
      </c>
      <c r="U18" s="16" t="str">
        <f t="shared" si="20"/>
        <v>10/02/2017</v>
      </c>
      <c r="V18" s="16">
        <f t="shared" si="21"/>
        <v>120</v>
      </c>
      <c r="W18" s="16" t="str">
        <f t="shared" si="22"/>
        <v/>
      </c>
      <c r="X18" s="16" t="str">
        <f t="shared" si="2"/>
        <v/>
      </c>
      <c r="Y18" s="17" t="str" cm="1">
        <f t="array" aca="1" ref="Y18" ca="1">MIG_GERA.SCRIPT($Y$2, $M$1:$X$1,M18:X18 )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'0001_336' ), 2, 2,( SELECT MAX( NRESTRUTURAM ) FROM ESTRUTURAM WHERE NRORG = 3951 AND CDINTESTRUTURA = 'UNI0063' ), '10/02/2017', '', '', SYSDATE, 3951, '000000099991', 120, '', '' ); COMMIT;</v>
      </c>
      <c r="Z18" s="17" t="str">
        <f t="shared" ca="1" si="23"/>
        <v/>
      </c>
      <c r="AJ18" s="32" t="str">
        <f ca="1"/>
        <v>não</v>
      </c>
      <c r="AK18" s="32" t="str">
        <f ca="1"/>
        <v>0001_413</v>
      </c>
      <c r="AL18" s="32" t="str">
        <f ca="1"/>
        <v>não</v>
      </c>
    </row>
    <row r="19" spans="1:38" x14ac:dyDescent="0.2">
      <c r="A19" s="45" t="s">
        <v>121</v>
      </c>
      <c r="B19" s="45" t="s">
        <v>38</v>
      </c>
      <c r="C19" s="45" t="s">
        <v>39</v>
      </c>
      <c r="D19" s="45" t="s">
        <v>86</v>
      </c>
      <c r="E19" s="45"/>
      <c r="F19" s="45"/>
      <c r="G19" s="45" t="s">
        <v>122</v>
      </c>
      <c r="H19" s="45" t="s">
        <v>88</v>
      </c>
      <c r="I19" s="45"/>
      <c r="J19" s="45"/>
      <c r="L19" s="14"/>
      <c r="M19" s="14">
        <f t="shared" si="0"/>
        <v>3951</v>
      </c>
      <c r="N19" s="15">
        <f t="shared" ca="1" si="13"/>
        <v>36640</v>
      </c>
      <c r="O19" s="16" t="str">
        <f t="shared" si="14"/>
        <v>0001_344</v>
      </c>
      <c r="P19" s="16">
        <f t="shared" si="15"/>
        <v>1</v>
      </c>
      <c r="Q19" s="16">
        <f t="shared" si="16"/>
        <v>2</v>
      </c>
      <c r="R19" s="16" t="str">
        <f t="shared" si="17"/>
        <v>EST0001</v>
      </c>
      <c r="S19" s="16" t="str">
        <f t="shared" si="18"/>
        <v/>
      </c>
      <c r="T19" s="16" t="str">
        <f t="shared" si="19"/>
        <v/>
      </c>
      <c r="U19" s="16" t="str">
        <f t="shared" si="20"/>
        <v>01/11/2013</v>
      </c>
      <c r="V19" s="16">
        <f t="shared" si="21"/>
        <v>20</v>
      </c>
      <c r="W19" s="16" t="str">
        <f t="shared" si="22"/>
        <v/>
      </c>
      <c r="X19" s="16" t="str">
        <f t="shared" si="2"/>
        <v/>
      </c>
      <c r="Y19" s="17" t="str" cm="1">
        <f t="array" aca="1" ref="Y19" ca="1">MIG_GERA.SCRIPT($Y$2, $M$1:$X$1,M19:X19 )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'0001_344' ), 1, 2,( SELECT MAX( NRESTRUTURAM ) FROM ESTRUTURAM WHERE NRORG = 3951 AND CDINTESTRUTURA = 'EST0001' ), '01/11/2013', '', '', SYSDATE, 3951, '000000099991', 20, '', '' ); COMMIT;</v>
      </c>
      <c r="Z19" s="17" t="str">
        <f t="shared" ca="1" si="23"/>
        <v/>
      </c>
      <c r="AJ19" s="32" t="str">
        <f ca="1"/>
        <v>não</v>
      </c>
      <c r="AK19" s="32" t="str">
        <f ca="1"/>
        <v>0001_56</v>
      </c>
      <c r="AL19" s="32" t="str">
        <f ca="1"/>
        <v>não</v>
      </c>
    </row>
    <row r="20" spans="1:38" x14ac:dyDescent="0.2">
      <c r="A20" s="45" t="s">
        <v>123</v>
      </c>
      <c r="B20" s="45" t="s">
        <v>38</v>
      </c>
      <c r="C20" s="45" t="s">
        <v>39</v>
      </c>
      <c r="D20" s="45" t="s">
        <v>86</v>
      </c>
      <c r="E20" s="45"/>
      <c r="F20" s="45"/>
      <c r="G20" s="45" t="s">
        <v>122</v>
      </c>
      <c r="H20" s="45" t="s">
        <v>88</v>
      </c>
      <c r="I20" s="45"/>
      <c r="J20" s="45"/>
      <c r="L20" s="14"/>
      <c r="M20" s="14">
        <f t="shared" si="0"/>
        <v>3951</v>
      </c>
      <c r="N20" s="15">
        <f t="shared" ca="1" si="13"/>
        <v>36640</v>
      </c>
      <c r="O20" s="16" t="str">
        <f t="shared" si="14"/>
        <v>0001_345</v>
      </c>
      <c r="P20" s="16">
        <f t="shared" si="15"/>
        <v>1</v>
      </c>
      <c r="Q20" s="16">
        <f t="shared" si="16"/>
        <v>2</v>
      </c>
      <c r="R20" s="16" t="str">
        <f t="shared" si="17"/>
        <v>EST0001</v>
      </c>
      <c r="S20" s="16" t="str">
        <f t="shared" si="18"/>
        <v/>
      </c>
      <c r="T20" s="16" t="str">
        <f t="shared" si="19"/>
        <v/>
      </c>
      <c r="U20" s="16" t="str">
        <f t="shared" si="20"/>
        <v>01/11/2013</v>
      </c>
      <c r="V20" s="16">
        <f t="shared" si="21"/>
        <v>20</v>
      </c>
      <c r="W20" s="16" t="str">
        <f t="shared" si="22"/>
        <v/>
      </c>
      <c r="X20" s="16" t="str">
        <f t="shared" si="2"/>
        <v/>
      </c>
      <c r="Y20" s="17" t="str" cm="1">
        <f t="array" aca="1" ref="Y20" ca="1">MIG_GERA.SCRIPT($Y$2, $M$1:$X$1,M20:X20 )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'0001_345' ), 1, 2,( SELECT MAX( NRESTRUTURAM ) FROM ESTRUTURAM WHERE NRORG = 3951 AND CDINTESTRUTURA = 'EST0001' ), '01/11/2013', '', '', SYSDATE, 3951, '000000099991', 20, '', '' ); COMMIT;</v>
      </c>
      <c r="Z20" s="17" t="str">
        <f t="shared" ca="1" si="23"/>
        <v/>
      </c>
      <c r="AJ20" s="32" t="str">
        <f ca="1"/>
        <v>não</v>
      </c>
      <c r="AK20" s="32" t="str">
        <f ca="1"/>
        <v>0001_62</v>
      </c>
      <c r="AL20" s="32" t="str">
        <f ca="1"/>
        <v>não</v>
      </c>
    </row>
    <row r="21" spans="1:38" x14ac:dyDescent="0.2">
      <c r="A21" s="45" t="s">
        <v>124</v>
      </c>
      <c r="B21" s="45" t="s">
        <v>38</v>
      </c>
      <c r="C21" s="45" t="s">
        <v>39</v>
      </c>
      <c r="D21" s="45" t="s">
        <v>86</v>
      </c>
      <c r="E21" s="45"/>
      <c r="F21" s="45"/>
      <c r="G21" s="45" t="s">
        <v>115</v>
      </c>
      <c r="H21" s="45" t="s">
        <v>88</v>
      </c>
      <c r="I21" s="45"/>
      <c r="J21" s="45"/>
      <c r="L21" s="14"/>
      <c r="M21" s="14">
        <f t="shared" si="0"/>
        <v>3951</v>
      </c>
      <c r="N21" s="15">
        <f t="shared" ca="1" si="13"/>
        <v>36640</v>
      </c>
      <c r="O21" s="16" t="str">
        <f t="shared" si="14"/>
        <v>0001_361</v>
      </c>
      <c r="P21" s="16">
        <f t="shared" si="15"/>
        <v>1</v>
      </c>
      <c r="Q21" s="16">
        <f t="shared" si="16"/>
        <v>2</v>
      </c>
      <c r="R21" s="16" t="str">
        <f t="shared" si="17"/>
        <v>EST0001</v>
      </c>
      <c r="S21" s="16" t="str">
        <f t="shared" si="18"/>
        <v/>
      </c>
      <c r="T21" s="16" t="str">
        <f t="shared" si="19"/>
        <v/>
      </c>
      <c r="U21" s="16" t="str">
        <f t="shared" si="20"/>
        <v>01/12/2013</v>
      </c>
      <c r="V21" s="16">
        <f t="shared" si="21"/>
        <v>20</v>
      </c>
      <c r="W21" s="16" t="str">
        <f t="shared" si="22"/>
        <v/>
      </c>
      <c r="X21" s="16" t="str">
        <f t="shared" si="2"/>
        <v/>
      </c>
      <c r="Y21" s="17" t="str" cm="1">
        <f t="array" aca="1" ref="Y21" ca="1">MIG_GERA.SCRIPT($Y$2, $M$1:$X$1,M21:X21 )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'0001_361' ), 1, 2,( SELECT MAX( NRESTRUTURAM ) FROM ESTRUTURAM WHERE NRORG = 3951 AND CDINTESTRUTURA = 'EST0001' ), '01/12/2013', '', '', SYSDATE, 3951, '000000099991', 20, '', '' ); COMMIT;</v>
      </c>
      <c r="Z21" s="17" t="str">
        <f t="shared" ca="1" si="23"/>
        <v/>
      </c>
      <c r="AJ21" s="32" t="str">
        <f ca="1"/>
        <v>não</v>
      </c>
      <c r="AK21" s="32" t="str">
        <f ca="1"/>
        <v>0001_85</v>
      </c>
      <c r="AL21" s="32" t="str">
        <f ca="1"/>
        <v>não</v>
      </c>
    </row>
    <row r="22" spans="1:38" x14ac:dyDescent="0.2">
      <c r="A22" s="45" t="s">
        <v>125</v>
      </c>
      <c r="B22" s="45" t="s">
        <v>38</v>
      </c>
      <c r="C22" s="45" t="s">
        <v>39</v>
      </c>
      <c r="D22" s="45" t="s">
        <v>126</v>
      </c>
      <c r="E22" s="45"/>
      <c r="F22" s="45"/>
      <c r="G22" s="45" t="s">
        <v>127</v>
      </c>
      <c r="H22" s="45" t="s">
        <v>88</v>
      </c>
      <c r="I22" s="45"/>
      <c r="J22" s="45"/>
      <c r="L22" s="14"/>
      <c r="M22" s="14">
        <f t="shared" si="0"/>
        <v>3951</v>
      </c>
      <c r="N22" s="15">
        <f t="shared" ca="1" si="13"/>
        <v>36640</v>
      </c>
      <c r="O22" s="16" t="str">
        <f t="shared" si="14"/>
        <v>0001_385</v>
      </c>
      <c r="P22" s="16">
        <f t="shared" si="15"/>
        <v>1</v>
      </c>
      <c r="Q22" s="16">
        <f t="shared" si="16"/>
        <v>2</v>
      </c>
      <c r="R22" s="16" t="str">
        <f t="shared" si="17"/>
        <v>EST0022</v>
      </c>
      <c r="S22" s="16" t="str">
        <f t="shared" si="18"/>
        <v/>
      </c>
      <c r="T22" s="16" t="str">
        <f t="shared" si="19"/>
        <v/>
      </c>
      <c r="U22" s="16" t="str">
        <f t="shared" si="20"/>
        <v>01/10/2006</v>
      </c>
      <c r="V22" s="16">
        <f t="shared" si="21"/>
        <v>20</v>
      </c>
      <c r="W22" s="16" t="str">
        <f t="shared" si="22"/>
        <v/>
      </c>
      <c r="X22" s="16" t="str">
        <f t="shared" si="2"/>
        <v/>
      </c>
      <c r="Y22" s="17" t="str" cm="1">
        <f t="array" aca="1" ref="Y22" ca="1">MIG_GERA.SCRIPT($Y$2, $M$1:$X$1,M22:X22 )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'0001_385' ), 1, 2,( SELECT MAX( NRESTRUTURAM ) FROM ESTRUTURAM WHERE NRORG = 3951 AND CDINTESTRUTURA = 'EST0022' ), '01/10/2006', '', '', SYSDATE, 3951, '000000099991', 20, '', '' ); COMMIT;</v>
      </c>
      <c r="Z22" s="17" t="str">
        <f t="shared" ca="1" si="23"/>
        <v/>
      </c>
      <c r="AJ22" s="32" t="str">
        <f ca="1"/>
        <v>não</v>
      </c>
      <c r="AK22" s="32" t="str">
        <f ca="1"/>
        <v>2001_11</v>
      </c>
      <c r="AL22" s="32" t="str">
        <f ca="1"/>
        <v>não</v>
      </c>
    </row>
    <row r="23" spans="1:38" x14ac:dyDescent="0.2">
      <c r="A23" s="45" t="s">
        <v>128</v>
      </c>
      <c r="B23" s="45" t="s">
        <v>38</v>
      </c>
      <c r="C23" s="45" t="s">
        <v>39</v>
      </c>
      <c r="D23" s="45" t="s">
        <v>86</v>
      </c>
      <c r="E23" s="45"/>
      <c r="F23" s="45"/>
      <c r="G23" s="45" t="s">
        <v>129</v>
      </c>
      <c r="H23" s="45" t="s">
        <v>88</v>
      </c>
      <c r="I23" s="45"/>
      <c r="J23" s="45"/>
      <c r="L23" s="14"/>
      <c r="M23" s="14">
        <f t="shared" si="0"/>
        <v>3951</v>
      </c>
      <c r="N23" s="15">
        <f t="shared" ca="1" si="13"/>
        <v>36640</v>
      </c>
      <c r="O23" s="16" t="str">
        <f t="shared" si="14"/>
        <v>0001_410</v>
      </c>
      <c r="P23" s="16">
        <f t="shared" si="15"/>
        <v>1</v>
      </c>
      <c r="Q23" s="16">
        <f t="shared" si="16"/>
        <v>2</v>
      </c>
      <c r="R23" s="16" t="str">
        <f t="shared" si="17"/>
        <v>EST0001</v>
      </c>
      <c r="S23" s="16" t="str">
        <f t="shared" si="18"/>
        <v/>
      </c>
      <c r="T23" s="16" t="str">
        <f t="shared" si="19"/>
        <v/>
      </c>
      <c r="U23" s="16" t="str">
        <f t="shared" si="20"/>
        <v>01/03/2013</v>
      </c>
      <c r="V23" s="16">
        <f t="shared" si="21"/>
        <v>20</v>
      </c>
      <c r="W23" s="16" t="str">
        <f t="shared" si="22"/>
        <v/>
      </c>
      <c r="X23" s="16" t="str">
        <f t="shared" si="2"/>
        <v/>
      </c>
      <c r="Y23" s="17" t="str" cm="1">
        <f t="array" aca="1" ref="Y23" ca="1">MIG_GERA.SCRIPT($Y$2, $M$1:$X$1,M23:X23 )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'0001_410' ), 1, 2,( SELECT MAX( NRESTRUTURAM ) FROM ESTRUTURAM WHERE NRORG = 3951 AND CDINTESTRUTURA = 'EST0001' ), '01/03/2013', '', '', SYSDATE, 3951, '000000099991', 20, '', '' ); COMMIT;</v>
      </c>
      <c r="Z23" s="17" t="str">
        <f t="shared" ca="1" si="23"/>
        <v/>
      </c>
      <c r="AJ23" s="32" t="str">
        <f ca="1"/>
        <v>não</v>
      </c>
      <c r="AK23" s="32" t="str">
        <f ca="1"/>
        <v>2001_17</v>
      </c>
      <c r="AL23" s="32" t="str">
        <f ca="1"/>
        <v>não</v>
      </c>
    </row>
    <row r="24" spans="1:38" x14ac:dyDescent="0.2">
      <c r="A24" s="45" t="s">
        <v>130</v>
      </c>
      <c r="B24" s="45" t="s">
        <v>38</v>
      </c>
      <c r="C24" s="45" t="s">
        <v>39</v>
      </c>
      <c r="D24" s="45" t="s">
        <v>131</v>
      </c>
      <c r="E24" s="45"/>
      <c r="F24" s="45"/>
      <c r="G24" s="45" t="s">
        <v>132</v>
      </c>
      <c r="H24" s="45" t="s">
        <v>88</v>
      </c>
      <c r="I24" s="45"/>
      <c r="J24" s="45" t="s">
        <v>134</v>
      </c>
      <c r="L24" s="14"/>
      <c r="M24" s="14">
        <f t="shared" si="0"/>
        <v>3951</v>
      </c>
      <c r="N24" s="15">
        <f t="shared" ca="1" si="13"/>
        <v>36640</v>
      </c>
      <c r="O24" s="16" t="str">
        <f t="shared" si="14"/>
        <v>0001_413</v>
      </c>
      <c r="P24" s="16">
        <f t="shared" si="15"/>
        <v>1</v>
      </c>
      <c r="Q24" s="16">
        <f t="shared" si="16"/>
        <v>2</v>
      </c>
      <c r="R24" s="16" t="str">
        <f t="shared" si="17"/>
        <v>EST0024</v>
      </c>
      <c r="S24" s="16" t="str">
        <f t="shared" si="18"/>
        <v/>
      </c>
      <c r="T24" s="16" t="str">
        <f t="shared" si="19"/>
        <v/>
      </c>
      <c r="U24" s="16" t="str">
        <f t="shared" si="20"/>
        <v>21/04/2013</v>
      </c>
      <c r="V24" s="16">
        <f t="shared" si="21"/>
        <v>20</v>
      </c>
      <c r="W24" s="16" t="str">
        <f t="shared" si="22"/>
        <v/>
      </c>
      <c r="X24" s="16">
        <f t="shared" si="2"/>
        <v>8</v>
      </c>
      <c r="Y24" s="17" t="str" cm="1">
        <f t="array" aca="1" ref="Y24" ca="1">MIG_GERA.SCRIPT($Y$2, $M$1:$X$1,M24:X24 )</f>
        <v>INSERT INTO GPE_MOVIMENTACAO ( NRMOVIMENTACAO, NRORG, NRVINCULOM, NRTIPOTRANSFER, NRTPMOVTRANSFM, NRESTRUTURAM, DTINIMOVIMENT, DTFIMMOVIMENT, DSOBSERVACAO, DTINCLUSAO, NRORGINCLUSAO, CDOPERINCLUSAO, NRTIPOESTRUTURA, DTMOVIMENTRETRO, NRMOTIVOTRANSF ) VALUES ( 36640, 3951, ( SELECT /*MAX(*/ NRVINCULOM /*)*/ FROM GPE_VINCULOM WHERE NRORG = 3951 AND CDMATRICULA = '0001_413' ), 1, 2,( SELECT MAX( NRESTRUTURAM ) FROM ESTRUTURAM WHERE NRORG = 3951 AND CDINTESTRUTURA = 'EST0024' ), '21/04/2013', '', '', SYSDATE, 3951, '000000099991', 20, '', '8' ); COMMIT;</v>
      </c>
      <c r="Z24" s="17" t="str">
        <f t="shared" ca="1" si="23"/>
        <v/>
      </c>
      <c r="AJ24" s="32" t="str">
        <f ca="1"/>
        <v>não</v>
      </c>
      <c r="AK24" s="32" t="str">
        <f ca="1"/>
        <v>2001_75</v>
      </c>
      <c r="AL24" s="32" t="str">
        <f ca="1"/>
        <v>não</v>
      </c>
    </row>
  </sheetData>
  <sheetProtection selectLockedCells="1" selectUnlockedCells="1"/>
  <autoFilter ref="A2:J2" xr:uid="{00000000-0001-0000-0000-000000000000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5655-F26A-4468-93E5-2C4CC0FACEFD}">
  <dimension ref="A1:E2"/>
  <sheetViews>
    <sheetView workbookViewId="0">
      <selection activeCell="E3" sqref="E3"/>
    </sheetView>
  </sheetViews>
  <sheetFormatPr defaultRowHeight="15" x14ac:dyDescent="0.25"/>
  <cols>
    <col min="1" max="1" width="14.140625" style="29" bestFit="1" customWidth="1"/>
    <col min="2" max="2" width="64" style="29" bestFit="1" customWidth="1"/>
    <col min="3" max="3" width="17" style="29" bestFit="1" customWidth="1"/>
    <col min="4" max="4" width="70.28515625" style="29" bestFit="1" customWidth="1"/>
    <col min="5" max="5" width="21.42578125" style="47" bestFit="1" customWidth="1"/>
    <col min="6" max="16384" width="9.140625" style="29"/>
  </cols>
  <sheetData>
    <row r="1" spans="1:5" ht="203.25" x14ac:dyDescent="0.25">
      <c r="A1" s="27" t="s">
        <v>49</v>
      </c>
      <c r="B1" s="30" t="s">
        <v>50</v>
      </c>
      <c r="C1" s="27" t="s">
        <v>51</v>
      </c>
      <c r="D1" s="30" t="s">
        <v>52</v>
      </c>
      <c r="E1" s="48" t="s">
        <v>136</v>
      </c>
    </row>
    <row r="2" spans="1:5" x14ac:dyDescent="0.25">
      <c r="E2" s="47" t="str" cm="1">
        <f t="array" aca="1" ref="E2" ca="1">_xlfn.LET(
_xlpm.linhas, COUNTA( A:A ),
_xlpm.array_matr, INDIRECT( "A2:A" &amp; _xlpm.linhas ),
_xlpm.array_qde, COUNTIF( _xlpm.array_matr, _xlpm.array_matr ),
_xlpm.filtrado, _xlfn._xlws.FILTER( _xlpm.array_matr, _xlpm.array_qde &gt; 1, "" ),
_xlfn.UNIQUE( _xlpm.filtrado )
)</f>
        <v/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4481-7CEE-41E6-A856-585FB6D49A58}">
  <dimension ref="A1:I19"/>
  <sheetViews>
    <sheetView workbookViewId="0">
      <selection activeCell="A5" sqref="A5"/>
    </sheetView>
  </sheetViews>
  <sheetFormatPr defaultRowHeight="15" x14ac:dyDescent="0.25"/>
  <cols>
    <col min="1" max="1" width="23.28515625" style="36" bestFit="1" customWidth="1"/>
    <col min="2" max="2" width="21.140625" style="36" bestFit="1" customWidth="1"/>
    <col min="3" max="3" width="12.42578125" style="36" bestFit="1" customWidth="1"/>
    <col min="4" max="4" width="10.7109375" style="36" bestFit="1" customWidth="1"/>
    <col min="5" max="5" width="79.140625" style="36" bestFit="1" customWidth="1"/>
    <col min="6" max="6" width="9.140625" style="36"/>
    <col min="7" max="7" width="10.85546875" style="36" bestFit="1" customWidth="1"/>
    <col min="8" max="16384" width="9.140625" style="36"/>
  </cols>
  <sheetData>
    <row r="1" spans="1:9" ht="23.25" x14ac:dyDescent="0.35">
      <c r="A1" s="46" t="s">
        <v>53</v>
      </c>
      <c r="B1" s="46"/>
      <c r="C1" s="46"/>
      <c r="D1" s="46"/>
      <c r="E1" s="46"/>
      <c r="I1" s="36" t="s">
        <v>54</v>
      </c>
    </row>
    <row r="2" spans="1:9" ht="20.25" thickBot="1" x14ac:dyDescent="0.35">
      <c r="A2" s="37" t="s">
        <v>55</v>
      </c>
      <c r="B2" s="37" t="s">
        <v>56</v>
      </c>
      <c r="C2" s="37" t="s">
        <v>57</v>
      </c>
      <c r="D2" s="37" t="s">
        <v>58</v>
      </c>
      <c r="E2" s="37" t="s">
        <v>59</v>
      </c>
      <c r="G2" s="38" t="s">
        <v>60</v>
      </c>
      <c r="I2" s="36">
        <v>0</v>
      </c>
    </row>
    <row r="3" spans="1:9" ht="15.75" thickTop="1" x14ac:dyDescent="0.25">
      <c r="A3" s="36" t="s">
        <v>61</v>
      </c>
      <c r="B3" s="36" t="e" cm="1" vm="1">
        <f t="array" ref="B3">_xlfn.LAMBDA(_xlpm.texto,_xlpm.de,_xlpm.para, IF( _xlpm.de = "", _xlpm.texto, AUX_TROCAR( SUBSTITUTE( _xlpm.texto, LEFT( _xlpm.de ), LEFT( _xlpm.para ) ), RIGHT( _xlpm.de, LEN( _xlpm.de ) - 1), RIGHT( _xlpm.para, LEN( _xlpm.para ) - 1 ) ) ) )</f>
        <v>#VALUE!</v>
      </c>
      <c r="C3" s="36">
        <v>1</v>
      </c>
      <c r="D3" s="39">
        <v>44768</v>
      </c>
      <c r="E3" s="40" t="s">
        <v>62</v>
      </c>
      <c r="G3" s="41" t="s">
        <v>63</v>
      </c>
      <c r="I3" s="36">
        <v>1</v>
      </c>
    </row>
    <row r="4" spans="1:9" x14ac:dyDescent="0.25">
      <c r="A4" s="36" t="s">
        <v>64</v>
      </c>
      <c r="B4" s="36" t="e" vm="1">
        <f>_xlfn.LAMBDA(_xlpm.texto, AUX_TROCAR( _xlpm.texto, "áàâãäÁÀÂÃÄéèêëÉÈÊËíìîïÍÌÎÏóòôöÓÒÔÖúùûüÚÙÛÜçÇ&amp;'`´~^", "aaaaaAAAAAeeeeEEEEiiiiIIIIooooOOOOuuuuUUUUcC      " ) )</f>
        <v>#VALUE!</v>
      </c>
      <c r="C4" s="36">
        <v>1</v>
      </c>
      <c r="D4" s="39">
        <v>44768</v>
      </c>
      <c r="E4" s="40" t="s">
        <v>65</v>
      </c>
      <c r="G4" s="41" t="s">
        <v>14</v>
      </c>
    </row>
    <row r="5" spans="1:9" x14ac:dyDescent="0.25">
      <c r="A5" s="36" t="s">
        <v>66</v>
      </c>
      <c r="B5" s="36" t="e" cm="1" vm="1">
        <f t="array" ref="B5">_xlfn.LAMBDA(_xlpm.script,_xlpm.chaves,_xlpm.valores, _xlfn.LET(
_xlpm.saida, _xlfn.REDUCE( _xlpm.script, _xlpm.chaves, _xlfn.LAMBDA(_xlpm.A,_xlpm.B, SUBSTITUTE( _xlpm.A, _xlpm.B, _xlfn.XLOOKUP( _xlpm.B, _xlpm.chaves, _xlpm.valores ) ) ) ),
_xlpm.saida
) )</f>
        <v>#VALUE!</v>
      </c>
      <c r="C5" s="36">
        <v>1</v>
      </c>
      <c r="D5" s="39">
        <v>44819</v>
      </c>
      <c r="E5" s="40" t="s">
        <v>67</v>
      </c>
      <c r="G5" s="41" t="s">
        <v>68</v>
      </c>
    </row>
    <row r="6" spans="1:9" x14ac:dyDescent="0.25">
      <c r="D6" s="39"/>
      <c r="E6" s="40"/>
      <c r="G6" s="41" t="s">
        <v>69</v>
      </c>
    </row>
    <row r="7" spans="1:9" x14ac:dyDescent="0.25">
      <c r="D7" s="39"/>
      <c r="E7" s="40"/>
    </row>
    <row r="8" spans="1:9" x14ac:dyDescent="0.25">
      <c r="A8" s="36" t="s">
        <v>70</v>
      </c>
      <c r="B8" s="36" t="e" cm="1" vm="1">
        <f t="array" ref="B8">_xlfn.LAMBDA(_xlpm.data, "'" &amp; TEXT( TRIM( _xlpm.data ), "DD/MM/AAAA" ) &amp; "'" )</f>
        <v>#VALUE!</v>
      </c>
      <c r="C8" s="36">
        <v>1</v>
      </c>
      <c r="D8" s="39">
        <v>44841</v>
      </c>
      <c r="E8" s="40" t="s">
        <v>71</v>
      </c>
    </row>
    <row r="9" spans="1:9" x14ac:dyDescent="0.25">
      <c r="A9" s="36" t="s">
        <v>72</v>
      </c>
      <c r="B9" s="36" t="e" cm="1" vm="1">
        <f t="array" ref="B9">_xlfn.LAMBDA(_xlpm.texto, "'" &amp; UPPER( TRIM( MIG_REMOVE.ESPECIAL( _xlpm.texto ) ) ) &amp; "'" )</f>
        <v>#VALUE!</v>
      </c>
      <c r="C9" s="36">
        <v>1</v>
      </c>
      <c r="D9" s="39">
        <v>44841</v>
      </c>
      <c r="E9" s="40" t="s">
        <v>73</v>
      </c>
    </row>
    <row r="10" spans="1:9" x14ac:dyDescent="0.25">
      <c r="A10" s="36" t="s">
        <v>74</v>
      </c>
      <c r="B10" s="36" t="e" cm="1" vm="1">
        <f t="array" ref="B10">_xlfn.LAMBDA(_xlpm.número, SUBSTITUTE( _xlpm.número, ",", ".") )</f>
        <v>#VALUE!</v>
      </c>
      <c r="C10" s="36">
        <v>1</v>
      </c>
      <c r="D10" s="39">
        <v>44841</v>
      </c>
      <c r="E10" s="40" t="s">
        <v>75</v>
      </c>
    </row>
    <row r="11" spans="1:9" x14ac:dyDescent="0.25">
      <c r="A11" s="36" t="s">
        <v>76</v>
      </c>
      <c r="B11" s="36" t="e" cm="1" vm="1">
        <f t="array" ref="B11">_xlfn.LAMBDA(_xlpm.texto, _xlfn.CONCAT( "'", IFERROR( -- MID( _xlpm.texto, _xlfn.SEQUENCE(LEN( _xlpm.texto ) ), 1 ), "" ), "'"  ) )</f>
        <v>#VALUE!</v>
      </c>
      <c r="C11" s="36">
        <v>1</v>
      </c>
      <c r="D11" s="39">
        <v>44769</v>
      </c>
      <c r="E11" s="40" t="s">
        <v>77</v>
      </c>
    </row>
    <row r="13" spans="1:9" x14ac:dyDescent="0.25">
      <c r="A13" s="36" t="s">
        <v>78</v>
      </c>
      <c r="B13" s="36" t="e" cm="1" vm="1">
        <f t="array" ref="B13">_xlfn.LAMBDA(_xlpm.colunaPK,_xlpm.org,_xlpm.campo,_xlpm.tabela,_xlpm.offset,
_xlfn.LET(
_xlpm.menor, SMALL( _xlpm.colunaPK, _xlpm.offset ),
_xlpm.maior, LARGE( _xlpm.colunaPK, 1 ),
_xlpm.qde, _xlpm.maior - _xlpm.menor + 1,
"/*" &amp; _xlpm.tabela &amp; "*/
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
) )</f>
        <v>#VALUE!</v>
      </c>
      <c r="C13" s="36">
        <v>1</v>
      </c>
      <c r="D13" s="42">
        <v>44847</v>
      </c>
    </row>
    <row r="16" spans="1:9" x14ac:dyDescent="0.25">
      <c r="A16" s="39"/>
    </row>
    <row r="18" spans="1:2" x14ac:dyDescent="0.25">
      <c r="A18" s="42"/>
    </row>
    <row r="19" spans="1:2" x14ac:dyDescent="0.25">
      <c r="A19" s="43"/>
      <c r="B19" s="36" t="str" cm="1">
        <f t="array" ref="B19">MIG_NORMA.DECIMAL(A19)</f>
        <v/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A2778317CE1A42B6727CC2E00801BE" ma:contentTypeVersion="13" ma:contentTypeDescription="Crie um novo documento." ma:contentTypeScope="" ma:versionID="fd1078ab8e4930c9a4e5c09e15175724">
  <xsd:schema xmlns:xsd="http://www.w3.org/2001/XMLSchema" xmlns:xs="http://www.w3.org/2001/XMLSchema" xmlns:p="http://schemas.microsoft.com/office/2006/metadata/properties" xmlns:ns2="8be26a6f-1e25-4b47-8b6a-beb9e5823cd2" xmlns:ns3="ff3b8ad2-68e1-48ac-b6a0-36f4e699bf21" targetNamespace="http://schemas.microsoft.com/office/2006/metadata/properties" ma:root="true" ma:fieldsID="8332ecd889257ceee35296e5587650e1" ns2:_="" ns3:_="">
    <xsd:import namespace="8be26a6f-1e25-4b47-8b6a-beb9e5823cd2"/>
    <xsd:import namespace="ff3b8ad2-68e1-48ac-b6a0-36f4e699bf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6a6f-1e25-4b47-8b6a-beb9e5823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febbd9-bb57-4a25-b388-2a54957208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b8ad2-68e1-48ac-b6a0-36f4e699bf2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db0b39d-ba93-45b4-a030-728515c73409}" ma:internalName="TaxCatchAll" ma:showField="CatchAllData" ma:web="ff3b8ad2-68e1-48ac-b6a0-36f4e699bf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6a6f-1e25-4b47-8b6a-beb9e5823cd2">
      <Terms xmlns="http://schemas.microsoft.com/office/infopath/2007/PartnerControls"/>
    </lcf76f155ced4ddcb4097134ff3c332f>
    <TaxCatchAll xmlns="ff3b8ad2-68e1-48ac-b6a0-36f4e699bf21"/>
  </documentManagement>
</p:properties>
</file>

<file path=customXml/itemProps1.xml><?xml version="1.0" encoding="utf-8"?>
<ds:datastoreItem xmlns:ds="http://schemas.openxmlformats.org/officeDocument/2006/customXml" ds:itemID="{914B3D3A-EEA5-4E3B-A76E-D4D9E7383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26a6f-1e25-4b47-8b6a-beb9e5823cd2"/>
    <ds:schemaRef ds:uri="ff3b8ad2-68e1-48ac-b6a0-36f4e699bf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AEB9DB-917B-46D3-BFCB-A88B57927F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64C163-2887-426D-80E0-794DDCB5632D}">
  <ds:schemaRefs>
    <ds:schemaRef ds:uri="http://schemas.microsoft.com/office/2006/metadata/properties"/>
    <ds:schemaRef ds:uri="http://schemas.microsoft.com/office/infopath/2007/PartnerControls"/>
    <ds:schemaRef ds:uri="8be26a6f-1e25-4b47-8b6a-beb9e5823cd2"/>
    <ds:schemaRef ds:uri="ff3b8ad2-68e1-48ac-b6a0-36f4e699bf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Base</vt:lpstr>
      <vt:lpstr>prototipo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Pickbrenner</cp:lastModifiedBy>
  <cp:revision/>
  <dcterms:created xsi:type="dcterms:W3CDTF">2022-07-17T15:31:17Z</dcterms:created>
  <dcterms:modified xsi:type="dcterms:W3CDTF">2026-06-23T21:51:32Z</dcterms:modified>
  <cp:category/>
  <cp:contentStatus/>
</cp:coreProperties>
</file>