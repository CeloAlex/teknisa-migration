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011e3a717f9713d1/Migração v2/Ferramentas de migração/"/>
    </mc:Choice>
  </mc:AlternateContent>
  <xr:revisionPtr revIDLastSave="553" documentId="13_ncr:1_{5EA06199-58C0-4BB4-970C-A96744ADC1A0}" xr6:coauthVersionLast="47" xr6:coauthVersionMax="47" xr10:uidLastSave="{60296D53-4807-435D-B85C-F3071DCBA6D8}"/>
  <bookViews>
    <workbookView xWindow="2145" yWindow="0" windowWidth="26010" windowHeight="20880" xr2:uid="{A037355B-CD1D-4BA2-A1A8-834392142BA4}"/>
  </bookViews>
  <sheets>
    <sheet name="Dados" sheetId="1" r:id="rId1"/>
    <sheet name="Base" sheetId="2" r:id="rId2"/>
  </sheets>
  <externalReferences>
    <externalReference r:id="rId3"/>
  </externalReferences>
  <definedNames>
    <definedName name="_xlnm._FilterDatabase" localSheetId="1" hidden="1">Base!$A$1:$H$1</definedName>
    <definedName name="_xlnm._FilterDatabase" localSheetId="0" hidden="1">Dados!$A$2:$AE$10</definedName>
    <definedName name="MIG_APENAS.NÚM">_xlfn.LAMBDA(_xlpm.texto, _xlfn.CONCAT( IFERROR( -- MID( _xlpm.texto, _xlfn.SEQUENCE(LEN( _xlpm.texto ) ), 1 ), "" ) ) )</definedName>
    <definedName name="MIG_BUSCA.MODELAGEM">_xlfn.LAMBDA(_xlpm.campo,_xlpm.atributo, _xlfn.LET( _xlpm.campos, _xlfn.CHOOSECOLS( [1]!Modelagem[#Data], 1 ), _xlpm.array, _xlfn.XLOOKUP( _xlpm.campo, _xlpm.campos, [1]!Modelagem[#Data] ), _xlfn.XLOOKUP( _xlpm.atributo, [1]!Modelagem[#Headers], _xlpm.array ) ) )</definedName>
    <definedName name="MIG_REMOVER.ESPECIAL">_xlfn.LAMBDA(_xlpm.texto, TRIM( MIG_TROCAR.CARACTERES( _xlpm.texto, "áàâãäÁÀÂÃÄéèêëÉÈÊËíìîïÍÌÎÏóòôöÓÒÔÖúùûüÚÙÛÜçÇ&amp;'`´", "aaaaaAAAAAeeeeEEEEiiiiIIIIooooOOOOuuuuUUUUcC    " ) ) )</definedName>
    <definedName name="MIG_TROCAR.CARACTERES">_xlfn.LAMBDA(_xlpm.texto,_xlpm.de,_xlpm.para, IF( _xlpm.de = "", _xlpm.texto, MIG_TROCAR.CARACTERES( SUBSTITUTE( _xlpm.texto, LEFT( _xlpm.de ), LEFT( _xlpm.para ) ), RIGHT( _xlpm.de, LEN( _xlpm.de ) - 1), RIGHT( _xlpm.para, LEN( _xlpm.para ) - 1 ) ) ) )</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 i="1" l="1"/>
  <c r="AI2" i="1"/>
  <c r="AI3" i="1" s="1"/>
  <c r="AI4" i="1" s="1"/>
  <c r="AI5" i="1" s="1"/>
  <c r="AI6" i="1" s="1"/>
  <c r="AH2" i="1"/>
  <c r="AG2" i="1"/>
  <c r="AG3" i="1" s="1"/>
  <c r="AE10" i="1"/>
  <c r="AM10" i="1"/>
  <c r="BG10" i="1" s="1"/>
  <c r="AK10" i="1"/>
  <c r="AH3" i="1"/>
  <c r="AH4" i="1" s="1"/>
  <c r="BI10" i="1"/>
  <c r="BJ10" i="1"/>
  <c r="Z10" i="1"/>
  <c r="BE10" i="1" s="1"/>
  <c r="AA10" i="1"/>
  <c r="BF10" i="1" s="1"/>
  <c r="E10" i="1"/>
  <c r="BK10" i="1" s="1"/>
  <c r="AL10" i="1"/>
  <c r="AN10" i="1"/>
  <c r="AO10" i="1"/>
  <c r="AQ10" i="1"/>
  <c r="AR10" i="1"/>
  <c r="AS10" i="1"/>
  <c r="BH10" i="1"/>
  <c r="BL10" i="1"/>
  <c r="AT10" i="1"/>
  <c r="AY10" i="1"/>
  <c r="AT3" i="1"/>
  <c r="AY3" i="1"/>
  <c r="AT4" i="1"/>
  <c r="AY4" i="1"/>
  <c r="AT5" i="1"/>
  <c r="AY5" i="1"/>
  <c r="AT6" i="1"/>
  <c r="AY6" i="1"/>
  <c r="AT7" i="1"/>
  <c r="AY7" i="1"/>
  <c r="AT8" i="1"/>
  <c r="AY8" i="1"/>
  <c r="AT9" i="1"/>
  <c r="AY9" i="1"/>
  <c r="AU10" i="1"/>
  <c r="AV10" i="1"/>
  <c r="AX10" i="1"/>
  <c r="BB10" i="1"/>
  <c r="BD10" i="1"/>
  <c r="BC10" i="1"/>
  <c r="BA10" i="1"/>
  <c r="AW10" i="1" a="1"/>
  <c r="AW10" i="1" s="1"/>
  <c r="AP10" i="1"/>
  <c r="AE9" i="1"/>
  <c r="AM9" i="1"/>
  <c r="BG9" i="1" s="1"/>
  <c r="AK9" i="1"/>
  <c r="BI9" i="1"/>
  <c r="BJ9" i="1"/>
  <c r="Z9" i="1"/>
  <c r="AA9" i="1" s="1"/>
  <c r="BF9" i="1" s="1"/>
  <c r="BK9" i="1"/>
  <c r="AL9" i="1"/>
  <c r="AN9" i="1"/>
  <c r="AO9" i="1"/>
  <c r="AQ9" i="1"/>
  <c r="AR9" i="1"/>
  <c r="AS9" i="1"/>
  <c r="BH9" i="1"/>
  <c r="BL9" i="1"/>
  <c r="AU9" i="1"/>
  <c r="AV9" i="1"/>
  <c r="AX9" i="1"/>
  <c r="BB9" i="1"/>
  <c r="BD9" i="1"/>
  <c r="BC9" i="1"/>
  <c r="BA9" i="1"/>
  <c r="AW9" i="1" a="1"/>
  <c r="AW9" i="1" s="1"/>
  <c r="AP9" i="1"/>
  <c r="AE8" i="1"/>
  <c r="AM8" i="1"/>
  <c r="BG8" i="1"/>
  <c r="AK8" i="1"/>
  <c r="BI8" i="1"/>
  <c r="BJ8" i="1"/>
  <c r="Z8" i="1"/>
  <c r="AA8" i="1" s="1"/>
  <c r="BF8" i="1" s="1"/>
  <c r="E8" i="1"/>
  <c r="BK8" i="1" s="1"/>
  <c r="AL8" i="1"/>
  <c r="AN8" i="1"/>
  <c r="AO8" i="1"/>
  <c r="AQ8" i="1"/>
  <c r="AR8" i="1"/>
  <c r="AS8" i="1"/>
  <c r="BH8" i="1"/>
  <c r="BL8" i="1"/>
  <c r="AU8" i="1"/>
  <c r="AV8" i="1"/>
  <c r="AX8" i="1"/>
  <c r="BB8" i="1"/>
  <c r="BD8" i="1"/>
  <c r="BC8" i="1"/>
  <c r="BA8" i="1"/>
  <c r="AW8" i="1" a="1"/>
  <c r="AW8" i="1" s="1"/>
  <c r="AP8" i="1"/>
  <c r="AE7" i="1"/>
  <c r="AM7" i="1"/>
  <c r="BG7" i="1" s="1"/>
  <c r="AK7" i="1"/>
  <c r="BI7" i="1"/>
  <c r="BJ7" i="1"/>
  <c r="Z7" i="1"/>
  <c r="BE7" i="1" s="1"/>
  <c r="E7" i="1"/>
  <c r="BK7" i="1" s="1"/>
  <c r="AL7" i="1"/>
  <c r="AN7" i="1"/>
  <c r="AO7" i="1"/>
  <c r="AQ7" i="1"/>
  <c r="AR7" i="1"/>
  <c r="AS7" i="1"/>
  <c r="BH7" i="1"/>
  <c r="BL7" i="1"/>
  <c r="AU7" i="1"/>
  <c r="AV7" i="1"/>
  <c r="AX7" i="1"/>
  <c r="BB7" i="1"/>
  <c r="BD7" i="1"/>
  <c r="BC7" i="1"/>
  <c r="BA7" i="1"/>
  <c r="AW7" i="1" a="1"/>
  <c r="AW7" i="1" s="1"/>
  <c r="AP7" i="1"/>
  <c r="AE6" i="1"/>
  <c r="AM6" i="1"/>
  <c r="BG6" i="1" s="1"/>
  <c r="AK6" i="1"/>
  <c r="BI6" i="1"/>
  <c r="BJ6" i="1"/>
  <c r="Z6" i="1"/>
  <c r="BE6" i="1" s="1"/>
  <c r="E6" i="1"/>
  <c r="BK6" i="1" s="1"/>
  <c r="AL6" i="1"/>
  <c r="AN6" i="1"/>
  <c r="AO6" i="1"/>
  <c r="AQ6" i="1"/>
  <c r="AR6" i="1"/>
  <c r="AS6" i="1"/>
  <c r="BH6" i="1"/>
  <c r="BL6" i="1"/>
  <c r="AU6" i="1"/>
  <c r="AV6" i="1"/>
  <c r="AX6" i="1"/>
  <c r="BB6" i="1"/>
  <c r="BD6" i="1"/>
  <c r="BC6" i="1"/>
  <c r="BA6" i="1"/>
  <c r="AW6" i="1" a="1"/>
  <c r="AW6" i="1" s="1"/>
  <c r="AP6" i="1"/>
  <c r="AE5" i="1"/>
  <c r="AM5" i="1"/>
  <c r="BG5" i="1" s="1"/>
  <c r="AK5" i="1"/>
  <c r="BI5" i="1"/>
  <c r="BJ5" i="1"/>
  <c r="Z5" i="1"/>
  <c r="AA5" i="1" s="1"/>
  <c r="BF5" i="1" s="1"/>
  <c r="E5" i="1"/>
  <c r="BK5" i="1" s="1"/>
  <c r="AL5" i="1"/>
  <c r="AN5" i="1"/>
  <c r="AO5" i="1"/>
  <c r="AQ5" i="1"/>
  <c r="AR5" i="1"/>
  <c r="AS5" i="1"/>
  <c r="BH5" i="1"/>
  <c r="BL5" i="1"/>
  <c r="AU5" i="1"/>
  <c r="AV5" i="1"/>
  <c r="AX5" i="1"/>
  <c r="BB5" i="1"/>
  <c r="BD5" i="1"/>
  <c r="BC5" i="1"/>
  <c r="BA5" i="1"/>
  <c r="AW5" i="1" a="1"/>
  <c r="AW5" i="1" s="1"/>
  <c r="AP5" i="1"/>
  <c r="AE4" i="1"/>
  <c r="AM4" i="1"/>
  <c r="BG4" i="1"/>
  <c r="AK4" i="1"/>
  <c r="BI4" i="1"/>
  <c r="BJ4" i="1"/>
  <c r="Z4" i="1"/>
  <c r="BE4" i="1" s="1"/>
  <c r="E4" i="1"/>
  <c r="BK4" i="1" s="1"/>
  <c r="AL4" i="1"/>
  <c r="AN4" i="1"/>
  <c r="AO4" i="1"/>
  <c r="AQ4" i="1"/>
  <c r="AR4" i="1"/>
  <c r="AS4" i="1"/>
  <c r="BH4" i="1"/>
  <c r="BL4" i="1"/>
  <c r="AU4" i="1"/>
  <c r="AV4" i="1"/>
  <c r="AX4" i="1"/>
  <c r="BB4" i="1"/>
  <c r="BD4" i="1"/>
  <c r="BC4" i="1"/>
  <c r="BA4" i="1"/>
  <c r="AW4" i="1" a="1"/>
  <c r="AW4" i="1" s="1"/>
  <c r="AP4" i="1"/>
  <c r="H4" i="2"/>
  <c r="H3" i="2"/>
  <c r="H2" i="2"/>
  <c r="Z3" i="1"/>
  <c r="AA3" i="1"/>
  <c r="BF3" i="1" s="1"/>
  <c r="E3" i="1"/>
  <c r="BK3" i="1" s="1"/>
  <c r="AW3" i="1" a="1"/>
  <c r="AW3" i="1" s="1"/>
  <c r="BQ7" i="1"/>
  <c r="BQ8" i="1"/>
  <c r="BQ4" i="1"/>
  <c r="BQ5" i="1" s="1"/>
  <c r="AE3" i="1"/>
  <c r="BU9" i="1"/>
  <c r="BZ9" i="1" s="1"/>
  <c r="CC5" i="1"/>
  <c r="CH5" i="1" s="1"/>
  <c r="CB5" i="1"/>
  <c r="CG5" i="1"/>
  <c r="CA5" i="1"/>
  <c r="CF5" i="1" s="1"/>
  <c r="BZ5" i="1"/>
  <c r="CE5" i="1" s="1"/>
  <c r="CC4" i="1"/>
  <c r="CH4" i="1" s="1"/>
  <c r="CB4" i="1"/>
  <c r="CG4" i="1"/>
  <c r="CA4" i="1"/>
  <c r="CF4" i="1" s="1"/>
  <c r="BZ4" i="1"/>
  <c r="CE4" i="1" s="1"/>
  <c r="CC3" i="1"/>
  <c r="CB3" i="1"/>
  <c r="CA3" i="1"/>
  <c r="BZ3" i="1"/>
  <c r="BL3" i="1"/>
  <c r="BJ3" i="1"/>
  <c r="BI3" i="1"/>
  <c r="BH3" i="1"/>
  <c r="BE3" i="1"/>
  <c r="BD3" i="1"/>
  <c r="BC3" i="1"/>
  <c r="BB3" i="1"/>
  <c r="BA3" i="1"/>
  <c r="AX3" i="1"/>
  <c r="AV3" i="1"/>
  <c r="AU3" i="1"/>
  <c r="AS3" i="1"/>
  <c r="AR3" i="1"/>
  <c r="AQ3" i="1"/>
  <c r="AP3" i="1"/>
  <c r="AO3" i="1"/>
  <c r="AN3" i="1"/>
  <c r="AM3" i="1"/>
  <c r="BG3" i="1" s="1"/>
  <c r="AL3" i="1"/>
  <c r="AK3" i="1"/>
  <c r="AZ9" i="1" l="1"/>
  <c r="AZ7" i="1"/>
  <c r="AZ5" i="1"/>
  <c r="AZ3" i="1"/>
  <c r="AZ8" i="1"/>
  <c r="AZ6" i="1"/>
  <c r="AZ4" i="1"/>
  <c r="AZ10" i="1"/>
  <c r="AA4" i="1"/>
  <c r="BF4" i="1" s="1"/>
  <c r="AA6" i="1"/>
  <c r="BF6" i="1" s="1"/>
  <c r="AA7" i="1"/>
  <c r="BF7" i="1" s="1"/>
  <c r="AJ3" i="1"/>
  <c r="AJ4" i="1" s="1"/>
  <c r="BN4" i="1" s="1"/>
  <c r="AG4" i="1"/>
  <c r="BM3" i="1"/>
  <c r="AH5" i="1"/>
  <c r="AH6" i="1" s="1"/>
  <c r="AH7" i="1" s="1"/>
  <c r="AH8" i="1" s="1"/>
  <c r="AH9" i="1" s="1"/>
  <c r="AH10" i="1" s="1"/>
  <c r="AI7" i="1"/>
  <c r="AI8" i="1" s="1"/>
  <c r="AI9" i="1" s="1"/>
  <c r="AI10" i="1" s="1"/>
  <c r="BE9" i="1"/>
  <c r="BE5" i="1"/>
  <c r="BE8" i="1"/>
  <c r="CE9" i="1"/>
  <c r="CE2" i="1" s="1"/>
  <c r="BV9" i="1"/>
  <c r="BN3" i="1" l="1"/>
  <c r="BO3" i="1" s="1"/>
  <c r="BW6" i="1"/>
  <c r="CB6" i="1" s="1"/>
  <c r="AJ5" i="1"/>
  <c r="AJ6" i="1" s="1"/>
  <c r="BW7" i="1"/>
  <c r="BV6" i="1"/>
  <c r="CA6" i="1" s="1"/>
  <c r="AG5" i="1"/>
  <c r="BM4" i="1"/>
  <c r="BO4" i="1" s="1"/>
  <c r="BV7" i="1"/>
  <c r="BW9" i="1"/>
  <c r="CA9" i="1"/>
  <c r="BN5" i="1" l="1"/>
  <c r="CB7" i="1"/>
  <c r="BW8" i="1"/>
  <c r="BW2" i="1" s="1"/>
  <c r="AG6" i="1"/>
  <c r="BM5" i="1"/>
  <c r="AJ7" i="1"/>
  <c r="AJ8" i="1" s="1"/>
  <c r="CA7" i="1"/>
  <c r="CA2" i="1" s="1"/>
  <c r="BV8" i="1"/>
  <c r="BV2" i="1" s="1"/>
  <c r="BX9" i="1"/>
  <c r="CB9" i="1"/>
  <c r="CF9" i="1"/>
  <c r="CF2" i="1" s="1"/>
  <c r="BO5" i="1" l="1"/>
  <c r="AJ9" i="1"/>
  <c r="AG7" i="1"/>
  <c r="BN7" i="1" s="1"/>
  <c r="BM6" i="1"/>
  <c r="BN6" i="1"/>
  <c r="AJ10" i="1"/>
  <c r="CG9" i="1"/>
  <c r="CG2" i="1" s="1"/>
  <c r="CB2" i="1"/>
  <c r="CC9" i="1"/>
  <c r="BO6" i="1" l="1"/>
  <c r="AG8" i="1"/>
  <c r="BM7" i="1"/>
  <c r="BO7" i="1" s="1"/>
  <c r="BX6" i="1"/>
  <c r="CC6" i="1" s="1"/>
  <c r="BX7" i="1"/>
  <c r="CH9" i="1"/>
  <c r="CH2" i="1" s="1"/>
  <c r="AG9" i="1" l="1"/>
  <c r="BM8" i="1"/>
  <c r="BN8" i="1"/>
  <c r="CC7" i="1"/>
  <c r="CC2" i="1" s="1"/>
  <c r="BX8" i="1"/>
  <c r="BX2" i="1" s="1"/>
  <c r="BO8" i="1" l="1"/>
  <c r="AG10" i="1"/>
  <c r="BM9" i="1"/>
  <c r="BU7" i="1"/>
  <c r="BN9" i="1"/>
  <c r="BZ7" i="1" l="1"/>
  <c r="BM10" i="1"/>
  <c r="BN10" i="1"/>
  <c r="BU6" i="1"/>
  <c r="BZ6" i="1" s="1"/>
  <c r="BO9" i="1"/>
  <c r="BZ2" i="1" l="1"/>
  <c r="BO10" i="1"/>
  <c r="BU8" i="1"/>
  <c r="BU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U6" authorId="0" shapeId="0" xr:uid="{1EA0DC15-549C-44CC-B757-8098BEB87351}">
      <text>
        <r>
          <rPr>
            <sz val="11"/>
            <color rgb="FF000000"/>
            <rFont val="Calibri"/>
            <family val="2"/>
            <charset val="1"/>
          </rPr>
          <t>Cabeçalho do mnemônicos.
Primeira célula desse cabeçalho.</t>
        </r>
      </text>
    </comment>
    <comment ref="BV6" authorId="0" shapeId="0" xr:uid="{D7748EE9-9522-410A-9E10-DBBE2A042EBD}">
      <text>
        <r>
          <rPr>
            <sz val="11"/>
            <color rgb="FF000000"/>
            <rFont val="Calibri"/>
            <family val="2"/>
            <charset val="1"/>
          </rPr>
          <t>Cabeçalho do mnemônicos.
Primeira célula desse cabeçalho.</t>
        </r>
      </text>
    </comment>
    <comment ref="BW6" authorId="0" shapeId="0" xr:uid="{62ABA51D-0A55-4F0A-85F8-8EF6F8BDF74B}">
      <text>
        <r>
          <rPr>
            <sz val="11"/>
            <color rgb="FF000000"/>
            <rFont val="Calibri"/>
            <family val="2"/>
            <charset val="1"/>
          </rPr>
          <t>Cabeçalho do mnemônicos.
Primeira célula desse cabeçalho.</t>
        </r>
      </text>
    </comment>
    <comment ref="BX6" authorId="0" shapeId="0" xr:uid="{D0BA44AE-C287-4734-A756-F62F3F672817}">
      <text>
        <r>
          <rPr>
            <sz val="11"/>
            <color rgb="FF000000"/>
            <rFont val="Calibri"/>
            <family val="2"/>
            <charset val="1"/>
          </rPr>
          <t>Cabeçalho do mnemônicos.
Primeira célula desse cabeçalho.</t>
        </r>
      </text>
    </comment>
    <comment ref="BU7" authorId="0" shapeId="0" xr:uid="{707621E8-CC1B-45E7-9706-94B06D712A99}">
      <text>
        <r>
          <rPr>
            <sz val="11"/>
            <color rgb="FF000000"/>
            <rFont val="Calibri"/>
            <family val="2"/>
            <charset val="1"/>
          </rPr>
          <t>Cabeçalho do mnemônicos.
Primeira célula desse cabeçalho.</t>
        </r>
      </text>
    </comment>
    <comment ref="BV7" authorId="0" shapeId="0" xr:uid="{17C9D55A-E604-4754-A4AA-1C6B9A971018}">
      <text>
        <r>
          <rPr>
            <sz val="11"/>
            <color rgb="FF000000"/>
            <rFont val="Calibri"/>
            <family val="2"/>
            <charset val="1"/>
          </rPr>
          <t>Cabeçalho do mnemônicos.
Primeira célula desse cabeçalho.</t>
        </r>
      </text>
    </comment>
    <comment ref="BW7" authorId="0" shapeId="0" xr:uid="{A858AA22-E180-4652-93B1-D33535F4ED7E}">
      <text>
        <r>
          <rPr>
            <sz val="11"/>
            <color rgb="FF000000"/>
            <rFont val="Calibri"/>
            <family val="2"/>
            <charset val="1"/>
          </rPr>
          <t>Cabeçalho do mnemônicos.
Primeira célula desse cabeçalho.</t>
        </r>
      </text>
    </comment>
    <comment ref="BX7" authorId="0" shapeId="0" xr:uid="{B3207539-7332-435F-8D89-9560F09291A3}">
      <text>
        <r>
          <rPr>
            <sz val="11"/>
            <color rgb="FF000000"/>
            <rFont val="Calibri"/>
            <family val="2"/>
            <charset val="1"/>
          </rPr>
          <t>Cabeçalho do mnemônicos.
Primeira célula desse cabeçalho.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<sst xmlns="http://schemas.openxmlformats.org/spreadsheetml/2006/main" count="287" uniqueCount="195">
  <si>
    <t>→</t>
  </si>
  <si>
    <t>@NRESTRUTURA@</t>
  </si>
  <si>
    <t>@IDTPEMPRESA@</t>
  </si>
  <si>
    <t>@CDSINDICAL@</t>
  </si>
  <si>
    <t>ORGANIZAÇÃO</t>
  </si>
  <si>
    <t>@NRPARCNEGOCIO@</t>
  </si>
  <si>
    <t>@NRESTRUTURAM@</t>
  </si>
  <si>
    <t>@NRESTRUTURAH@</t>
  </si>
  <si>
    <t>@NRENDERECOPARC@</t>
  </si>
  <si>
    <t>@CNPJ@</t>
  </si>
  <si>
    <t>@CEI@</t>
  </si>
  <si>
    <t>@RAZAOSOCIAL@</t>
  </si>
  <si>
    <t>@NATJURIDICA@</t>
  </si>
  <si>
    <t>@CDCNAE@</t>
  </si>
  <si>
    <t>@CDFPAS@</t>
  </si>
  <si>
    <t>@CDCAGED@</t>
  </si>
  <si>
    <t>@IDSIMPLES@</t>
  </si>
  <si>
    <t>@IDPARTICIPAT@</t>
  </si>
  <si>
    <t>@IDENDERECO@</t>
  </si>
  <si>
    <t>@CDPAIS@</t>
  </si>
  <si>
    <t>@SGESTADO@</t>
  </si>
  <si>
    <t>@MUNICIPIO@</t>
  </si>
  <si>
    <t>@LOGRADOURO@</t>
  </si>
  <si>
    <t>@ENDERECO@</t>
  </si>
  <si>
    <t>ID</t>
  </si>
  <si>
    <t>@NUMERO@</t>
  </si>
  <si>
    <t>@BAIRRO@</t>
  </si>
  <si>
    <t>@CEP@</t>
  </si>
  <si>
    <t>@REFERENCIAENDERECO@</t>
  </si>
  <si>
    <t>@NMFANTASIA@</t>
  </si>
  <si>
    <t>@NMESTRUTURA@</t>
  </si>
  <si>
    <t>@NMPRINCIPALPARC@</t>
  </si>
  <si>
    <t>@CDCPFESTRUTURA@</t>
  </si>
  <si>
    <t>@DTINIVIGENCIA@</t>
  </si>
  <si>
    <t>@DTFIMVIGENCIA@</t>
  </si>
  <si>
    <t>@COMPETENCIA@</t>
  </si>
  <si>
    <t>@DTBASESINDICAL@</t>
  </si>
  <si>
    <t>Estrutura</t>
  </si>
  <si>
    <t>Endereco</t>
  </si>
  <si>
    <t>Saída</t>
  </si>
  <si>
    <t>--Busca de PK’s livres</t>
  </si>
  <si>
    <t>--Validações de PK</t>
  </si>
  <si>
    <t>Atualiza Novo Código</t>
  </si>
  <si>
    <t>Mês Competência</t>
  </si>
  <si>
    <t>CNPJ</t>
  </si>
  <si>
    <t>CEI</t>
  </si>
  <si>
    <t>Razão Social</t>
  </si>
  <si>
    <t>Natureza Jurídica</t>
  </si>
  <si>
    <t>CNAE</t>
  </si>
  <si>
    <t>FPAS</t>
  </si>
  <si>
    <t>CAGED</t>
  </si>
  <si>
    <t>Tipo de Empresa</t>
  </si>
  <si>
    <t>Optante Simples</t>
  </si>
  <si>
    <t>Participaçao PAT</t>
  </si>
  <si>
    <t>Tp Endereço</t>
  </si>
  <si>
    <t>Pais</t>
  </si>
  <si>
    <t>Estado</t>
  </si>
  <si>
    <t>Município</t>
  </si>
  <si>
    <t>Logradouro</t>
  </si>
  <si>
    <t>Endereço</t>
  </si>
  <si>
    <t>Numero</t>
  </si>
  <si>
    <t>Nome do Bairro</t>
  </si>
  <si>
    <t>CEP</t>
  </si>
  <si>
    <t>Referência do Endereço</t>
  </si>
  <si>
    <t>Nome Fantasia</t>
  </si>
  <si>
    <t>Nome Estrutura</t>
  </si>
  <si>
    <t>CPF</t>
  </si>
  <si>
    <t>Data Base Sindical</t>
  </si>
  <si>
    <t>Cód Sindicato</t>
  </si>
  <si>
    <r>
      <t xml:space="preserve">Inserir?
</t>
    </r>
    <r>
      <rPr>
        <i/>
        <sz val="10"/>
        <rFont val="Calibri"/>
        <family val="2"/>
        <scheme val="minor"/>
      </rPr>
      <t>Verificando por código de integração</t>
    </r>
  </si>
  <si>
    <r>
      <rPr>
        <b/>
        <sz val="8"/>
        <color rgb="FFFF0000"/>
        <rFont val="Calibri Light"/>
        <family val="2"/>
        <charset val="1"/>
      </rPr>
      <t xml:space="preserve">Optante Simples
</t>
    </r>
    <r>
      <rPr>
        <i/>
        <sz val="8"/>
        <color rgb="FFFF0000"/>
        <rFont val="Calibri Light"/>
        <family val="2"/>
        <charset val="1"/>
      </rPr>
      <t>Retirar o NVL do script. Deixar a escolha neste campo.</t>
    </r>
  </si>
  <si>
    <t>Participação PAT</t>
  </si>
  <si>
    <t>Insere ENDEREÇO? (a coluna de tipo de endereço e endereço devem existir)</t>
  </si>
  <si>
    <t>Número</t>
  </si>
  <si>
    <r>
      <rPr>
        <b/>
        <sz val="8"/>
        <color rgb="FFFF0000"/>
        <rFont val="Calibri Light"/>
        <family val="2"/>
        <charset val="1"/>
      </rPr>
      <t xml:space="preserve">Nome Estrutura
</t>
    </r>
    <r>
      <rPr>
        <i/>
        <sz val="8"/>
        <color rgb="FFFF0000"/>
        <rFont val="Calibri Light"/>
        <family val="2"/>
        <charset val="1"/>
      </rPr>
      <t>Ver NVL nas querys de estrutura. Fazer algo melhor na próxima versão!</t>
    </r>
  </si>
  <si>
    <t>Este campo não existe na planilha. Prevenindo estruturas sem nome para a inserção do nome do parceiro de negocio.</t>
  </si>
  <si>
    <t>INSERT INTO PARCNEGOCIO ( NRORG, NRPARCNEGOCIO, NMPRINCIPALPARC, NMSECUNDARIPARC, NRINSCRICAOPARC, IDATIVO, DTINCLUSAO, NRORGINCLUSAO, CDOPERINCLUSAO, CDTIPOPARCPRINCIPAL, CDTIPOINSCRICAO, IDPESSOAFISICA, IDINSTITUICAO, IDPARCFUNDIDO ) VALUES ( @NRORG@, @NRPARCNEGOCIO@, '@NMPRINCIPALPARC@', '@NMPRINCIPALPARC@', '@CNPJ@', 'S', SYSDATE, @NRORG@, '000000099991', 'ESTRUTURA', 'CNPJ', 'N', 'N', 'N' ); INSERT INTO ESTRUTURAM ( NRORG, NRESTRUTURAM, NRPARCNEGOCIO, CDINTESTRUTURA, NRTIPOESTRUTURA, DTINIVIGENCIA, DTFIMVIGENCIA, NMESTRUTURAM, IDATIVO, DTINCLUSAO, CDOPERINCLUSAO ) VALUES ( @NRORG@, @NRESTRUTURAM@, @NRPARCNEGOCIO@, '@NRESTRUTURA@', @NRTPESTRUTURA@, '@DTINIVIGENCIA@', '@DTFIMVIGENCIA@', NVL( '@NMESTRUTURA@', NVL( '@NMFANTASIA@', '@RAZAOSOCIAL@'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@NRORG@, @NRESTRUTURAM@, @NRESTRUTURAH@, @NRPARCNEGOCIO@, '@COMPETENCIA@', '@CNPJ@', '@CEI@', '@RAZAOSOCIAL@', '@NMFANTASIA@', NVL( '@NMESTRUTURA@', NVL( '@NMFANTASIA@', '@RAZAOSOCIAL@' ) ), '@NATJURIDICA@', '@CDCNAE@', '@CDCAGED@', '@IDTPEMPRESA@', NVL( '@IDSIMPLES@', 'N' ), '@IDPARTICIPAT@', '@CDCPFESTRUTURA@', '@DTBASESINDICAL@', '@CDSINDICAL@', 'S', SYSDATE, '000000099991');</t>
  </si>
  <si>
    <t>INSERT INTO ENDERECOPARC ( NRORG, NRENDERECOPARC, NRPARCNEGOCIO, CDTIPOENDERECO, IDATIVO, DTINCLUSAO, CDOPERINCLUSAO, CDPAIS, SGESTADO, CDLOGRADOURO, NMBAIRROENDERECO, DSREFERENCIAENDE, NRCEPENDERECO, DSENDERECO, NRIMOVELENDERECO, CDMUNICIPIO ) VALUES ( @NRORG@, @NRENDERECOPARC@, @NRPARCNEGOCIO@, '@IDENDERECO@', 'S', SYSDATE, '000000099991', LPAD( '@CDPAIS@', 4, '0' ), '@SGESTADO@', '@LOGRADOURO@', '@BAIRRO@', '@REFERENCIAENDERECO@', '@CEP@', '@ENDERECO@', '@NUMERO@', ( SELECT MAX( CDMUNICIPIO ) FROM MUNICIPIO WHERE UPPER( NMMUNICIPIO ) = '@MUNICIPIO@' AND CDPAIS = LPAD( '@CDPAIS@', 4, '0' ) AND SGESTADO = '@SGESTADO@' ) );</t>
  </si>
  <si>
    <t>Configurações</t>
  </si>
  <si>
    <t>/*Atualiza ou cria o novo codigo*/</t>
  </si>
  <si>
    <t>COMMIT;</t>
  </si>
  <si>
    <t>01/01/2000</t>
  </si>
  <si>
    <t>001.127</t>
  </si>
  <si>
    <t>03801629000200</t>
  </si>
  <si>
    <t>LALLEGRO ACTION TECNOLOGY INDUSTRIA E COMERCIO DE</t>
  </si>
  <si>
    <t>2710403</t>
  </si>
  <si>
    <t>OUTROS</t>
  </si>
  <si>
    <t>0055</t>
  </si>
  <si>
    <t xml:space="preserve">MG </t>
  </si>
  <si>
    <t>VARGINHA</t>
  </si>
  <si>
    <t>AV</t>
  </si>
  <si>
    <t>OTTO SALGADO</t>
  </si>
  <si>
    <t>DIST. IND. CLAUDIO GALVÃO NOGUEIRA</t>
  </si>
  <si>
    <t>37066-440</t>
  </si>
  <si>
    <t>Template</t>
  </si>
  <si>
    <t>Mnemônico</t>
  </si>
  <si>
    <t>001.058</t>
  </si>
  <si>
    <t>59106377000172</t>
  </si>
  <si>
    <t>LALLEGRO METAGAL INDÚSTRIA E COMÉRCIO LTDA - MG</t>
  </si>
  <si>
    <t>2949299</t>
  </si>
  <si>
    <t>MG</t>
  </si>
  <si>
    <t xml:space="preserve">SANTA RITA SAPUCAI </t>
  </si>
  <si>
    <t>ROD</t>
  </si>
  <si>
    <t>BR 459, KM 121</t>
  </si>
  <si>
    <t>DISTRITO INDUSTRIAL</t>
  </si>
  <si>
    <t>37540-000</t>
  </si>
  <si>
    <t>Linhas</t>
  </si>
  <si>
    <t>Tabela</t>
  </si>
  <si>
    <t>PARCNEGOCIO</t>
  </si>
  <si>
    <t>ESTRUTURAM</t>
  </si>
  <si>
    <t>ESTRUTURAH</t>
  </si>
  <si>
    <t>ENDERECOPARC</t>
  </si>
  <si>
    <t>001.079</t>
  </si>
  <si>
    <t>01697279000177</t>
  </si>
  <si>
    <t>LALLEGRO HYDAC TECNOLOGIA LTDA</t>
  </si>
  <si>
    <t>2815102</t>
  </si>
  <si>
    <t>SP</t>
  </si>
  <si>
    <t>SÃO BERNARDO DO CAMPO</t>
  </si>
  <si>
    <t>CJ</t>
  </si>
  <si>
    <t>FUKUTARO YIDA</t>
  </si>
  <si>
    <t>COOPERATIVA</t>
  </si>
  <si>
    <t>09852-060</t>
  </si>
  <si>
    <t>Nro Estrutura</t>
  </si>
  <si>
    <t>PK</t>
  </si>
  <si>
    <t>NRPARCNEGOCIO</t>
  </si>
  <si>
    <t>NRESTRUTURAM</t>
  </si>
  <si>
    <t>NRESTRUTURAH</t>
  </si>
  <si>
    <t>NRENDERECOPARC</t>
  </si>
  <si>
    <t>001.122VCI</t>
  </si>
  <si>
    <t>19076738000160</t>
  </si>
  <si>
    <t>LALLEGRO VCI DO BRASIL INDUSTRIA E COMÉRCIO DE CO</t>
  </si>
  <si>
    <t>2229302</t>
  </si>
  <si>
    <t>ITUPEVA</t>
  </si>
  <si>
    <t>EMILIO CHECHINATO</t>
  </si>
  <si>
    <t>SÃO ROQUE DA CHAVE</t>
  </si>
  <si>
    <t>13295-030</t>
  </si>
  <si>
    <t>Base</t>
  </si>
  <si>
    <t>Inicio PK</t>
  </si>
  <si>
    <t>001.110</t>
  </si>
  <si>
    <t>02528634000147</t>
  </si>
  <si>
    <t>LALLEGRO SABAF DO BRASIL LTDA</t>
  </si>
  <si>
    <t>2751100</t>
  </si>
  <si>
    <t>JUNDIAI</t>
  </si>
  <si>
    <t>RUA</t>
  </si>
  <si>
    <t>GUSTAVO HENRIQUE MEERSON</t>
  </si>
  <si>
    <t>PARQUE INDUSTRIAL III</t>
  </si>
  <si>
    <t>13213-084</t>
  </si>
  <si>
    <t>CONDOMINIO FRAZGRAN</t>
  </si>
  <si>
    <t>Fim PK</t>
  </si>
  <si>
    <t>500.084</t>
  </si>
  <si>
    <t>59274332000107</t>
  </si>
  <si>
    <t>EXPRESS INDUSTRIA METALPLÁSTICA IRBAS LTDA</t>
  </si>
  <si>
    <t>DIADEMA</t>
  </si>
  <si>
    <t>NEUCHATEL</t>
  </si>
  <si>
    <t>RUDGE RAMOS</t>
  </si>
  <si>
    <t>09663-020</t>
  </si>
  <si>
    <t>Cod estrutura</t>
  </si>
  <si>
    <t>Quantidade</t>
  </si>
  <si>
    <t>950</t>
  </si>
  <si>
    <t>34688392000145</t>
  </si>
  <si>
    <t>CINTIA SEVERO BRASIL</t>
  </si>
  <si>
    <t>PRINCIPAL</t>
  </si>
  <si>
    <t xml:space="preserve">SÃO CAETANO DO SUL </t>
  </si>
  <si>
    <t>TEFFE</t>
  </si>
  <si>
    <t>SANTA MARIA</t>
  </si>
  <si>
    <t>09560-400</t>
  </si>
  <si>
    <t xml:space="preserve"> </t>
  </si>
  <si>
    <t>Organização</t>
  </si>
  <si>
    <t>C.007</t>
  </si>
  <si>
    <t>50739135000141</t>
  </si>
  <si>
    <t>CONVENIO MEDICO SOBAM CENTRO MEDICO HOSPITALAR AS</t>
  </si>
  <si>
    <t>VINTE E TRÊS DE MAIO</t>
  </si>
  <si>
    <t>VILA VIANELO</t>
  </si>
  <si>
    <t>13207-070</t>
  </si>
  <si>
    <t>CDINTESTRUTURA</t>
  </si>
  <si>
    <t>NRTIPOESTRUTURA</t>
  </si>
  <si>
    <t>NMTIPOESTRUTURA</t>
  </si>
  <si>
    <t>NMESTRUTURAH</t>
  </si>
  <si>
    <t>DTINIVIGENCIA</t>
  </si>
  <si>
    <t>DTFIMVIGENCIA</t>
  </si>
  <si>
    <t>Existe na base</t>
  </si>
  <si>
    <t>SELECT
  EM.CDINTESTRUTURA,
  EM.NRESTRUTURAM,
  (SELECT NMTIPOESTRUTURA FROM TIPOESTRUTURA WHERE NRTIPOESTRUTURA = EM.NRTIPOESTRUTURA) NMTIPOESTRUTURA,
  EH.NMESTRUTURAH,
  EM.DTINIVIGENCIA,
  EM.DTFIMVIGENCIA
FROM ESTRUTURAM EM
JOIN ESTRUTURAH EH ON EH.NRORG        = EM.NRORG
                  AND EH.NRESTRUTURAM = EM.NRESTRUTURAM
                  AND EH.DTMESCOMPETENC = ( SELECT MAX(DTMESCOMPETENC) FROM ESTRUTURAH 
                                            WHERE NRORG           = EM.NRORG
                                              AND NRESTRUTURAM    = EM.NRESTRUTURAM
                                              AND DTMESCOMPETENC &lt;= :P_DTMESCOMPETENC )
WHERE EM.NRORG = :P_NRORG
  AND ( EM.DTFIMVIGENCIA &gt; :P_DTMESCOMPETENC OR EM.DTFIMVIGENCIA IS NULL )
ORDER BY EM.CDINTESTRUTURA;</t>
  </si>
  <si>
    <t>C.001</t>
  </si>
  <si>
    <t>PLANO DE SAÚDE</t>
  </si>
  <si>
    <t>CONVENIO MEDICO SANTA HELENA ASSISTENCIA MEDICA S/A</t>
  </si>
  <si>
    <t>&lt;- não apagar esta formula</t>
  </si>
  <si>
    <t>C.002</t>
  </si>
  <si>
    <t>CONVENIO MEDICO NOTRE DAME INTERMEDICA SAUDE SA</t>
  </si>
  <si>
    <t>C.003</t>
  </si>
  <si>
    <t>CONVENIO MEDICO NOTRE DAME INTERMEDICA MINAS GERAIS SAUDE SA</t>
  </si>
  <si>
    <t>Tipo de Estrutura Teknisa</t>
  </si>
  <si>
    <t>Início de Vigência</t>
  </si>
  <si>
    <t>Fim de Vigência</t>
  </si>
  <si>
    <t>Nº Estrutura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</si>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</sst>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29" x14ac:knownFonts="1">
    <font>
      <sz val="11"/>
      <color theme="1"/>
      <name val="Calibri"/>
      <family val="2"/>
      <scheme val="minor"/>
    </font>
    <font>
      <sz val="10"/>
      <color theme="1"/>
      <name val="Calibri"/>
      <family val="2"/>
      <scheme val="minor"/>
    </font>
    <font>
      <b/>
      <sz val="10"/>
      <name val="Calibri"/>
      <family val="2"/>
      <scheme val="minor"/>
    </font>
    <font>
      <b/>
      <sz val="8"/>
      <color rgb="FF000000"/>
      <name val="Calibri Light"/>
      <family val="2"/>
      <charset val="1"/>
    </font>
    <font>
      <b/>
      <sz val="8"/>
      <name val="Calibri Light"/>
      <family val="2"/>
      <charset val="1"/>
    </font>
    <font>
      <b/>
      <sz val="8"/>
      <color rgb="FF2A6099"/>
      <name val="Calibri Light"/>
      <family val="2"/>
      <charset val="1"/>
    </font>
    <font>
      <b/>
      <sz val="8"/>
      <color rgb="FFC9211E"/>
      <name val="Calibri Light"/>
      <family val="2"/>
      <charset val="1"/>
    </font>
    <font>
      <b/>
      <sz val="8"/>
      <color rgb="FF00A933"/>
      <name val="Calibri Light"/>
      <family val="2"/>
      <charset val="1"/>
    </font>
    <font>
      <sz val="9"/>
      <color rgb="FF000000"/>
      <name val="Calibri Light"/>
      <family val="2"/>
      <charset val="1"/>
    </font>
    <font>
      <b/>
      <sz val="9"/>
      <color rgb="FF000000"/>
      <name val="Calibri Light"/>
      <family val="2"/>
      <charset val="1"/>
    </font>
    <font>
      <b/>
      <sz val="16"/>
      <color rgb="FFFF0000"/>
      <name val="Calibri Light"/>
      <family val="2"/>
      <charset val="1"/>
    </font>
    <font>
      <b/>
      <sz val="8"/>
      <color rgb="FFFF0000"/>
      <name val="Calibri Light"/>
      <family val="2"/>
      <charset val="1"/>
    </font>
    <font>
      <i/>
      <sz val="8"/>
      <color rgb="FFFF0000"/>
      <name val="Calibri Light"/>
      <family val="2"/>
      <charset val="1"/>
    </font>
    <font>
      <sz val="8"/>
      <name val="Calibri Light"/>
      <family val="2"/>
      <charset val="1"/>
    </font>
    <font>
      <sz val="8"/>
      <color rgb="FFFF0000"/>
      <name val="Calibri Light"/>
      <family val="2"/>
      <charset val="1"/>
    </font>
    <font>
      <b/>
      <sz val="9"/>
      <color rgb="FF000000"/>
      <name val="Calibri Light"/>
      <family val="2"/>
    </font>
    <font>
      <i/>
      <sz val="8"/>
      <name val="Calibri Light"/>
      <family val="2"/>
    </font>
    <font>
      <sz val="9"/>
      <name val="Calibri Light"/>
      <family val="2"/>
      <charset val="1"/>
    </font>
    <font>
      <sz val="11"/>
      <color rgb="FF000000"/>
      <name val="Calibri"/>
      <family val="2"/>
      <charset val="1"/>
    </font>
    <font>
      <sz val="8"/>
      <color theme="1"/>
      <name val="Calibri"/>
      <family val="2"/>
      <scheme val="minor"/>
    </font>
    <font>
      <i/>
      <sz val="10"/>
      <name val="Calibri"/>
      <family val="2"/>
      <scheme val="minor"/>
    </font>
    <font>
      <sz val="11"/>
      <color rgb="FFFF0000"/>
      <name val="Calibri"/>
      <family val="2"/>
      <scheme val="minor"/>
    </font>
    <font>
      <sz val="8"/>
      <color rgb="FFFF0000"/>
      <name val="Calibri"/>
      <family val="2"/>
      <scheme val="minor"/>
    </font>
    <font>
      <b/>
      <sz val="8"/>
      <name val="Calibri Light"/>
      <family val="2"/>
    </font>
    <font>
      <i/>
      <sz val="8"/>
      <color rgb="FFFF0000"/>
      <name val="Calibri"/>
      <family val="2"/>
      <scheme val="minor"/>
    </font>
    <font>
      <b/>
      <sz val="8"/>
      <color theme="1"/>
      <name val="Calibri"/>
      <family val="2"/>
      <scheme val="minor"/>
    </font>
    <font>
      <sz val="8"/>
      <name val="Calibri"/>
      <family val="2"/>
      <scheme val="minor"/>
    </font>
    <font>
      <sz val="11"/>
      <name val="Calibri"/>
      <family val="2"/>
      <scheme val="minor"/>
    </font>
    <font>
      <b/>
      <sz val="11"/>
      <name val="Calibri"/>
      <family val="2"/>
      <scheme val="minor"/>
    </font>
  </fonts>
  <fills count="15">
    <fill>
      <patternFill patternType="none"/>
    </fill>
    <fill>
      <patternFill patternType="gray125"/>
    </fill>
    <fill>
      <patternFill patternType="solid">
        <fgColor rgb="FFEEEEEE"/>
        <bgColor rgb="FFFFFFD7"/>
      </patternFill>
    </fill>
    <fill>
      <patternFill patternType="solid">
        <fgColor rgb="FFFFFFD7"/>
        <bgColor rgb="FFEEEEEE"/>
      </patternFill>
    </fill>
    <fill>
      <patternFill patternType="solid">
        <fgColor rgb="FFEEEEEE"/>
        <bgColor rgb="FFFFFFCC"/>
      </patternFill>
    </fill>
    <fill>
      <patternFill patternType="solid">
        <fgColor rgb="FFEEEEEE"/>
        <bgColor rgb="FFFFFFFF"/>
      </patternFill>
    </fill>
    <fill>
      <patternFill patternType="solid">
        <fgColor theme="2"/>
        <bgColor indexed="64"/>
      </patternFill>
    </fill>
    <fill>
      <patternFill patternType="solid">
        <fgColor theme="2"/>
        <bgColor rgb="FFFFFFD7"/>
      </patternFill>
    </fill>
    <fill>
      <patternFill patternType="solid">
        <fgColor rgb="FFFFC8C8"/>
        <bgColor rgb="FFFFFFD7"/>
      </patternFill>
    </fill>
    <fill>
      <patternFill patternType="solid">
        <fgColor theme="0" tint="-0.249977111117893"/>
        <bgColor rgb="FFFFFFD7"/>
      </patternFill>
    </fill>
    <fill>
      <patternFill patternType="solid">
        <fgColor theme="0" tint="-0.249977111117893"/>
        <bgColor indexed="64"/>
      </patternFill>
    </fill>
    <fill>
      <patternFill patternType="solid">
        <fgColor theme="9" tint="0.59999389629810485"/>
        <bgColor rgb="FFFFFFCC"/>
      </patternFill>
    </fill>
    <fill>
      <patternFill patternType="solid">
        <fgColor theme="0" tint="-4.9989318521683403E-2"/>
        <bgColor indexed="64"/>
      </patternFill>
    </fill>
    <fill>
      <patternFill patternType="solid">
        <fgColor rgb="FFFFC8C8"/>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1" fillId="0" borderId="0" xfId="0" applyFont="1"/>
    <xf numFmtId="0" fontId="4" fillId="3" borderId="0" xfId="0" applyFont="1" applyFill="1" applyAlignment="1">
      <alignment horizontal="center"/>
    </xf>
    <xf numFmtId="0" fontId="8" fillId="0" borderId="0" xfId="0" applyFont="1" applyAlignment="1">
      <alignment horizontal="center" vertical="center" wrapText="1"/>
    </xf>
    <xf numFmtId="0" fontId="9" fillId="4" borderId="0" xfId="0" applyFont="1" applyFill="1" applyAlignment="1">
      <alignment horizontal="center" vertical="center" wrapText="1"/>
    </xf>
    <xf numFmtId="0" fontId="13" fillId="3" borderId="0" xfId="0" applyFont="1" applyFill="1" applyAlignment="1">
      <alignment horizontal="left" wrapText="1"/>
    </xf>
    <xf numFmtId="0" fontId="13" fillId="4" borderId="0" xfId="0" applyFont="1" applyFill="1" applyAlignment="1">
      <alignment vertical="top" wrapText="1"/>
    </xf>
    <xf numFmtId="0" fontId="13" fillId="3" borderId="0" xfId="0" applyFont="1" applyFill="1" applyAlignment="1">
      <alignment horizontal="left"/>
    </xf>
    <xf numFmtId="0" fontId="15" fillId="4" borderId="0" xfId="0" applyFont="1" applyFill="1" applyAlignment="1">
      <alignment horizontal="center" vertical="center" wrapText="1"/>
    </xf>
    <xf numFmtId="0" fontId="13" fillId="2" borderId="0" xfId="0" applyFont="1" applyFill="1" applyAlignment="1">
      <alignment horizontal="left" vertical="center"/>
    </xf>
    <xf numFmtId="0" fontId="16" fillId="5" borderId="0" xfId="0" applyFont="1" applyFill="1" applyAlignment="1">
      <alignment horizontal="center" vertical="center"/>
    </xf>
    <xf numFmtId="0" fontId="13" fillId="2" borderId="0" xfId="0" applyFont="1" applyFill="1"/>
    <xf numFmtId="0" fontId="17" fillId="4" borderId="0" xfId="0" applyFont="1" applyFill="1" applyAlignment="1">
      <alignment horizontal="center" vertical="center"/>
    </xf>
    <xf numFmtId="0" fontId="21" fillId="0" borderId="0" xfId="0" applyFont="1"/>
    <xf numFmtId="49" fontId="2" fillId="6" borderId="0" xfId="0" applyNumberFormat="1" applyFont="1" applyFill="1" applyAlignment="1">
      <alignment horizontal="center" vertical="center" wrapText="1"/>
    </xf>
    <xf numFmtId="49" fontId="3" fillId="7" borderId="0" xfId="0" applyNumberFormat="1" applyFont="1" applyFill="1" applyAlignment="1">
      <alignment horizontal="center" vertical="center"/>
    </xf>
    <xf numFmtId="0" fontId="4" fillId="7" borderId="0" xfId="0" applyFont="1" applyFill="1" applyAlignment="1">
      <alignment horizontal="center"/>
    </xf>
    <xf numFmtId="0" fontId="3" fillId="7" borderId="0" xfId="0" applyFont="1" applyFill="1" applyAlignment="1">
      <alignment horizontal="center"/>
    </xf>
    <xf numFmtId="0" fontId="5" fillId="7" borderId="0" xfId="0" applyFont="1" applyFill="1" applyAlignment="1">
      <alignment horizontal="center" vertical="center"/>
    </xf>
    <xf numFmtId="0" fontId="6" fillId="7" borderId="0" xfId="0" applyFont="1" applyFill="1" applyAlignment="1">
      <alignment horizontal="center" vertical="center"/>
    </xf>
    <xf numFmtId="0" fontId="7" fillId="7" borderId="0" xfId="0" applyFont="1" applyFill="1" applyAlignment="1">
      <alignment horizontal="center"/>
    </xf>
    <xf numFmtId="0" fontId="11" fillId="7" borderId="0" xfId="0" applyFont="1" applyFill="1" applyAlignment="1">
      <alignment horizontal="center" vertical="center" wrapText="1"/>
    </xf>
    <xf numFmtId="0" fontId="12" fillId="7" borderId="0" xfId="0" applyFont="1" applyFill="1" applyAlignment="1">
      <alignment horizontal="center" vertical="center" wrapText="1"/>
    </xf>
    <xf numFmtId="0" fontId="14" fillId="7" borderId="0" xfId="0" applyFont="1" applyFill="1" applyAlignment="1">
      <alignment horizontal="center"/>
    </xf>
    <xf numFmtId="0" fontId="14" fillId="7" borderId="0" xfId="0" applyFont="1" applyFill="1" applyAlignment="1">
      <alignment horizontal="left"/>
    </xf>
    <xf numFmtId="0" fontId="22" fillId="6" borderId="0" xfId="0" applyFont="1" applyFill="1" applyAlignment="1">
      <alignment horizontal="center"/>
    </xf>
    <xf numFmtId="0" fontId="11" fillId="8" borderId="0" xfId="0" applyFont="1" applyFill="1" applyAlignment="1">
      <alignment horizontal="center" vertical="center" wrapText="1"/>
    </xf>
    <xf numFmtId="0" fontId="10" fillId="8" borderId="0" xfId="0" applyFont="1" applyFill="1" applyAlignment="1">
      <alignment horizontal="center" vertical="center" wrapText="1"/>
    </xf>
    <xf numFmtId="0" fontId="4" fillId="9" borderId="0" xfId="0" applyFont="1" applyFill="1" applyAlignment="1">
      <alignment horizontal="center"/>
    </xf>
    <xf numFmtId="0" fontId="23" fillId="9" borderId="0" xfId="0" applyFont="1" applyFill="1" applyAlignment="1">
      <alignment horizontal="center" wrapText="1"/>
    </xf>
    <xf numFmtId="0" fontId="13" fillId="9" borderId="0" xfId="0" applyFont="1" applyFill="1" applyAlignment="1">
      <alignment horizontal="left"/>
    </xf>
    <xf numFmtId="0" fontId="1" fillId="10" borderId="0" xfId="0" applyFont="1" applyFill="1"/>
    <xf numFmtId="0" fontId="13" fillId="11" borderId="0" xfId="0" applyFont="1" applyFill="1" applyAlignment="1">
      <alignment vertical="top" wrapText="1"/>
    </xf>
    <xf numFmtId="0" fontId="9" fillId="11" borderId="0" xfId="0" applyFont="1" applyFill="1" applyAlignment="1">
      <alignment horizontal="center" vertical="center" wrapText="1"/>
    </xf>
    <xf numFmtId="0" fontId="19" fillId="12" borderId="0" xfId="0" applyFont="1" applyFill="1"/>
    <xf numFmtId="0" fontId="24" fillId="12" borderId="0" xfId="0" applyFont="1" applyFill="1" applyAlignment="1">
      <alignment horizontal="center"/>
    </xf>
    <xf numFmtId="0" fontId="25" fillId="12" borderId="0" xfId="0" applyFont="1" applyFill="1"/>
    <xf numFmtId="0" fontId="9" fillId="4" borderId="0" xfId="0" quotePrefix="1" applyFont="1" applyFill="1" applyAlignment="1">
      <alignment horizontal="center" vertical="center" wrapText="1"/>
    </xf>
    <xf numFmtId="49" fontId="1" fillId="0" borderId="0" xfId="0" applyNumberFormat="1" applyFont="1"/>
    <xf numFmtId="0" fontId="0" fillId="13" borderId="0" xfId="0" applyFill="1"/>
    <xf numFmtId="22" fontId="0" fillId="13" borderId="0" xfId="0" applyNumberFormat="1" applyFill="1"/>
    <xf numFmtId="0" fontId="0" fillId="12" borderId="0" xfId="0" applyFill="1"/>
    <xf numFmtId="0" fontId="19" fillId="14" borderId="0" xfId="0" applyFont="1" applyFill="1" applyAlignment="1">
      <alignment wrapText="1"/>
    </xf>
    <xf numFmtId="0" fontId="9" fillId="11" borderId="0" xfId="0" quotePrefix="1" applyFont="1" applyFill="1" applyAlignment="1">
      <alignment horizontal="center" vertical="center"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xf>
    <xf numFmtId="0" fontId="27" fillId="0" borderId="0" xfId="0" applyFont="1" applyAlignment="1">
      <alignment horizontal="center"/>
    </xf>
    <xf numFmtId="49" fontId="27" fillId="0" borderId="0" xfId="0" applyNumberFormat="1" applyFont="1" applyAlignment="1">
      <alignment horizontal="center"/>
    </xf>
    <xf numFmtId="14" fontId="27" fillId="0" borderId="0" xfId="0" applyNumberFormat="1" applyFont="1" applyAlignment="1">
      <alignment horizontal="center"/>
    </xf>
    <xf numFmtId="164" fontId="27" fillId="0" borderId="0" xfId="0" applyNumberFormat="1" applyFont="1" applyAlignment="1">
      <alignment horizontal="center"/>
    </xf>
    <xf numFmtId="49" fontId="28" fillId="0" borderId="2" xfId="0" applyNumberFormat="1" applyFont="1" applyBorder="1" applyAlignment="1">
      <alignment horizontal="center" vertical="center"/>
    </xf>
    <xf numFmtId="0" fontId="28" fillId="0" borderId="2" xfId="0" applyFont="1" applyBorder="1" applyAlignment="1">
      <alignment horizontal="center"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FFC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011e3a717f9713d1/Trabalho/Migra&#231;&#227;o/Ferramentas%20de%20migra&#231;&#227;o/__Prot&#243;tipo%20v2.xlsx" TargetMode="External"/><Relationship Id="rId1" Type="http://schemas.openxmlformats.org/officeDocument/2006/relationships/externalLinkPath" Target="__Prot&#243;tipo%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pecificações"/>
      <sheetName val="Dados"/>
      <sheetName val="Modelagem"/>
      <sheetName val="Prototipagem"/>
      <sheetName val="Planilha1"/>
      <sheetName val="Planilha2"/>
      <sheetName val="__Protótipo v2"/>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FBB5F-03F0-48A6-BA31-EE04C71B00E3}">
  <dimension ref="A1:CI10"/>
  <sheetViews>
    <sheetView tabSelected="1" zoomScaleNormal="100" workbookViewId="0">
      <pane xSplit="4" ySplit="2" topLeftCell="BP3" activePane="bottomRight" state="frozen"/>
      <selection pane="topRight" activeCell="E1" sqref="E1"/>
      <selection pane="bottomLeft" activeCell="A3" sqref="A3"/>
      <selection pane="bottomRight" activeCell="BV2" sqref="BV2"/>
    </sheetView>
  </sheetViews>
  <sheetFormatPr defaultRowHeight="12.75" x14ac:dyDescent="0.2"/>
  <cols>
    <col min="1" max="1" width="22.5703125" style="1" customWidth="1"/>
    <col min="2" max="2" width="19" style="1" bestFit="1" customWidth="1"/>
    <col min="3" max="3" width="17.85546875" style="1" bestFit="1" customWidth="1"/>
    <col min="4" max="4" width="15.42578125" style="1" bestFit="1" customWidth="1"/>
    <col min="5" max="5" width="19.7109375" style="1" bestFit="1" customWidth="1"/>
    <col min="6" max="6" width="30.7109375" style="1" customWidth="1"/>
    <col min="7" max="7" width="7.85546875" style="1" bestFit="1" customWidth="1"/>
    <col min="8" max="8" width="64.42578125" style="1" bestFit="1" customWidth="1"/>
    <col min="9" max="9" width="19" style="1" bestFit="1" customWidth="1"/>
    <col min="10" max="10" width="10.28515625" style="1" bestFit="1" customWidth="1"/>
    <col min="11" max="11" width="9.42578125" style="1" bestFit="1" customWidth="1"/>
    <col min="12" max="12" width="10.85546875" style="1" bestFit="1" customWidth="1"/>
    <col min="13" max="13" width="18.5703125" style="1" bestFit="1" customWidth="1"/>
    <col min="14" max="14" width="18.7109375" style="1" bestFit="1" customWidth="1"/>
    <col min="15" max="15" width="18.42578125" style="1" bestFit="1" customWidth="1"/>
    <col min="16" max="16" width="15.140625" style="1" bestFit="1" customWidth="1"/>
    <col min="17" max="17" width="8.5703125" style="38" bestFit="1" customWidth="1"/>
    <col min="18" max="18" width="10.7109375" style="1" bestFit="1" customWidth="1"/>
    <col min="19" max="19" width="14.42578125" style="1" bestFit="1" customWidth="1"/>
    <col min="20" max="20" width="14.5703125" style="1" bestFit="1" customWidth="1"/>
    <col min="21" max="21" width="24.28515625" style="1" bestFit="1" customWidth="1"/>
    <col min="22" max="22" width="12.140625" style="1" bestFit="1" customWidth="1"/>
    <col min="23" max="23" width="23" style="1" bestFit="1" customWidth="1"/>
    <col min="24" max="24" width="19.28515625" style="1" customWidth="1"/>
    <col min="25" max="25" width="24.28515625" style="1" bestFit="1" customWidth="1"/>
    <col min="26" max="26" width="30.42578125" style="1" bestFit="1" customWidth="1"/>
    <col min="27" max="27" width="18.28515625" style="1" bestFit="1" customWidth="1"/>
    <col min="28" max="28" width="12.42578125" style="1" bestFit="1" customWidth="1"/>
    <col min="29" max="29" width="19.42578125" style="1" bestFit="1" customWidth="1"/>
    <col min="30" max="30" width="16" style="1" bestFit="1" customWidth="1"/>
    <col min="31" max="31" width="14.42578125" style="1" bestFit="1" customWidth="1"/>
    <col min="32" max="32" width="12" style="1" bestFit="1" customWidth="1"/>
    <col min="33" max="33" width="17.5703125" style="1" bestFit="1" customWidth="1"/>
    <col min="34" max="34" width="16.5703125" style="1" bestFit="1" customWidth="1"/>
    <col min="35" max="35" width="16.28515625" style="1" bestFit="1" customWidth="1"/>
    <col min="36" max="36" width="18.5703125" style="1" bestFit="1" customWidth="1"/>
    <col min="37" max="37" width="13.140625" style="1" bestFit="1" customWidth="1"/>
    <col min="38" max="38" width="6.5703125" style="1" bestFit="1" customWidth="1"/>
    <col min="39" max="39" width="14.7109375" style="1" bestFit="1" customWidth="1"/>
    <col min="40" max="40" width="14.28515625" style="1" bestFit="1" customWidth="1"/>
    <col min="41" max="41" width="10.28515625" style="1" bestFit="1" customWidth="1"/>
    <col min="42" max="42" width="10" style="1" bestFit="1" customWidth="1"/>
    <col min="43" max="43" width="11.42578125" style="1" bestFit="1" customWidth="1"/>
    <col min="44" max="44" width="13.5703125" style="1" bestFit="1" customWidth="1"/>
    <col min="45" max="45" width="14.85546875" style="1" bestFit="1" customWidth="1"/>
    <col min="46" max="46" width="14" style="1" bestFit="1" customWidth="1"/>
    <col min="47" max="47" width="9.7109375" style="1" bestFit="1" customWidth="1"/>
    <col min="48" max="48" width="12" style="1" bestFit="1" customWidth="1"/>
    <col min="49" max="49" width="12.7109375" style="1" bestFit="1" customWidth="1"/>
    <col min="50" max="50" width="15" style="1" bestFit="1" customWidth="1"/>
    <col min="51" max="51" width="12.140625" style="1" bestFit="1" customWidth="1"/>
    <col min="52" max="52" width="15.140625" style="1" bestFit="1" customWidth="1"/>
    <col min="53" max="53" width="10.85546875" style="1" bestFit="1" customWidth="1"/>
    <col min="54" max="54" width="9.85546875" style="1" bestFit="1" customWidth="1"/>
    <col min="55" max="55" width="7" style="1" bestFit="1" customWidth="1"/>
    <col min="56" max="56" width="21.7109375" style="1" bestFit="1" customWidth="1"/>
    <col min="57" max="57" width="14.140625" style="1" bestFit="1" customWidth="1"/>
    <col min="58" max="58" width="15.5703125" style="1" bestFit="1" customWidth="1"/>
    <col min="59" max="59" width="19.140625" style="1" bestFit="1" customWidth="1"/>
    <col min="60" max="60" width="18.140625" style="1" bestFit="1" customWidth="1"/>
    <col min="61" max="61" width="15.85546875" style="1" bestFit="1" customWidth="1"/>
    <col min="62" max="62" width="16.42578125" style="1" bestFit="1" customWidth="1"/>
    <col min="63" max="63" width="15.140625" style="1" bestFit="1" customWidth="1"/>
    <col min="64" max="64" width="17.28515625" style="1" bestFit="1" customWidth="1"/>
    <col min="65" max="65" width="100.7109375" style="1" customWidth="1"/>
    <col min="66" max="66" width="50.7109375" style="1" customWidth="1"/>
    <col min="67" max="67" width="50.7109375" style="31" customWidth="1"/>
    <col min="68" max="68" width="14.7109375" style="34" bestFit="1" customWidth="1"/>
    <col min="69" max="69" width="11.5703125" style="34" bestFit="1" customWidth="1"/>
    <col min="70" max="70" width="11.5703125" style="34" customWidth="1"/>
    <col min="71" max="71" width="9.140625" style="1"/>
    <col min="72" max="72" width="11.28515625" style="1" bestFit="1" customWidth="1"/>
    <col min="73" max="76" width="25.7109375" style="1" customWidth="1"/>
    <col min="77" max="77" width="11.28515625" style="1" bestFit="1" customWidth="1"/>
    <col min="78" max="81" width="25.7109375" style="1" customWidth="1"/>
    <col min="82" max="82" width="11.28515625" style="1" bestFit="1" customWidth="1"/>
    <col min="83" max="86" width="30.7109375" style="1" customWidth="1"/>
    <col min="87" max="16384" width="9.140625" style="1"/>
  </cols>
  <sheetData>
    <row r="1" spans="1:87" ht="15" x14ac:dyDescent="0.25">
      <c r="A1" s="15" t="s">
        <v>194</v>
      </c>
      <c r="B1" s="15" t="s">
        <v>0</v>
      </c>
      <c r="C1" s="15" t="s">
        <v>0</v>
      </c>
      <c r="D1" s="15" t="s">
        <v>1</v>
      </c>
      <c r="E1" s="15" t="s">
        <v>0</v>
      </c>
      <c r="F1" s="15" t="s">
        <v>0</v>
      </c>
      <c r="G1" s="15" t="s">
        <v>0</v>
      </c>
      <c r="H1" s="15" t="s">
        <v>0</v>
      </c>
      <c r="I1" s="15" t="s">
        <v>0</v>
      </c>
      <c r="J1" s="15" t="s">
        <v>0</v>
      </c>
      <c r="K1" s="15" t="s">
        <v>0</v>
      </c>
      <c r="L1" s="15" t="s">
        <v>0</v>
      </c>
      <c r="M1" s="15" t="s">
        <v>2</v>
      </c>
      <c r="N1" s="15" t="s">
        <v>0</v>
      </c>
      <c r="O1" s="15" t="s">
        <v>0</v>
      </c>
      <c r="P1" s="15" t="s">
        <v>0</v>
      </c>
      <c r="Q1" s="15" t="s">
        <v>0</v>
      </c>
      <c r="R1" s="15" t="s">
        <v>0</v>
      </c>
      <c r="S1" s="15" t="s">
        <v>0</v>
      </c>
      <c r="T1" s="15" t="s">
        <v>0</v>
      </c>
      <c r="U1" s="15" t="s">
        <v>0</v>
      </c>
      <c r="V1" s="15" t="s">
        <v>0</v>
      </c>
      <c r="W1" s="15" t="s">
        <v>0</v>
      </c>
      <c r="X1" s="15" t="s">
        <v>0</v>
      </c>
      <c r="Y1" s="15" t="s">
        <v>0</v>
      </c>
      <c r="Z1" s="15" t="s">
        <v>0</v>
      </c>
      <c r="AA1" s="15" t="s">
        <v>0</v>
      </c>
      <c r="AB1" s="15" t="s">
        <v>0</v>
      </c>
      <c r="AC1" s="15"/>
      <c r="AD1" s="15" t="s">
        <v>3</v>
      </c>
      <c r="AE1" s="15"/>
      <c r="AF1" s="16" t="s">
        <v>4</v>
      </c>
      <c r="AG1" s="17" t="s">
        <v>5</v>
      </c>
      <c r="AH1" s="17" t="s">
        <v>6</v>
      </c>
      <c r="AI1" s="17" t="s">
        <v>7</v>
      </c>
      <c r="AJ1" s="17" t="s">
        <v>8</v>
      </c>
      <c r="AK1" s="18" t="s">
        <v>9</v>
      </c>
      <c r="AL1" s="18" t="s">
        <v>10</v>
      </c>
      <c r="AM1" s="18" t="s">
        <v>11</v>
      </c>
      <c r="AN1" s="18" t="s">
        <v>12</v>
      </c>
      <c r="AO1" s="18" t="s">
        <v>13</v>
      </c>
      <c r="AP1" s="18" t="s">
        <v>14</v>
      </c>
      <c r="AQ1" s="18" t="s">
        <v>15</v>
      </c>
      <c r="AR1" s="18" t="s">
        <v>16</v>
      </c>
      <c r="AS1" s="18" t="s">
        <v>17</v>
      </c>
      <c r="AT1" s="18" t="s">
        <v>18</v>
      </c>
      <c r="AU1" s="18" t="s">
        <v>19</v>
      </c>
      <c r="AV1" s="18" t="s">
        <v>20</v>
      </c>
      <c r="AW1" s="18" t="s">
        <v>21</v>
      </c>
      <c r="AX1" s="18" t="s">
        <v>22</v>
      </c>
      <c r="AY1" s="18" t="s">
        <v>23</v>
      </c>
      <c r="AZ1" s="19" t="s">
        <v>24</v>
      </c>
      <c r="BA1" s="18" t="s">
        <v>25</v>
      </c>
      <c r="BB1" s="18" t="s">
        <v>26</v>
      </c>
      <c r="BC1" s="18" t="s">
        <v>27</v>
      </c>
      <c r="BD1" s="18" t="s">
        <v>28</v>
      </c>
      <c r="BE1" s="18" t="s">
        <v>29</v>
      </c>
      <c r="BF1" s="18" t="s">
        <v>30</v>
      </c>
      <c r="BG1" s="18" t="s">
        <v>31</v>
      </c>
      <c r="BH1" s="18" t="s">
        <v>32</v>
      </c>
      <c r="BI1" s="20" t="s">
        <v>33</v>
      </c>
      <c r="BJ1" s="20" t="s">
        <v>34</v>
      </c>
      <c r="BK1" s="20" t="s">
        <v>35</v>
      </c>
      <c r="BL1" s="20" t="s">
        <v>36</v>
      </c>
      <c r="BM1" s="2" t="s">
        <v>37</v>
      </c>
      <c r="BN1" s="2" t="s">
        <v>38</v>
      </c>
      <c r="BO1" s="28" t="s">
        <v>39</v>
      </c>
      <c r="BS1"/>
      <c r="BT1" s="3"/>
      <c r="BU1" s="43" t="s">
        <v>40</v>
      </c>
      <c r="BV1" s="33"/>
      <c r="BW1" s="33"/>
      <c r="BX1" s="33"/>
      <c r="BY1"/>
      <c r="BZ1" s="37" t="s">
        <v>41</v>
      </c>
      <c r="CA1"/>
      <c r="CB1"/>
      <c r="CC1"/>
      <c r="CD1"/>
      <c r="CE1" s="4" t="s">
        <v>42</v>
      </c>
    </row>
    <row r="2" spans="1:87" ht="176.25" customHeight="1" x14ac:dyDescent="0.25">
      <c r="A2" s="44" t="s">
        <v>190</v>
      </c>
      <c r="B2" s="51" t="s">
        <v>191</v>
      </c>
      <c r="C2" s="51" t="s">
        <v>192</v>
      </c>
      <c r="D2" s="52" t="s">
        <v>193</v>
      </c>
      <c r="E2" s="45" t="s">
        <v>43</v>
      </c>
      <c r="F2" s="45" t="s">
        <v>44</v>
      </c>
      <c r="G2" s="45" t="s">
        <v>45</v>
      </c>
      <c r="H2" s="45" t="s">
        <v>46</v>
      </c>
      <c r="I2" s="45" t="s">
        <v>47</v>
      </c>
      <c r="J2" s="45" t="s">
        <v>48</v>
      </c>
      <c r="K2" s="45" t="s">
        <v>49</v>
      </c>
      <c r="L2" s="45" t="s">
        <v>50</v>
      </c>
      <c r="M2" s="45" t="s">
        <v>51</v>
      </c>
      <c r="N2" s="45" t="s">
        <v>52</v>
      </c>
      <c r="O2" s="45" t="s">
        <v>53</v>
      </c>
      <c r="P2" s="45" t="s">
        <v>54</v>
      </c>
      <c r="Q2" s="45" t="s">
        <v>55</v>
      </c>
      <c r="R2" s="45" t="s">
        <v>56</v>
      </c>
      <c r="S2" s="45" t="s">
        <v>57</v>
      </c>
      <c r="T2" s="45" t="s">
        <v>58</v>
      </c>
      <c r="U2" s="45" t="s">
        <v>59</v>
      </c>
      <c r="V2" s="45" t="s">
        <v>60</v>
      </c>
      <c r="W2" s="45" t="s">
        <v>61</v>
      </c>
      <c r="X2" s="45" t="s">
        <v>62</v>
      </c>
      <c r="Y2" s="45" t="s">
        <v>63</v>
      </c>
      <c r="Z2" s="45" t="s">
        <v>64</v>
      </c>
      <c r="AA2" s="45" t="s">
        <v>65</v>
      </c>
      <c r="AB2" s="45" t="s">
        <v>66</v>
      </c>
      <c r="AC2" s="46" t="s">
        <v>67</v>
      </c>
      <c r="AD2" s="45" t="s">
        <v>68</v>
      </c>
      <c r="AE2" s="14" t="s">
        <v>69</v>
      </c>
      <c r="AF2" s="27">
        <v>4385</v>
      </c>
      <c r="AG2" s="26">
        <f>1739-1</f>
        <v>1738</v>
      </c>
      <c r="AH2" s="26">
        <f>167-1</f>
        <v>166</v>
      </c>
      <c r="AI2" s="26">
        <f>167-1</f>
        <v>166</v>
      </c>
      <c r="AJ2" s="26">
        <f>1719-1</f>
        <v>1718</v>
      </c>
      <c r="AK2" s="21" t="s">
        <v>44</v>
      </c>
      <c r="AL2" s="21" t="s">
        <v>45</v>
      </c>
      <c r="AM2" s="21" t="s">
        <v>46</v>
      </c>
      <c r="AN2" s="21" t="s">
        <v>47</v>
      </c>
      <c r="AO2" s="21" t="s">
        <v>48</v>
      </c>
      <c r="AP2" s="21" t="s">
        <v>49</v>
      </c>
      <c r="AQ2" s="21" t="s">
        <v>50</v>
      </c>
      <c r="AR2" s="21" t="s">
        <v>70</v>
      </c>
      <c r="AS2" s="21" t="s">
        <v>71</v>
      </c>
      <c r="AT2" s="21" t="s">
        <v>54</v>
      </c>
      <c r="AU2" s="21" t="s">
        <v>55</v>
      </c>
      <c r="AV2" s="21" t="s">
        <v>56</v>
      </c>
      <c r="AW2" s="21" t="s">
        <v>57</v>
      </c>
      <c r="AX2" s="21" t="s">
        <v>58</v>
      </c>
      <c r="AY2" s="21" t="s">
        <v>59</v>
      </c>
      <c r="AZ2" s="21" t="s">
        <v>72</v>
      </c>
      <c r="BA2" s="21" t="s">
        <v>73</v>
      </c>
      <c r="BB2" s="21" t="s">
        <v>61</v>
      </c>
      <c r="BC2" s="21" t="s">
        <v>62</v>
      </c>
      <c r="BD2" s="21" t="s">
        <v>63</v>
      </c>
      <c r="BE2" s="21" t="s">
        <v>64</v>
      </c>
      <c r="BF2" s="21" t="s">
        <v>74</v>
      </c>
      <c r="BG2" s="22" t="s">
        <v>75</v>
      </c>
      <c r="BH2" s="21" t="s">
        <v>66</v>
      </c>
      <c r="BI2" s="21"/>
      <c r="BJ2" s="21"/>
      <c r="BK2" s="21"/>
      <c r="BL2" s="21"/>
      <c r="BM2" s="5" t="s">
        <v>76</v>
      </c>
      <c r="BN2" s="5" t="s">
        <v>77</v>
      </c>
      <c r="BO2" s="29" t="s">
        <v>39</v>
      </c>
      <c r="BP2" s="36" t="s">
        <v>78</v>
      </c>
      <c r="BS2"/>
      <c r="BT2" s="3"/>
      <c r="BU2" s="32" t="str">
        <f ca="1">"/*"&amp;BU4&amp;"*/
SELECT A + 1 A, B - 1 B, B - A - 1 LENGHT, (SELECT TO_NUMBER(NRSEQUENCIAL) FROM NOVOCODIGO WHERE NRORG = "&amp;BU9&amp;" AND CDCONTADOR = '"&amp;BU4&amp;"') NOVOCODIGO FROM (SELECT 0 A, MIN("&amp;BU5&amp;") B FROM "&amp;BU4&amp;" WHERE NRORG = "&amp;BU9&amp;" UNION ALL SELECT "&amp;BU5&amp;", LEAD("&amp;BU5&amp;") OVER (ORDER BY "&amp;BU5&amp;") FROM "&amp;BU4&amp;" WHERE NRORG = "&amp;BU9&amp;" ) WHERE B - A &gt; "&amp;BU8&amp;" OR B IS NULL ORDER BY A;"</f>
        <v>/*PARCNEGOCIO*/
SELECT A + 1 A, B - 1 B, B - A - 1 LENGHT, (SELECT TO_NUMBER(NRSEQUENCIAL) FROM NOVOCODIGO WHERE NRORG = 4385 AND CDCONTADOR = 'PARCNEGOCIO') NOVOCODIGO FROM (SELECT 0 A, MIN(NRPARCNEGOCIO) B FROM PARCNEGOCIO WHERE NRORG = 4385 UNION ALL SELECT NRPARCNEGOCIO, LEAD(NRPARCNEGOCIO) OVER (ORDER BY NRPARCNEGOCIO) FROM PARCNEGOCIO WHERE NRORG = 4385 ) WHERE B - A &gt; 8 OR B IS NULL ORDER BY A;</v>
      </c>
      <c r="BV2" s="32" t="str">
        <f t="shared" ref="BV2:BX2" ca="1" si="0">"/*"&amp;BV4&amp;"*/
SELECT A + 1 A, B - 1 B, B - A - 1 LENGHT, (SELECT TO_NUMBER(NRSEQUENCIAL) FROM NOVOCODIGO WHERE NRORG = "&amp;BV9&amp;" AND CDCONTADOR = '"&amp;BV4&amp;"') NOVOCODIGO FROM (SELECT 0 A, MIN("&amp;BV5&amp;") B FROM "&amp;BV4&amp;" WHERE NRORG = "&amp;BV9&amp;" UNION ALL SELECT "&amp;BV5&amp;", LEAD("&amp;BV5&amp;") OVER (ORDER BY "&amp;BV5&amp;") FROM "&amp;BV4&amp;" WHERE NRORG = "&amp;BV9&amp;" ) WHERE B - A &gt; "&amp;BV8&amp;" OR B IS NULL ORDER BY A;"</f>
        <v>/*ESTRUTURAM*/
SELECT A + 1 A, B - 1 B, B - A - 1 LENGHT, (SELECT TO_NUMBER(NRSEQUENCIAL) FROM NOVOCODIGO WHERE NRORG = 4385 AND CDCONTADOR = 'ESTRUTURAM') NOVOCODIGO FROM (SELECT 0 A, MIN(NRESTRUTURAM) B FROM ESTRUTURAM WHERE NRORG = 4385 UNION ALL SELECT NRESTRUTURAM, LEAD(NRESTRUTURAM) OVER (ORDER BY NRESTRUTURAM) FROM ESTRUTURAM WHERE NRORG = 4385 ) WHERE B - A &gt; 8 OR B IS NULL ORDER BY A;</v>
      </c>
      <c r="BW2" s="32" t="str">
        <f t="shared" ca="1" si="0"/>
        <v>/*ESTRUTURAH*/
SELECT A + 1 A, B - 1 B, B - A - 1 LENGHT, (SELECT TO_NUMBER(NRSEQUENCIAL) FROM NOVOCODIGO WHERE NRORG = 4385 AND CDCONTADOR = 'ESTRUTURAH') NOVOCODIGO FROM (SELECT 0 A, MIN(NRESTRUTURAH) B FROM ESTRUTURAH WHERE NRORG = 4385 UNION ALL SELECT NRESTRUTURAH, LEAD(NRESTRUTURAH) OVER (ORDER BY NRESTRUTURAH) FROM ESTRUTURAH WHERE NRORG = 4385 ) WHERE B - A &gt; 8 OR B IS NULL ORDER BY A;</v>
      </c>
      <c r="BX2" s="32" t="str">
        <f t="shared" ca="1" si="0"/>
        <v>/*ENDERECOPARC*/
SELECT A + 1 A, B - 1 B, B - A - 1 LENGHT, (SELECT TO_NUMBER(NRSEQUENCIAL) FROM NOVOCODIGO WHERE NRORG = 4385 AND CDCONTADOR = 'ENDERECOPARC') NOVOCODIGO FROM (SELECT 0 A, MIN(NRENDERECOPARC) B FROM ENDERECOPARC WHERE NRORG = 4385 UNION ALL SELECT NRENDERECOPARC, LEAD(NRENDERECOPARC) OVER (ORDER BY NRENDERECOPARC) FROM ENDERECOPARC WHERE NRORG = 4385 ) WHERE B - A &gt; 8 OR B IS NULL ORDER BY A;</v>
      </c>
      <c r="BY2"/>
      <c r="BZ2" s="6" t="str">
        <f ca="1">"SELECT DECODE(COUNT(1),0,'OK',COUNT(1)||' conflito(s)') STATUS, '"&amp;BZ4&amp;"' TABELA FROM "&amp;BZ4&amp;" WHERE NRORG = "&amp;BZ9&amp;" AND "&amp;BZ5&amp;" BETWEEN "&amp;BZ6&amp;" AND "&amp;BZ7&amp;" UNION ALL "</f>
        <v xml:space="preserve">SELECT DECODE(COUNT(1),0,'OK',COUNT(1)||' conflito(s)') STATUS, 'PARCNEGOCIO' TABELA FROM PARCNEGOCIO WHERE NRORG = 4385 AND NRPARCNEGOCIO BETWEEN 1739 AND 1746 UNION ALL </v>
      </c>
      <c r="CA2" s="6" t="str">
        <f ca="1">"SELECT DECODE(COUNT(1),0,'OK',COUNT(1)||' conflito(s)') STATUS, '"&amp;CA4&amp;"' TABELA FROM "&amp;CA4&amp;" WHERE NRORG = "&amp;CA9&amp;" AND "&amp;CA5&amp;" BETWEEN "&amp;CA6&amp;" AND "&amp;CA7&amp;" UNION ALL "</f>
        <v xml:space="preserve">SELECT DECODE(COUNT(1),0,'OK',COUNT(1)||' conflito(s)') STATUS, 'ESTRUTURAM' TABELA FROM ESTRUTURAM WHERE NRORG = 4385 AND NRESTRUTURAM BETWEEN 167 AND 174 UNION ALL </v>
      </c>
      <c r="CB2" s="6" t="str">
        <f ca="1">"SELECT DECODE(COUNT(1),0,'OK',COUNT(1)||' conflito(s)') STATUS, '"&amp;CB4&amp;"' TABELA FROM "&amp;CB4&amp;" WHERE NRORG = "&amp;CB9&amp;" AND "&amp;CB5&amp;" BETWEEN "&amp;CB6&amp;" AND "&amp;CB7&amp;" UNION ALL "</f>
        <v xml:space="preserve">SELECT DECODE(COUNT(1),0,'OK',COUNT(1)||' conflito(s)') STATUS, 'ESTRUTURAH' TABELA FROM ESTRUTURAH WHERE NRORG = 4385 AND NRESTRUTURAH BETWEEN 167 AND 174 UNION ALL </v>
      </c>
      <c r="CC2" s="6" t="str">
        <f ca="1">"SELECT DECODE(COUNT(1),0,'OK',COUNT(1)||' conflito(s)') STATUS, '"&amp;CC4&amp;"' TABELA FROM "&amp;CC4&amp;" WHERE NRORG = "&amp;CC9&amp;" AND "&amp;CC5&amp;" BETWEEN "&amp;CC6&amp;" AND "&amp;CC7&amp;";/* UNION ALL */"</f>
        <v>SELECT DECODE(COUNT(1),0,'OK',COUNT(1)||' conflito(s)') STATUS, 'ENDERECOPARC' TABELA FROM ENDERECOPARC WHERE NRORG = 4385 AND NRENDERECOPARC BETWEEN 1719 AND 1726;/* UNION ALL */</v>
      </c>
      <c r="CD2" s="6" t="s">
        <v>79</v>
      </c>
      <c r="CE2" s="6" t="str">
        <f ca="1">"MERGE INTO NOVOCODIGO NC
  USING ( SELECT LPAD( MAX( "&amp;CE5&amp;" ) + 1, 20, '0' ) NRSEQUENCIAL
          FROM "&amp;CE4&amp;"
          WHERE NRORG = "&amp;CE9&amp;"
        ) TABELA
  ON (     NC.NRORG      = "&amp;CE9&amp;"
       AND NC.CDCONTADOR = '"&amp;CE4&amp;"' )
  WHEN     MATCHED THEN
    UPDATE SET NC.NRSEQUENCIAL = TABELA.NRSEQUENCIAL
  WHEN NOT MATCHED THEN
    INSERT ( CDCONTADOR, NRSEQUENCIAL, NRORG, DTINCLUSAO )
    VALUES ( '"&amp;CE4&amp;"', TABELA.NRSEQUENCIAL, "&amp;CE9&amp;", SYSDATE ) ;"</f>
        <v>MERGE INTO NOVOCODIGO NC
  USING ( SELECT LPAD( MAX( NRPARCNEGOCIO ) + 1, 20, '0' ) NRSEQUENCIAL
          FROM PARCNEGOCIO
          WHERE NRORG = 4385
        ) TABELA
  ON (     NC.NRORG      = 4385
       AND NC.CDCONTADOR = 'PARCNEGOCIO' )
  WHEN     MATCHED THEN
    UPDATE SET NC.NRSEQUENCIAL = TABELA.NRSEQUENCIAL
  WHEN NOT MATCHED THEN
    INSERT ( CDCONTADOR, NRSEQUENCIAL, NRORG, DTINCLUSAO )
    VALUES ( 'PARCNEGOCIO', TABELA.NRSEQUENCIAL, 4385, SYSDATE ) ;</v>
      </c>
      <c r="CF2" s="6" t="str">
        <f t="shared" ref="CF2:CH2" ca="1" si="1">"MERGE INTO NOVOCODIGO NC
  USING ( SELECT LPAD( MAX( "&amp;CF5&amp;" ) + 1, 20, '0' ) NRSEQUENCIAL
          FROM "&amp;CF4&amp;"
          WHERE NRORG = "&amp;CF9&amp;"
        ) TABELA
  ON (     NC.NRORG      = "&amp;CF9&amp;"
       AND NC.CDCONTADOR = '"&amp;CF4&amp;"' )
  WHEN     MATCHED THEN
    UPDATE SET NC.NRSEQUENCIAL = TABELA.NRSEQUENCIAL
  WHEN NOT MATCHED THEN
    INSERT ( CDCONTADOR, NRSEQUENCIAL, NRORG, DTINCLUSAO )
    VALUES ( '"&amp;CF4&amp;"', TABELA.NRSEQUENCIAL, "&amp;CF9&amp;", SYSDATE ) ;"</f>
        <v>MERGE INTO NOVOCODIGO NC
  USING ( SELECT LPAD( MAX( NRESTRUTURAM ) + 1, 20, '0' ) NRSEQUENCIAL
          FROM ESTRUTURAM
          WHERE NRORG = 4385
        ) TABELA
  ON (     NC.NRORG      = 4385
       AND NC.CDCONTADOR = 'ESTRUTURAM' )
  WHEN     MATCHED THEN
    UPDATE SET NC.NRSEQUENCIAL = TABELA.NRSEQUENCIAL
  WHEN NOT MATCHED THEN
    INSERT ( CDCONTADOR, NRSEQUENCIAL, NRORG, DTINCLUSAO )
    VALUES ( 'ESTRUTURAM', TABELA.NRSEQUENCIAL, 4385, SYSDATE ) ;</v>
      </c>
      <c r="CG2" s="6" t="str">
        <f t="shared" ca="1" si="1"/>
        <v>MERGE INTO NOVOCODIGO NC
  USING ( SELECT LPAD( MAX( NRESTRUTURAH ) + 1, 20, '0' ) NRSEQUENCIAL
          FROM ESTRUTURAH
          WHERE NRORG = 4385
        ) TABELA
  ON (     NC.NRORG      = 4385
       AND NC.CDCONTADOR = 'ESTRUTURAH' )
  WHEN     MATCHED THEN
    UPDATE SET NC.NRSEQUENCIAL = TABELA.NRSEQUENCIAL
  WHEN NOT MATCHED THEN
    INSERT ( CDCONTADOR, NRSEQUENCIAL, NRORG, DTINCLUSAO )
    VALUES ( 'ESTRUTURAH', TABELA.NRSEQUENCIAL, 4385, SYSDATE ) ;</v>
      </c>
      <c r="CH2" s="6" t="str">
        <f t="shared" ca="1" si="1"/>
        <v>MERGE INTO NOVOCODIGO NC
  USING ( SELECT LPAD( MAX( NRENDERECOPARC ) + 1, 20, '0' ) NRSEQUENCIAL
          FROM ENDERECOPARC
          WHERE NRORG = 4385
        ) TABELA
  ON (     NC.NRORG      = 4385
       AND NC.CDCONTADOR = 'ENDERECOPARC' )
  WHEN     MATCHED THEN
    UPDATE SET NC.NRSEQUENCIAL = TABELA.NRSEQUENCIAL
  WHEN NOT MATCHED THEN
    INSERT ( CDCONTADOR, NRSEQUENCIAL, NRORG, DTINCLUSAO )
    VALUES ( 'ENDERECOPARC', TABELA.NRSEQUENCIAL, 4385, SYSDATE ) ;</v>
      </c>
      <c r="CI2" s="6" t="s">
        <v>80</v>
      </c>
    </row>
    <row r="3" spans="1:87" ht="15" x14ac:dyDescent="0.25">
      <c r="A3" s="47">
        <v>5</v>
      </c>
      <c r="B3" s="47" t="s">
        <v>81</v>
      </c>
      <c r="C3" s="47"/>
      <c r="D3" s="48" t="s">
        <v>82</v>
      </c>
      <c r="E3" s="49" t="str">
        <f t="shared" ref="E3" si="2">B3</f>
        <v>01/01/2000</v>
      </c>
      <c r="F3" s="48" t="s">
        <v>83</v>
      </c>
      <c r="G3" s="47"/>
      <c r="H3" s="47" t="s">
        <v>84</v>
      </c>
      <c r="I3" s="47">
        <v>2062</v>
      </c>
      <c r="J3" s="48" t="s">
        <v>85</v>
      </c>
      <c r="K3" s="48"/>
      <c r="L3" s="48"/>
      <c r="M3" s="47"/>
      <c r="N3" s="47"/>
      <c r="O3" s="47"/>
      <c r="P3" s="47" t="s">
        <v>86</v>
      </c>
      <c r="Q3" s="48" t="s">
        <v>87</v>
      </c>
      <c r="R3" s="47" t="s">
        <v>88</v>
      </c>
      <c r="S3" s="47" t="s">
        <v>89</v>
      </c>
      <c r="T3" s="47" t="s">
        <v>90</v>
      </c>
      <c r="U3" s="47" t="s">
        <v>91</v>
      </c>
      <c r="V3" s="47">
        <v>295</v>
      </c>
      <c r="W3" s="47" t="s">
        <v>92</v>
      </c>
      <c r="X3" s="47" t="s">
        <v>93</v>
      </c>
      <c r="Y3" s="47"/>
      <c r="Z3" s="47" t="str">
        <f t="shared" ref="Z3" si="3">H3</f>
        <v>LALLEGRO ACTION TECNOLOGY INDUSTRIA E COMERCIO DE</v>
      </c>
      <c r="AA3" s="47" t="str">
        <f t="shared" ref="AA3" si="4">Z3</f>
        <v>LALLEGRO ACTION TECNOLOGY INDUSTRIA E COMERCIO DE</v>
      </c>
      <c r="AB3" s="50"/>
      <c r="AC3" s="47"/>
      <c r="AD3" s="47"/>
      <c r="AE3" s="25" t="str">
        <f>IF(COUNTIF(Base!A:A, D3)=0,"insere","não")</f>
        <v>insere</v>
      </c>
      <c r="AF3" s="23"/>
      <c r="AG3" s="23">
        <f t="shared" ref="AG3:AI3" si="5">AG2+1</f>
        <v>1739</v>
      </c>
      <c r="AH3" s="23">
        <f t="shared" si="5"/>
        <v>167</v>
      </c>
      <c r="AI3" s="23">
        <f t="shared" si="5"/>
        <v>167</v>
      </c>
      <c r="AJ3" s="23">
        <f>IF(AZ3="insere",LARGE($AJ$2:AJ2,1)+1,"")</f>
        <v>1719</v>
      </c>
      <c r="AK3" s="23" t="str">
        <f t="shared" ref="AK3:AL10" si="6">SUBSTITUTE(SUBSTITUTE(SUBSTITUTE(SUBSTITUTE(SUBSTITUTE(F3," ",""),"-",""),".",""),"/",""),"\","")</f>
        <v>03801629000200</v>
      </c>
      <c r="AL3" s="23" t="str">
        <f t="shared" si="6"/>
        <v/>
      </c>
      <c r="AM3" s="24" t="str">
        <f t="shared" ref="AM3:AM10" si="7">TRIM(SUBSTITUTE(SUBSTITUTE(H3,"'",""),"&amp;",""))</f>
        <v>LALLEGRO ACTION TECNOLOGY INDUSTRIA E COMERCIO DE</v>
      </c>
      <c r="AN3" s="23" t="str">
        <f t="shared" ref="AN3:AQ10" si="8">SUBSTITUTE(SUBSTITUTE(SUBSTITUTE(SUBSTITUTE(SUBSTITUTE(I3," ",""),"-",""),".",""),"/",""),"\","")</f>
        <v>2062</v>
      </c>
      <c r="AO3" s="23" t="str">
        <f t="shared" si="8"/>
        <v>2710403</v>
      </c>
      <c r="AP3" s="23" t="str">
        <f t="shared" si="8"/>
        <v/>
      </c>
      <c r="AQ3" s="23" t="str">
        <f t="shared" si="8"/>
        <v/>
      </c>
      <c r="AR3" s="23" t="str">
        <f t="shared" ref="AR3:AR10" si="9">IF(TRIM(N3)="","N",TRIM(N3))</f>
        <v>N</v>
      </c>
      <c r="AS3" s="23" t="str">
        <f t="shared" ref="AS3:AS10" si="10">TRIM(O3)</f>
        <v/>
      </c>
      <c r="AT3" s="23" t="str">
        <f t="shared" ref="AT3:AT10" si="11">IF( TRIM( P3 ) = "", "PRINCIPAL", UPPER( TRIM( P3 ) ) )</f>
        <v>OUTROS</v>
      </c>
      <c r="AU3" s="23" t="str">
        <f t="shared" ref="AU3:AU10" si="12">TEXT(Q3,"0000")</f>
        <v>0055</v>
      </c>
      <c r="AV3" s="23" t="str">
        <f t="shared" ref="AV3:AV10" si="13">LEFT(TRIM(SUBSTITUTE(SUBSTITUTE(R3,"'",""),"&amp;","")),2)</f>
        <v>MG</v>
      </c>
      <c r="AW3" s="24" t="str" cm="1">
        <f t="array" ref="AW3">UPPER( TRIM( MIG_REMOVER.ESPECIAL( S3 ) ) )</f>
        <v>VARGINHA</v>
      </c>
      <c r="AX3" s="24" t="str">
        <f t="shared" ref="AX3:AX10" si="14">LEFT(TRIM(SUBSTITUTE(SUBSTITUTE(SUBSTITUTE(SUBSTITUTE(SUBSTITUTE(UPPER(T3),"'",""),"&amp;",""),"Á","A"),"Ã","A"),"Ç","C")),4)</f>
        <v>AV</v>
      </c>
      <c r="AY3" s="24" t="str">
        <f t="shared" ref="AY3:AY10" si="15">TRIM(SUBSTITUTE(SUBSTITUTE(U3,"'",""),"&amp;",""))</f>
        <v>OTTO SALGADO</v>
      </c>
      <c r="AZ3" s="24" t="str">
        <f t="shared" ref="AZ3" si="16">IF(AND(AT3&lt;&gt;"",AY3&lt;&gt;""),"insere","não")</f>
        <v>insere</v>
      </c>
      <c r="BA3" s="24" t="str">
        <f t="shared" ref="BA3:BA10" si="17">TRIM(V3)</f>
        <v>295</v>
      </c>
      <c r="BB3" s="24" t="str">
        <f t="shared" ref="BB3:BB10" si="18">TRIM(SUBSTITUTE(SUBSTITUTE(W3,"'",""),"&amp;",""))</f>
        <v>DIST. IND. CLAUDIO GALVÃO NOGUEIRA</v>
      </c>
      <c r="BC3" s="23" t="str">
        <f t="shared" ref="BC3:BC10" si="19">SUBSTITUTE(SUBSTITUTE(SUBSTITUTE(SUBSTITUTE(SUBSTITUTE(X3," ",""),"-",""),".",""),"/",""),"\","")</f>
        <v>37066440</v>
      </c>
      <c r="BD3" s="24" t="str">
        <f t="shared" ref="BD3:BF10" si="20">TRIM(SUBSTITUTE(SUBSTITUTE(Y3,"'",""),"&amp;",""))</f>
        <v/>
      </c>
      <c r="BE3" s="24" t="str">
        <f t="shared" si="20"/>
        <v>LALLEGRO ACTION TECNOLOGY INDUSTRIA E COMERCIO DE</v>
      </c>
      <c r="BF3" s="24" t="str">
        <f t="shared" si="20"/>
        <v>LALLEGRO ACTION TECNOLOGY INDUSTRIA E COMERCIO DE</v>
      </c>
      <c r="BG3" s="24" t="str">
        <f t="shared" ref="BG3:BG10" si="21">IF(AM3&lt;&gt;"",AM3,IF(BE3&lt;&gt;"",BE3,IF(BF3&lt;&gt;"",BF3,"Estrutura "&amp;AH3&amp;" - "&amp;D3)))</f>
        <v>LALLEGRO ACTION TECNOLOGY INDUSTRIA E COMERCIO DE</v>
      </c>
      <c r="BH3" s="23" t="str">
        <f t="shared" ref="BH3:BH10" si="22">SUBSTITUTE(SUBSTITUTE(SUBSTITUTE(SUBSTITUTE(SUBSTITUTE(AB3," ",""),"-",""),".",""),"/",""),"\","")</f>
        <v/>
      </c>
      <c r="BI3" s="23" t="str">
        <f t="shared" ref="BI3:BI10" si="23">TEXT(B3,"DD/MM/AAAA")</f>
        <v>01/01/2000</v>
      </c>
      <c r="BJ3" s="23" t="str">
        <f t="shared" ref="BJ3:BJ10" si="24">TRIM(IF(C3="","",TEXT(C3,"DD/MM/AAAA")))</f>
        <v/>
      </c>
      <c r="BK3" s="23" t="str">
        <f t="shared" ref="BK3:BK10" si="25">IF(E3="","",TEXT(E3,"DD/MM/AAAA"))</f>
        <v>01/01/2000</v>
      </c>
      <c r="BL3" s="23" t="str">
        <f t="shared" ref="BL3:BL10" si="26">TRIM(IF(AC3="","",TEXT(AC3,"DD/MM/AAAA")))</f>
        <v/>
      </c>
      <c r="BM3" s="7" t="str">
        <f t="shared" ref="BM3:BM10" si="27">SUBSTITUTE( SUBSTITUTE( SUBSTITUTE( SUBSTITUTE( SUBSTITUTE( SUBSTITUTE( SUBSTITUTE( SUBSTITUTE( SUBSTITUTE( SUBSTITUTE( SUBSTITUTE( SUBSTITUTE( SUBSTITUTE( SUBSTITUTE( SUBSTITUTE( SUBSTITUTE( SUBSTITUTE( SUBSTITUTE( SUBSTITUTE( SUBSTITUTE( SUBSTITUTE( SUBSTITUTE( SUBSTITUTE( SUBSTITUTE( $BM$2, "@NRORG@", $AF$2 ), "@NRPARCNEGOCIO@", $AG3 ), "@NMPRINCIPALPARC@", $BG3 ), "@CNPJ@", $AK3 ), "@NRESTRUTURAM@", $AH3 ), "@NRESTRUTURA@", $D3 ), "@NRTPESTRUTURA@", $A3 ), "@DTINIVIGENCIA@", $BI3 ), "@DTFIMVIGENCIA@", $BJ3 ), "@NMESTRUTURA@", $BF3 ), "@NMFANTASIA@", $BE3 ), "@RAZAOSOCIAL@", $AM3 ), "@NRESTRUTURAH@", $AI3 ), "@COMPETENCIA@", $BK3 ), "@CEI@", $AL3 ), "@NATJURIDICA@", $AN3 ), "@CDCNAE@", $AO3 ), "@CDCAGED@", $AQ3 ), "@IDTPEMPRESA@", $M3 ), "@IDSIMPLES@", $AR3 ), "@IDPARTICIPAT@", $AS3 ), "@CDCPFESTRUTURA@", $BH3 ), "@DTBASESINDICAL@", $BL3 ), "@CDSINDICAL@", $AD3 )</f>
        <v>INSERT INTO PARCNEGOCIO ( NRORG, NRPARCNEGOCIO, NMPRINCIPALPARC, NMSECUNDARIPARC, NRINSCRICAOPARC, IDATIVO, DTINCLUSAO, NRORGINCLUSAO, CDOPERINCLUSAO, CDTIPOPARCPRINCIPAL, CDTIPOINSCRICAO, IDPESSOAFISICA, IDINSTITUICAO, IDPARCFUNDIDO ) VALUES ( 4385, 1739, 'LALLEGRO ACTION TECNOLOGY INDUSTRIA E COMERCIO DE', 'LALLEGRO ACTION TECNOLOGY INDUSTRIA E COMERCIO DE', '03801629000200', 'S', SYSDATE, 4385, '000000099991', 'ESTRUTURA', 'CNPJ', 'N', 'N', 'N' ); INSERT INTO ESTRUTURAM ( NRORG, NRESTRUTURAM, NRPARCNEGOCIO, CDINTESTRUTURA, NRTIPOESTRUTURA, DTINIVIGENCIA, DTFIMVIGENCIA, NMESTRUTURAM, IDATIVO, DTINCLUSAO, CDOPERINCLUSAO ) VALUES ( 4385, 167, 1739, '001.127', 5, '01/01/2000', '', NVL( 'LALLEGRO ACTION TECNOLOGY INDUSTRIA E COMERCIO DE', NVL( 'LALLEGRO ACTION TECNOLOGY INDUSTRIA E COMERCIO DE', 'LALLEGRO ACTION TECNOLOGY INDUSTRIA E COMERCIO DE'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167, 167, 1739, '01/01/2000', '03801629000200', '', 'LALLEGRO ACTION TECNOLOGY INDUSTRIA E COMERCIO DE', 'LALLEGRO ACTION TECNOLOGY INDUSTRIA E COMERCIO DE', NVL( 'LALLEGRO ACTION TECNOLOGY INDUSTRIA E COMERCIO DE', NVL( 'LALLEGRO ACTION TECNOLOGY INDUSTRIA E COMERCIO DE', 'LALLEGRO ACTION TECNOLOGY INDUSTRIA E COMERCIO DE' ) ), '2062', '2710403', '', '', NVL( 'N', 'N' ), '', '', '', '', 'S', SYSDATE, '000000099991');</v>
      </c>
      <c r="BN3" s="7" t="str">
        <f t="shared" ref="BN3:BN10" si="28">SUBSTITUTE( SUBSTITUTE( SUBSTITUTE( SUBSTITUTE( SUBSTITUTE( SUBSTITUTE( SUBSTITUTE( SUBSTITUTE( SUBSTITUTE( SUBSTITUTE( SUBSTITUTE( SUBSTITUTE( SUBSTITUTE( $BN$2, "@NRORG@", $AF$2 ), "@NRENDERECOPARC@", $AJ3 ), "@NRPARCNEGOCIO@", $AG3 ), "@IDENDERECO@", $AT3 ), "@CDPAIS@", $AU3 ), "@SGESTADO@", $AV3 ), "@LOGRADOURO@", $AX3 ), "@BAIRRO@", $BB3 ), "@REFERENCIAENDERECO@", $BD3 ), "@CEP@", $BC3 ), "@ENDERECO@", $AY3 ), "@NUMERO@", $BA3 ), "@MUNICIPIO@", $AW3 )</f>
        <v>INSERT INTO ENDERECOPARC ( NRORG, NRENDERECOPARC, NRPARCNEGOCIO, CDTIPOENDERECO, IDATIVO, DTINCLUSAO, CDOPERINCLUSAO, CDPAIS, SGESTADO, CDLOGRADOURO, NMBAIRROENDERECO, DSREFERENCIAENDE, NRCEPENDERECO, DSENDERECO, NRIMOVELENDERECO, CDMUNICIPIO ) VALUES ( 4385, 1719, 1739, 'OUTROS', 'S', SYSDATE, '000000099991', LPAD( '0055', 4, '0' ), 'MG', 'AV', 'DIST. IND. CLAUDIO GALVÃO NOGUEIRA', '', '37066440', 'OTTO SALGADO', '295', ( SELECT MAX( CDMUNICIPIO ) FROM MUNICIPIO WHERE UPPER( NMMUNICIPIO ) = 'VARGINHA' AND CDPAIS = LPAD( '0055', 4, '0' ) AND SGESTADO = 'MG' ) );</v>
      </c>
      <c r="BO3" s="30" t="str">
        <f>IF( AE3 &lt;&gt; "insere", "", BM3 &amp; IF( AZ3 = "insere", " " &amp; BN3, "" ) &amp; " COMMIT;" )</f>
        <v>INSERT INTO PARCNEGOCIO ( NRORG, NRPARCNEGOCIO, NMPRINCIPALPARC, NMSECUNDARIPARC, NRINSCRICAOPARC, IDATIVO, DTINCLUSAO, NRORGINCLUSAO, CDOPERINCLUSAO, CDTIPOPARCPRINCIPAL, CDTIPOINSCRICAO, IDPESSOAFISICA, IDINSTITUICAO, IDPARCFUNDIDO ) VALUES ( 4385, 1739, 'LALLEGRO ACTION TECNOLOGY INDUSTRIA E COMERCIO DE', 'LALLEGRO ACTION TECNOLOGY INDUSTRIA E COMERCIO DE', '03801629000200', 'S', SYSDATE, 4385, '000000099991', 'ESTRUTURA', 'CNPJ', 'N', 'N', 'N' ); INSERT INTO ESTRUTURAM ( NRORG, NRESTRUTURAM, NRPARCNEGOCIO, CDINTESTRUTURA, NRTIPOESTRUTURA, DTINIVIGENCIA, DTFIMVIGENCIA, NMESTRUTURAM, IDATIVO, DTINCLUSAO, CDOPERINCLUSAO ) VALUES ( 4385, 167, 1739, '001.127', 5, '01/01/2000', '', NVL( 'LALLEGRO ACTION TECNOLOGY INDUSTRIA E COMERCIO DE', NVL( 'LALLEGRO ACTION TECNOLOGY INDUSTRIA E COMERCIO DE', 'LALLEGRO ACTION TECNOLOGY INDUSTRIA E COMERCIO DE'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167, 167, 1739, '01/01/2000', '03801629000200', '', 'LALLEGRO ACTION TECNOLOGY INDUSTRIA E COMERCIO DE', 'LALLEGRO ACTION TECNOLOGY INDUSTRIA E COMERCIO DE', NVL( 'LALLEGRO ACTION TECNOLOGY INDUSTRIA E COMERCIO DE', NVL( 'LALLEGRO ACTION TECNOLOGY INDUSTRIA E COMERCIO DE', 'LALLEGRO ACTION TECNOLOGY INDUSTRIA E COMERCIO DE' ) ), '2062', '2710403', '', '', NVL( 'N', 'N' ), '', '', '', '', 'S', SYSDATE, '000000099991'); INSERT INTO ENDERECOPARC ( NRORG, NRENDERECOPARC, NRPARCNEGOCIO, CDTIPOENDERECO, IDATIVO, DTINCLUSAO, CDOPERINCLUSAO, CDPAIS, SGESTADO, CDLOGRADOURO, NMBAIRROENDERECO, DSREFERENCIAENDE, NRCEPENDERECO, DSENDERECO, NRIMOVELENDERECO, CDMUNICIPIO ) VALUES ( 4385, 1719, 1739, 'OUTROS', 'S', SYSDATE, '000000099991', LPAD( '0055', 4, '0' ), 'MG', 'AV', 'DIST. IND. CLAUDIO GALVÃO NOGUEIRA', '', '37066440', 'OTTO SALGADO', '295', ( SELECT MAX( CDMUNICIPIO ) FROM MUNICIPIO WHERE UPPER( NMMUNICIPIO ) = 'VARGINHA' AND CDPAIS = LPAD( '0055', 4, '0' ) AND SGESTADO = 'MG' ) ); COMMIT;</v>
      </c>
      <c r="BP3" s="36" t="s">
        <v>94</v>
      </c>
      <c r="BS3"/>
      <c r="BT3" s="8" t="s">
        <v>95</v>
      </c>
      <c r="BU3" s="9" t="s">
        <v>5</v>
      </c>
      <c r="BV3" s="9" t="s">
        <v>6</v>
      </c>
      <c r="BW3" s="9" t="s">
        <v>7</v>
      </c>
      <c r="BX3" s="9" t="s">
        <v>8</v>
      </c>
      <c r="BY3" s="8" t="s">
        <v>95</v>
      </c>
      <c r="BZ3" s="10" t="str">
        <f t="shared" ref="BZ3:CC7" si="29">BU3</f>
        <v>@NRPARCNEGOCIO@</v>
      </c>
      <c r="CA3" s="10" t="str">
        <f t="shared" si="29"/>
        <v>@NRESTRUTURAM@</v>
      </c>
      <c r="CB3" s="10" t="str">
        <f t="shared" si="29"/>
        <v>@NRESTRUTURAH@</v>
      </c>
      <c r="CC3" s="10" t="str">
        <f t="shared" si="29"/>
        <v>@NRENDERECOPARC@</v>
      </c>
      <c r="CD3" s="8"/>
      <c r="CE3" s="10"/>
      <c r="CF3" s="10"/>
      <c r="CG3" s="10"/>
      <c r="CH3" s="10"/>
    </row>
    <row r="4" spans="1:87" ht="15" x14ac:dyDescent="0.25">
      <c r="A4" s="47">
        <v>5</v>
      </c>
      <c r="B4" s="47" t="s">
        <v>81</v>
      </c>
      <c r="C4" s="47"/>
      <c r="D4" s="48" t="s">
        <v>96</v>
      </c>
      <c r="E4" s="49" t="str">
        <f>B4</f>
        <v>01/01/2000</v>
      </c>
      <c r="F4" s="48" t="s">
        <v>97</v>
      </c>
      <c r="G4" s="47"/>
      <c r="H4" s="47" t="s">
        <v>98</v>
      </c>
      <c r="I4" s="47">
        <v>2062</v>
      </c>
      <c r="J4" s="48" t="s">
        <v>99</v>
      </c>
      <c r="K4" s="48"/>
      <c r="L4" s="48"/>
      <c r="M4" s="47"/>
      <c r="N4" s="47"/>
      <c r="O4" s="47"/>
      <c r="P4" s="47" t="s">
        <v>86</v>
      </c>
      <c r="Q4" s="48" t="s">
        <v>87</v>
      </c>
      <c r="R4" s="47" t="s">
        <v>100</v>
      </c>
      <c r="S4" s="47" t="s">
        <v>101</v>
      </c>
      <c r="T4" s="47" t="s">
        <v>102</v>
      </c>
      <c r="U4" s="47" t="s">
        <v>103</v>
      </c>
      <c r="V4" s="47">
        <v>333</v>
      </c>
      <c r="W4" s="47" t="s">
        <v>104</v>
      </c>
      <c r="X4" s="47" t="s">
        <v>105</v>
      </c>
      <c r="Y4" s="47"/>
      <c r="Z4" s="47" t="str">
        <f>H4</f>
        <v>LALLEGRO METAGAL INDÚSTRIA E COMÉRCIO LTDA - MG</v>
      </c>
      <c r="AA4" s="47" t="str">
        <f>Z4</f>
        <v>LALLEGRO METAGAL INDÚSTRIA E COMÉRCIO LTDA - MG</v>
      </c>
      <c r="AB4" s="50"/>
      <c r="AC4" s="47"/>
      <c r="AD4" s="47"/>
      <c r="AE4" s="25" t="str">
        <f>IF(COUNTIF(Base!A:A, D4)=0,"insere","não")</f>
        <v>insere</v>
      </c>
      <c r="AF4" s="23"/>
      <c r="AG4" s="23">
        <f t="shared" ref="AG4:AI4" si="30">AG3+1</f>
        <v>1740</v>
      </c>
      <c r="AH4" s="23">
        <f t="shared" si="30"/>
        <v>168</v>
      </c>
      <c r="AI4" s="23">
        <f t="shared" si="30"/>
        <v>168</v>
      </c>
      <c r="AJ4" s="23">
        <f>IF(AZ4="insere",LARGE($AJ$2:AJ3,1)+1,"")</f>
        <v>1720</v>
      </c>
      <c r="AK4" s="23" t="str">
        <f t="shared" si="6"/>
        <v>59106377000172</v>
      </c>
      <c r="AL4" s="23" t="str">
        <f t="shared" si="6"/>
        <v/>
      </c>
      <c r="AM4" s="24" t="str">
        <f t="shared" si="7"/>
        <v>LALLEGRO METAGAL INDÚSTRIA E COMÉRCIO LTDA - MG</v>
      </c>
      <c r="AN4" s="23" t="str">
        <f t="shared" si="8"/>
        <v>2062</v>
      </c>
      <c r="AO4" s="23" t="str">
        <f t="shared" si="8"/>
        <v>2949299</v>
      </c>
      <c r="AP4" s="23" t="str">
        <f t="shared" si="8"/>
        <v/>
      </c>
      <c r="AQ4" s="23" t="str">
        <f t="shared" si="8"/>
        <v/>
      </c>
      <c r="AR4" s="23" t="str">
        <f t="shared" si="9"/>
        <v>N</v>
      </c>
      <c r="AS4" s="23" t="str">
        <f t="shared" si="10"/>
        <v/>
      </c>
      <c r="AT4" s="23" t="str">
        <f t="shared" si="11"/>
        <v>OUTROS</v>
      </c>
      <c r="AU4" s="23" t="str">
        <f t="shared" si="12"/>
        <v>0055</v>
      </c>
      <c r="AV4" s="23" t="str">
        <f t="shared" si="13"/>
        <v>MG</v>
      </c>
      <c r="AW4" s="24" t="str" cm="1">
        <f t="array" ref="AW4">UPPER( TRIM( MIG_REMOVER.ESPECIAL( S4 ) ) )</f>
        <v>SANTA RITA SAPUCAI</v>
      </c>
      <c r="AX4" s="24" t="str">
        <f t="shared" si="14"/>
        <v>ROD</v>
      </c>
      <c r="AY4" s="24" t="str">
        <f t="shared" si="15"/>
        <v>BR 459, KM 121</v>
      </c>
      <c r="AZ4" s="24" t="str">
        <f t="shared" ref="AZ4:AZ10" si="31">IF(AND(AT4&lt;&gt;"",AY4&lt;&gt;""),"insere","não")</f>
        <v>insere</v>
      </c>
      <c r="BA4" s="24" t="str">
        <f t="shared" si="17"/>
        <v>333</v>
      </c>
      <c r="BB4" s="24" t="str">
        <f t="shared" si="18"/>
        <v>DISTRITO INDUSTRIAL</v>
      </c>
      <c r="BC4" s="23" t="str">
        <f t="shared" si="19"/>
        <v>37540000</v>
      </c>
      <c r="BD4" s="24" t="str">
        <f t="shared" si="20"/>
        <v/>
      </c>
      <c r="BE4" s="24" t="str">
        <f t="shared" si="20"/>
        <v>LALLEGRO METAGAL INDÚSTRIA E COMÉRCIO LTDA - MG</v>
      </c>
      <c r="BF4" s="24" t="str">
        <f t="shared" si="20"/>
        <v>LALLEGRO METAGAL INDÚSTRIA E COMÉRCIO LTDA - MG</v>
      </c>
      <c r="BG4" s="24" t="str">
        <f t="shared" si="21"/>
        <v>LALLEGRO METAGAL INDÚSTRIA E COMÉRCIO LTDA - MG</v>
      </c>
      <c r="BH4" s="23" t="str">
        <f t="shared" si="22"/>
        <v/>
      </c>
      <c r="BI4" s="23" t="str">
        <f t="shared" si="23"/>
        <v>01/01/2000</v>
      </c>
      <c r="BJ4" s="23" t="str">
        <f t="shared" si="24"/>
        <v/>
      </c>
      <c r="BK4" s="23" t="str">
        <f t="shared" si="25"/>
        <v>01/01/2000</v>
      </c>
      <c r="BL4" s="23" t="str">
        <f t="shared" si="26"/>
        <v/>
      </c>
      <c r="BM4" s="7" t="str">
        <f t="shared" si="27"/>
        <v>INSERT INTO PARCNEGOCIO ( NRORG, NRPARCNEGOCIO, NMPRINCIPALPARC, NMSECUNDARIPARC, NRINSCRICAOPARC, IDATIVO, DTINCLUSAO, NRORGINCLUSAO, CDOPERINCLUSAO, CDTIPOPARCPRINCIPAL, CDTIPOINSCRICAO, IDPESSOAFISICA, IDINSTITUICAO, IDPARCFUNDIDO ) VALUES ( 4385, 1740, 'LALLEGRO METAGAL INDÚSTRIA E COMÉRCIO LTDA - MG', 'LALLEGRO METAGAL INDÚSTRIA E COMÉRCIO LTDA - MG', '59106377000172', 'S', SYSDATE, 4385, '000000099991', 'ESTRUTURA', 'CNPJ', 'N', 'N', 'N' ); INSERT INTO ESTRUTURAM ( NRORG, NRESTRUTURAM, NRPARCNEGOCIO, CDINTESTRUTURA, NRTIPOESTRUTURA, DTINIVIGENCIA, DTFIMVIGENCIA, NMESTRUTURAM, IDATIVO, DTINCLUSAO, CDOPERINCLUSAO ) VALUES ( 4385, 168, 1740, '001.058', 5, '01/01/2000', '', NVL( 'LALLEGRO METAGAL INDÚSTRIA E COMÉRCIO LTDA - MG', NVL( 'LALLEGRO METAGAL INDÚSTRIA E COMÉRCIO LTDA - MG', 'LALLEGRO METAGAL INDÚSTRIA E COMÉRCIO LTDA - MG'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168, 168, 1740, '01/01/2000', '59106377000172', '', 'LALLEGRO METAGAL INDÚSTRIA E COMÉRCIO LTDA - MG', 'LALLEGRO METAGAL INDÚSTRIA E COMÉRCIO LTDA - MG', NVL( 'LALLEGRO METAGAL INDÚSTRIA E COMÉRCIO LTDA - MG', NVL( 'LALLEGRO METAGAL INDÚSTRIA E COMÉRCIO LTDA - MG', 'LALLEGRO METAGAL INDÚSTRIA E COMÉRCIO LTDA - MG' ) ), '2062', '2949299', '', '', NVL( 'N', 'N' ), '', '', '', '', 'S', SYSDATE, '000000099991');</v>
      </c>
      <c r="BN4" s="7" t="str">
        <f t="shared" si="28"/>
        <v>INSERT INTO ENDERECOPARC ( NRORG, NRENDERECOPARC, NRPARCNEGOCIO, CDTIPOENDERECO, IDATIVO, DTINCLUSAO, CDOPERINCLUSAO, CDPAIS, SGESTADO, CDLOGRADOURO, NMBAIRROENDERECO, DSREFERENCIAENDE, NRCEPENDERECO, DSENDERECO, NRIMOVELENDERECO, CDMUNICIPIO ) VALUES ( 4385, 1720, 1740, 'OUTROS', 'S', SYSDATE, '000000099991', LPAD( '0055', 4, '0' ), 'MG', 'ROD', 'DISTRITO INDUSTRIAL', '', '37540000', 'BR 459, KM 121', '333', ( SELECT MAX( CDMUNICIPIO ) FROM MUNICIPIO WHERE UPPER( NMMUNICIPIO ) = 'SANTA RITA SAPUCAI' AND CDPAIS = LPAD( '0055', 4, '0' ) AND SGESTADO = 'MG' ) );</v>
      </c>
      <c r="BO4" s="30" t="str">
        <f t="shared" ref="BO4:BO10" si="32">IF( AE4 &lt;&gt; "insere", "", BM4 &amp; IF( AZ4 = "insere", " " &amp; BN4, "" ) &amp; " COMMIT;" )</f>
        <v>INSERT INTO PARCNEGOCIO ( NRORG, NRPARCNEGOCIO, NMPRINCIPALPARC, NMSECUNDARIPARC, NRINSCRICAOPARC, IDATIVO, DTINCLUSAO, NRORGINCLUSAO, CDOPERINCLUSAO, CDTIPOPARCPRINCIPAL, CDTIPOINSCRICAO, IDPESSOAFISICA, IDINSTITUICAO, IDPARCFUNDIDO ) VALUES ( 4385, 1740, 'LALLEGRO METAGAL INDÚSTRIA E COMÉRCIO LTDA - MG', 'LALLEGRO METAGAL INDÚSTRIA E COMÉRCIO LTDA - MG', '59106377000172', 'S', SYSDATE, 4385, '000000099991', 'ESTRUTURA', 'CNPJ', 'N', 'N', 'N' ); INSERT INTO ESTRUTURAM ( NRORG, NRESTRUTURAM, NRPARCNEGOCIO, CDINTESTRUTURA, NRTIPOESTRUTURA, DTINIVIGENCIA, DTFIMVIGENCIA, NMESTRUTURAM, IDATIVO, DTINCLUSAO, CDOPERINCLUSAO ) VALUES ( 4385, 168, 1740, '001.058', 5, '01/01/2000', '', NVL( 'LALLEGRO METAGAL INDÚSTRIA E COMÉRCIO LTDA - MG', NVL( 'LALLEGRO METAGAL INDÚSTRIA E COMÉRCIO LTDA - MG', 'LALLEGRO METAGAL INDÚSTRIA E COMÉRCIO LTDA - MG'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168, 168, 1740, '01/01/2000', '59106377000172', '', 'LALLEGRO METAGAL INDÚSTRIA E COMÉRCIO LTDA - MG', 'LALLEGRO METAGAL INDÚSTRIA E COMÉRCIO LTDA - MG', NVL( 'LALLEGRO METAGAL INDÚSTRIA E COMÉRCIO LTDA - MG', NVL( 'LALLEGRO METAGAL INDÚSTRIA E COMÉRCIO LTDA - MG', 'LALLEGRO METAGAL INDÚSTRIA E COMÉRCIO LTDA - MG' ) ), '2062', '2949299', '', '', NVL( 'N', 'N' ), '', '', '', '', 'S', SYSDATE, '000000099991'); INSERT INTO ENDERECOPARC ( NRORG, NRENDERECOPARC, NRPARCNEGOCIO, CDTIPOENDERECO, IDATIVO, DTINCLUSAO, CDOPERINCLUSAO, CDPAIS, SGESTADO, CDLOGRADOURO, NMBAIRROENDERECO, DSREFERENCIAENDE, NRCEPENDERECO, DSENDERECO, NRIMOVELENDERECO, CDMUNICIPIO ) VALUES ( 4385, 1720, 1740, 'OUTROS', 'S', SYSDATE, '000000099991', LPAD( '0055', 4, '0' ), 'MG', 'ROD', 'DISTRITO INDUSTRIAL', '', '37540000', 'BR 459, KM 121', '333', ( SELECT MAX( CDMUNICIPIO ) FROM MUNICIPIO WHERE UPPER( NMMUNICIPIO ) = 'SANTA RITA SAPUCAI' AND CDPAIS = LPAD( '0055', 4, '0' ) AND SGESTADO = 'MG' ) ); COMMIT;</v>
      </c>
      <c r="BP4" s="34" t="s">
        <v>106</v>
      </c>
      <c r="BQ4" s="34">
        <f>COUNTA( A:A )</f>
        <v>10</v>
      </c>
      <c r="BS4"/>
      <c r="BT4" s="8" t="s">
        <v>107</v>
      </c>
      <c r="BU4" s="9" t="s">
        <v>108</v>
      </c>
      <c r="BV4" s="11" t="s">
        <v>109</v>
      </c>
      <c r="BW4" s="11" t="s">
        <v>110</v>
      </c>
      <c r="BX4" s="11" t="s">
        <v>111</v>
      </c>
      <c r="BY4" s="8" t="s">
        <v>107</v>
      </c>
      <c r="BZ4" s="10" t="str">
        <f t="shared" si="29"/>
        <v>PARCNEGOCIO</v>
      </c>
      <c r="CA4" s="10" t="str">
        <f t="shared" si="29"/>
        <v>ESTRUTURAM</v>
      </c>
      <c r="CB4" s="10" t="str">
        <f t="shared" si="29"/>
        <v>ESTRUTURAH</v>
      </c>
      <c r="CC4" s="10" t="str">
        <f t="shared" si="29"/>
        <v>ENDERECOPARC</v>
      </c>
      <c r="CD4" s="8" t="s">
        <v>107</v>
      </c>
      <c r="CE4" s="10" t="str">
        <f t="shared" ref="CE4:CE5" si="33">BZ4</f>
        <v>PARCNEGOCIO</v>
      </c>
      <c r="CF4" s="10" t="str">
        <f t="shared" ref="CF4:CF5" si="34">CA4</f>
        <v>ESTRUTURAM</v>
      </c>
      <c r="CG4" s="10" t="str">
        <f t="shared" ref="CG4:CG5" si="35">CB4</f>
        <v>ESTRUTURAH</v>
      </c>
      <c r="CH4" s="10" t="str">
        <f t="shared" ref="CH4:CH5" si="36">CC4</f>
        <v>ENDERECOPARC</v>
      </c>
    </row>
    <row r="5" spans="1:87" ht="15" x14ac:dyDescent="0.25">
      <c r="A5" s="47">
        <v>5</v>
      </c>
      <c r="B5" s="47" t="s">
        <v>81</v>
      </c>
      <c r="C5" s="47"/>
      <c r="D5" s="48" t="s">
        <v>112</v>
      </c>
      <c r="E5" s="49" t="str">
        <f>B5</f>
        <v>01/01/2000</v>
      </c>
      <c r="F5" s="48" t="s">
        <v>113</v>
      </c>
      <c r="G5" s="47"/>
      <c r="H5" s="47" t="s">
        <v>114</v>
      </c>
      <c r="I5" s="47">
        <v>2062</v>
      </c>
      <c r="J5" s="48" t="s">
        <v>115</v>
      </c>
      <c r="K5" s="48"/>
      <c r="L5" s="48"/>
      <c r="M5" s="47"/>
      <c r="N5" s="47"/>
      <c r="O5" s="47"/>
      <c r="P5" s="47" t="s">
        <v>86</v>
      </c>
      <c r="Q5" s="48" t="s">
        <v>87</v>
      </c>
      <c r="R5" s="47" t="s">
        <v>116</v>
      </c>
      <c r="S5" s="47" t="s">
        <v>117</v>
      </c>
      <c r="T5" s="47" t="s">
        <v>118</v>
      </c>
      <c r="U5" s="47" t="s">
        <v>119</v>
      </c>
      <c r="V5" s="47">
        <v>225</v>
      </c>
      <c r="W5" s="47" t="s">
        <v>120</v>
      </c>
      <c r="X5" s="47" t="s">
        <v>121</v>
      </c>
      <c r="Y5" s="47"/>
      <c r="Z5" s="47" t="str">
        <f>H5</f>
        <v>LALLEGRO HYDAC TECNOLOGIA LTDA</v>
      </c>
      <c r="AA5" s="47" t="str">
        <f>Z5</f>
        <v>LALLEGRO HYDAC TECNOLOGIA LTDA</v>
      </c>
      <c r="AB5" s="50"/>
      <c r="AC5" s="47"/>
      <c r="AD5" s="47"/>
      <c r="AE5" s="25" t="str">
        <f>IF(COUNTIF(Base!A:A, D5)=0,"insere","não")</f>
        <v>insere</v>
      </c>
      <c r="AF5" s="23"/>
      <c r="AG5" s="23">
        <f t="shared" ref="AG5:AI5" si="37">AG4+1</f>
        <v>1741</v>
      </c>
      <c r="AH5" s="23">
        <f t="shared" si="37"/>
        <v>169</v>
      </c>
      <c r="AI5" s="23">
        <f t="shared" si="37"/>
        <v>169</v>
      </c>
      <c r="AJ5" s="23">
        <f>IF(AZ5="insere",LARGE($AJ$2:AJ4,1)+1,"")</f>
        <v>1721</v>
      </c>
      <c r="AK5" s="23" t="str">
        <f t="shared" si="6"/>
        <v>01697279000177</v>
      </c>
      <c r="AL5" s="23" t="str">
        <f t="shared" si="6"/>
        <v/>
      </c>
      <c r="AM5" s="24" t="str">
        <f t="shared" si="7"/>
        <v>LALLEGRO HYDAC TECNOLOGIA LTDA</v>
      </c>
      <c r="AN5" s="23" t="str">
        <f t="shared" si="8"/>
        <v>2062</v>
      </c>
      <c r="AO5" s="23" t="str">
        <f t="shared" si="8"/>
        <v>2815102</v>
      </c>
      <c r="AP5" s="23" t="str">
        <f t="shared" si="8"/>
        <v/>
      </c>
      <c r="AQ5" s="23" t="str">
        <f t="shared" si="8"/>
        <v/>
      </c>
      <c r="AR5" s="23" t="str">
        <f t="shared" si="9"/>
        <v>N</v>
      </c>
      <c r="AS5" s="23" t="str">
        <f t="shared" si="10"/>
        <v/>
      </c>
      <c r="AT5" s="23" t="str">
        <f t="shared" si="11"/>
        <v>OUTROS</v>
      </c>
      <c r="AU5" s="23" t="str">
        <f t="shared" si="12"/>
        <v>0055</v>
      </c>
      <c r="AV5" s="23" t="str">
        <f t="shared" si="13"/>
        <v>SP</v>
      </c>
      <c r="AW5" s="24" t="str" cm="1">
        <f t="array" ref="AW5">UPPER( TRIM( MIG_REMOVER.ESPECIAL( S5 ) ) )</f>
        <v>SAO BERNARDO DO CAMPO</v>
      </c>
      <c r="AX5" s="24" t="str">
        <f t="shared" si="14"/>
        <v>CJ</v>
      </c>
      <c r="AY5" s="24" t="str">
        <f t="shared" si="15"/>
        <v>FUKUTARO YIDA</v>
      </c>
      <c r="AZ5" s="24" t="str">
        <f t="shared" si="31"/>
        <v>insere</v>
      </c>
      <c r="BA5" s="24" t="str">
        <f t="shared" si="17"/>
        <v>225</v>
      </c>
      <c r="BB5" s="24" t="str">
        <f t="shared" si="18"/>
        <v>COOPERATIVA</v>
      </c>
      <c r="BC5" s="23" t="str">
        <f t="shared" si="19"/>
        <v>09852060</v>
      </c>
      <c r="BD5" s="24" t="str">
        <f t="shared" si="20"/>
        <v/>
      </c>
      <c r="BE5" s="24" t="str">
        <f t="shared" si="20"/>
        <v>LALLEGRO HYDAC TECNOLOGIA LTDA</v>
      </c>
      <c r="BF5" s="24" t="str">
        <f t="shared" si="20"/>
        <v>LALLEGRO HYDAC TECNOLOGIA LTDA</v>
      </c>
      <c r="BG5" s="24" t="str">
        <f t="shared" si="21"/>
        <v>LALLEGRO HYDAC TECNOLOGIA LTDA</v>
      </c>
      <c r="BH5" s="23" t="str">
        <f t="shared" si="22"/>
        <v/>
      </c>
      <c r="BI5" s="23" t="str">
        <f t="shared" si="23"/>
        <v>01/01/2000</v>
      </c>
      <c r="BJ5" s="23" t="str">
        <f t="shared" si="24"/>
        <v/>
      </c>
      <c r="BK5" s="23" t="str">
        <f t="shared" si="25"/>
        <v>01/01/2000</v>
      </c>
      <c r="BL5" s="23" t="str">
        <f t="shared" si="26"/>
        <v/>
      </c>
      <c r="BM5" s="7" t="str">
        <f t="shared" si="27"/>
        <v>INSERT INTO PARCNEGOCIO ( NRORG, NRPARCNEGOCIO, NMPRINCIPALPARC, NMSECUNDARIPARC, NRINSCRICAOPARC, IDATIVO, DTINCLUSAO, NRORGINCLUSAO, CDOPERINCLUSAO, CDTIPOPARCPRINCIPAL, CDTIPOINSCRICAO, IDPESSOAFISICA, IDINSTITUICAO, IDPARCFUNDIDO ) VALUES ( 4385, 1741, 'LALLEGRO HYDAC TECNOLOGIA LTDA', 'LALLEGRO HYDAC TECNOLOGIA LTDA', '01697279000177', 'S', SYSDATE, 4385, '000000099991', 'ESTRUTURA', 'CNPJ', 'N', 'N', 'N' ); INSERT INTO ESTRUTURAM ( NRORG, NRESTRUTURAM, NRPARCNEGOCIO, CDINTESTRUTURA, NRTIPOESTRUTURA, DTINIVIGENCIA, DTFIMVIGENCIA, NMESTRUTURAM, IDATIVO, DTINCLUSAO, CDOPERINCLUSAO ) VALUES ( 4385, 169, 1741, '001.079', 5, '01/01/2000', '', NVL( 'LALLEGRO HYDAC TECNOLOGIA LTDA', NVL( 'LALLEGRO HYDAC TECNOLOGIA LTDA', 'LALLEGRO HYDAC TECNOLOGIA LTDA'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169, 169, 1741, '01/01/2000', '01697279000177', '', 'LALLEGRO HYDAC TECNOLOGIA LTDA', 'LALLEGRO HYDAC TECNOLOGIA LTDA', NVL( 'LALLEGRO HYDAC TECNOLOGIA LTDA', NVL( 'LALLEGRO HYDAC TECNOLOGIA LTDA', 'LALLEGRO HYDAC TECNOLOGIA LTDA' ) ), '2062', '2815102', '', '', NVL( 'N', 'N' ), '', '', '', '', 'S', SYSDATE, '000000099991');</v>
      </c>
      <c r="BN5" s="7" t="str">
        <f t="shared" si="28"/>
        <v>INSERT INTO ENDERECOPARC ( NRORG, NRENDERECOPARC, NRPARCNEGOCIO, CDTIPOENDERECO, IDATIVO, DTINCLUSAO, CDOPERINCLUSAO, CDPAIS, SGESTADO, CDLOGRADOURO, NMBAIRROENDERECO, DSREFERENCIAENDE, NRCEPENDERECO, DSENDERECO, NRIMOVELENDERECO, CDMUNICIPIO ) VALUES ( 4385, 1721, 1741, 'OUTROS', 'S', SYSDATE, '000000099991', LPAD( '0055', 4, '0' ), 'SP', 'CJ', 'COOPERATIVA', '', '09852060', 'FUKUTARO YIDA', '225', ( SELECT MAX( CDMUNICIPIO ) FROM MUNICIPIO WHERE UPPER( NMMUNICIPIO ) = 'SAO BERNARDO DO CAMPO' AND CDPAIS = LPAD( '0055', 4, '0' ) AND SGESTADO = 'SP' ) );</v>
      </c>
      <c r="BO5" s="30" t="str">
        <f t="shared" si="32"/>
        <v>INSERT INTO PARCNEGOCIO ( NRORG, NRPARCNEGOCIO, NMPRINCIPALPARC, NMSECUNDARIPARC, NRINSCRICAOPARC, IDATIVO, DTINCLUSAO, NRORGINCLUSAO, CDOPERINCLUSAO, CDTIPOPARCPRINCIPAL, CDTIPOINSCRICAO, IDPESSOAFISICA, IDINSTITUICAO, IDPARCFUNDIDO ) VALUES ( 4385, 1741, 'LALLEGRO HYDAC TECNOLOGIA LTDA', 'LALLEGRO HYDAC TECNOLOGIA LTDA', '01697279000177', 'S', SYSDATE, 4385, '000000099991', 'ESTRUTURA', 'CNPJ', 'N', 'N', 'N' ); INSERT INTO ESTRUTURAM ( NRORG, NRESTRUTURAM, NRPARCNEGOCIO, CDINTESTRUTURA, NRTIPOESTRUTURA, DTINIVIGENCIA, DTFIMVIGENCIA, NMESTRUTURAM, IDATIVO, DTINCLUSAO, CDOPERINCLUSAO ) VALUES ( 4385, 169, 1741, '001.079', 5, '01/01/2000', '', NVL( 'LALLEGRO HYDAC TECNOLOGIA LTDA', NVL( 'LALLEGRO HYDAC TECNOLOGIA LTDA', 'LALLEGRO HYDAC TECNOLOGIA LTDA'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169, 169, 1741, '01/01/2000', '01697279000177', '', 'LALLEGRO HYDAC TECNOLOGIA LTDA', 'LALLEGRO HYDAC TECNOLOGIA LTDA', NVL( 'LALLEGRO HYDAC TECNOLOGIA LTDA', NVL( 'LALLEGRO HYDAC TECNOLOGIA LTDA', 'LALLEGRO HYDAC TECNOLOGIA LTDA' ) ), '2062', '2815102', '', '', NVL( 'N', 'N' ), '', '', '', '', 'S', SYSDATE, '000000099991'); INSERT INTO ENDERECOPARC ( NRORG, NRENDERECOPARC, NRPARCNEGOCIO, CDTIPOENDERECO, IDATIVO, DTINCLUSAO, CDOPERINCLUSAO, CDPAIS, SGESTADO, CDLOGRADOURO, NMBAIRROENDERECO, DSREFERENCIAENDE, NRCEPENDERECO, DSENDERECO, NRIMOVELENDERECO, CDMUNICIPIO ) VALUES ( 4385, 1721, 1741, 'OUTROS', 'S', SYSDATE, '000000099991', LPAD( '0055', 4, '0' ), 'SP', 'CJ', 'COOPERATIVA', '', '09852060', 'FUKUTARO YIDA', '225', ( SELECT MAX( CDMUNICIPIO ) FROM MUNICIPIO WHERE UPPER( NMMUNICIPIO ) = 'SAO BERNARDO DO CAMPO' AND CDPAIS = LPAD( '0055', 4, '0' ) AND SGESTADO = 'SP' ) ); COMMIT;</v>
      </c>
      <c r="BP5" s="34" t="s">
        <v>122</v>
      </c>
      <c r="BQ5" s="35" t="str">
        <f>"D2:D" &amp; BQ4</f>
        <v>D2:D10</v>
      </c>
      <c r="BR5" s="35"/>
      <c r="BS5"/>
      <c r="BT5" s="8" t="s">
        <v>123</v>
      </c>
      <c r="BU5" s="9" t="s">
        <v>124</v>
      </c>
      <c r="BV5" s="11" t="s">
        <v>125</v>
      </c>
      <c r="BW5" s="11" t="s">
        <v>126</v>
      </c>
      <c r="BX5" s="11" t="s">
        <v>127</v>
      </c>
      <c r="BY5" s="8" t="s">
        <v>123</v>
      </c>
      <c r="BZ5" s="10" t="str">
        <f t="shared" si="29"/>
        <v>NRPARCNEGOCIO</v>
      </c>
      <c r="CA5" s="10" t="str">
        <f t="shared" si="29"/>
        <v>NRESTRUTURAM</v>
      </c>
      <c r="CB5" s="10" t="str">
        <f t="shared" si="29"/>
        <v>NRESTRUTURAH</v>
      </c>
      <c r="CC5" s="10" t="str">
        <f t="shared" si="29"/>
        <v>NRENDERECOPARC</v>
      </c>
      <c r="CD5" s="8" t="s">
        <v>123</v>
      </c>
      <c r="CE5" s="10" t="str">
        <f t="shared" si="33"/>
        <v>NRPARCNEGOCIO</v>
      </c>
      <c r="CF5" s="10" t="str">
        <f t="shared" si="34"/>
        <v>NRESTRUTURAM</v>
      </c>
      <c r="CG5" s="10" t="str">
        <f t="shared" si="35"/>
        <v>NRESTRUTURAH</v>
      </c>
      <c r="CH5" s="10" t="str">
        <f t="shared" si="36"/>
        <v>NRENDERECOPARC</v>
      </c>
    </row>
    <row r="6" spans="1:87" ht="15" x14ac:dyDescent="0.25">
      <c r="A6" s="47">
        <v>5</v>
      </c>
      <c r="B6" s="47" t="s">
        <v>81</v>
      </c>
      <c r="C6" s="47"/>
      <c r="D6" s="48" t="s">
        <v>128</v>
      </c>
      <c r="E6" s="49" t="str">
        <f t="shared" ref="E6" si="38">B6</f>
        <v>01/01/2000</v>
      </c>
      <c r="F6" s="48" t="s">
        <v>129</v>
      </c>
      <c r="G6" s="47"/>
      <c r="H6" s="47" t="s">
        <v>130</v>
      </c>
      <c r="I6" s="47">
        <v>2062</v>
      </c>
      <c r="J6" s="48" t="s">
        <v>131</v>
      </c>
      <c r="K6" s="48"/>
      <c r="L6" s="48"/>
      <c r="M6" s="47"/>
      <c r="N6" s="47"/>
      <c r="O6" s="47"/>
      <c r="P6" s="47" t="s">
        <v>86</v>
      </c>
      <c r="Q6" s="48" t="s">
        <v>87</v>
      </c>
      <c r="R6" s="47" t="s">
        <v>116</v>
      </c>
      <c r="S6" s="47" t="s">
        <v>132</v>
      </c>
      <c r="T6" s="47" t="s">
        <v>90</v>
      </c>
      <c r="U6" s="47" t="s">
        <v>133</v>
      </c>
      <c r="V6" s="47">
        <v>4402</v>
      </c>
      <c r="W6" s="47" t="s">
        <v>134</v>
      </c>
      <c r="X6" s="47" t="s">
        <v>135</v>
      </c>
      <c r="Y6" s="47"/>
      <c r="Z6" s="47" t="str">
        <f t="shared" ref="Z6" si="39">H6</f>
        <v>LALLEGRO VCI DO BRASIL INDUSTRIA E COMÉRCIO DE CO</v>
      </c>
      <c r="AA6" s="47" t="str">
        <f t="shared" ref="AA6" si="40">Z6</f>
        <v>LALLEGRO VCI DO BRASIL INDUSTRIA E COMÉRCIO DE CO</v>
      </c>
      <c r="AB6" s="50"/>
      <c r="AC6" s="47"/>
      <c r="AD6" s="47"/>
      <c r="AE6" s="25" t="str">
        <f>IF(COUNTIF(Base!A:A, D6)=0,"insere","não")</f>
        <v>insere</v>
      </c>
      <c r="AF6" s="23"/>
      <c r="AG6" s="23">
        <f t="shared" ref="AG6:AI6" si="41">AG5+1</f>
        <v>1742</v>
      </c>
      <c r="AH6" s="23">
        <f t="shared" si="41"/>
        <v>170</v>
      </c>
      <c r="AI6" s="23">
        <f t="shared" si="41"/>
        <v>170</v>
      </c>
      <c r="AJ6" s="23">
        <f>IF(AZ6="insere",LARGE($AJ$2:AJ5,1)+1,"")</f>
        <v>1722</v>
      </c>
      <c r="AK6" s="23" t="str">
        <f t="shared" si="6"/>
        <v>19076738000160</v>
      </c>
      <c r="AL6" s="23" t="str">
        <f t="shared" si="6"/>
        <v/>
      </c>
      <c r="AM6" s="24" t="str">
        <f t="shared" si="7"/>
        <v>LALLEGRO VCI DO BRASIL INDUSTRIA E COMÉRCIO DE CO</v>
      </c>
      <c r="AN6" s="23" t="str">
        <f t="shared" si="8"/>
        <v>2062</v>
      </c>
      <c r="AO6" s="23" t="str">
        <f t="shared" si="8"/>
        <v>2229302</v>
      </c>
      <c r="AP6" s="23" t="str">
        <f t="shared" si="8"/>
        <v/>
      </c>
      <c r="AQ6" s="23" t="str">
        <f t="shared" si="8"/>
        <v/>
      </c>
      <c r="AR6" s="23" t="str">
        <f t="shared" si="9"/>
        <v>N</v>
      </c>
      <c r="AS6" s="23" t="str">
        <f t="shared" si="10"/>
        <v/>
      </c>
      <c r="AT6" s="23" t="str">
        <f t="shared" si="11"/>
        <v>OUTROS</v>
      </c>
      <c r="AU6" s="23" t="str">
        <f t="shared" si="12"/>
        <v>0055</v>
      </c>
      <c r="AV6" s="23" t="str">
        <f t="shared" si="13"/>
        <v>SP</v>
      </c>
      <c r="AW6" s="24" t="str" cm="1">
        <f t="array" ref="AW6">UPPER( TRIM( MIG_REMOVER.ESPECIAL( S6 ) ) )</f>
        <v>ITUPEVA</v>
      </c>
      <c r="AX6" s="24" t="str">
        <f t="shared" si="14"/>
        <v>AV</v>
      </c>
      <c r="AY6" s="24" t="str">
        <f t="shared" si="15"/>
        <v>EMILIO CHECHINATO</v>
      </c>
      <c r="AZ6" s="24" t="str">
        <f t="shared" si="31"/>
        <v>insere</v>
      </c>
      <c r="BA6" s="24" t="str">
        <f t="shared" si="17"/>
        <v>4402</v>
      </c>
      <c r="BB6" s="24" t="str">
        <f t="shared" si="18"/>
        <v>SÃO ROQUE DA CHAVE</v>
      </c>
      <c r="BC6" s="23" t="str">
        <f t="shared" si="19"/>
        <v>13295030</v>
      </c>
      <c r="BD6" s="24" t="str">
        <f t="shared" si="20"/>
        <v/>
      </c>
      <c r="BE6" s="24" t="str">
        <f t="shared" si="20"/>
        <v>LALLEGRO VCI DO BRASIL INDUSTRIA E COMÉRCIO DE CO</v>
      </c>
      <c r="BF6" s="24" t="str">
        <f t="shared" si="20"/>
        <v>LALLEGRO VCI DO BRASIL INDUSTRIA E COMÉRCIO DE CO</v>
      </c>
      <c r="BG6" s="24" t="str">
        <f t="shared" si="21"/>
        <v>LALLEGRO VCI DO BRASIL INDUSTRIA E COMÉRCIO DE CO</v>
      </c>
      <c r="BH6" s="23" t="str">
        <f t="shared" si="22"/>
        <v/>
      </c>
      <c r="BI6" s="23" t="str">
        <f t="shared" si="23"/>
        <v>01/01/2000</v>
      </c>
      <c r="BJ6" s="23" t="str">
        <f t="shared" si="24"/>
        <v/>
      </c>
      <c r="BK6" s="23" t="str">
        <f t="shared" si="25"/>
        <v>01/01/2000</v>
      </c>
      <c r="BL6" s="23" t="str">
        <f t="shared" si="26"/>
        <v/>
      </c>
      <c r="BM6" s="7" t="str">
        <f t="shared" si="27"/>
        <v>INSERT INTO PARCNEGOCIO ( NRORG, NRPARCNEGOCIO, NMPRINCIPALPARC, NMSECUNDARIPARC, NRINSCRICAOPARC, IDATIVO, DTINCLUSAO, NRORGINCLUSAO, CDOPERINCLUSAO, CDTIPOPARCPRINCIPAL, CDTIPOINSCRICAO, IDPESSOAFISICA, IDINSTITUICAO, IDPARCFUNDIDO ) VALUES ( 4385, 1742, 'LALLEGRO VCI DO BRASIL INDUSTRIA E COMÉRCIO DE CO', 'LALLEGRO VCI DO BRASIL INDUSTRIA E COMÉRCIO DE CO', '19076738000160', 'S', SYSDATE, 4385, '000000099991', 'ESTRUTURA', 'CNPJ', 'N', 'N', 'N' ); INSERT INTO ESTRUTURAM ( NRORG, NRESTRUTURAM, NRPARCNEGOCIO, CDINTESTRUTURA, NRTIPOESTRUTURA, DTINIVIGENCIA, DTFIMVIGENCIA, NMESTRUTURAM, IDATIVO, DTINCLUSAO, CDOPERINCLUSAO ) VALUES ( 4385, 170, 1742, '001.122VCI', 5, '01/01/2000', '', NVL( 'LALLEGRO VCI DO BRASIL INDUSTRIA E COMÉRCIO DE CO', NVL( 'LALLEGRO VCI DO BRASIL INDUSTRIA E COMÉRCIO DE CO', 'LALLEGRO VCI DO BRASIL INDUSTRIA E COMÉRCIO DE CO'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170, 170, 1742, '01/01/2000', '19076738000160', '', 'LALLEGRO VCI DO BRASIL INDUSTRIA E COMÉRCIO DE CO', 'LALLEGRO VCI DO BRASIL INDUSTRIA E COMÉRCIO DE CO', NVL( 'LALLEGRO VCI DO BRASIL INDUSTRIA E COMÉRCIO DE CO', NVL( 'LALLEGRO VCI DO BRASIL INDUSTRIA E COMÉRCIO DE CO', 'LALLEGRO VCI DO BRASIL INDUSTRIA E COMÉRCIO DE CO' ) ), '2062', '2229302', '', '', NVL( 'N', 'N' ), '', '', '', '', 'S', SYSDATE, '000000099991');</v>
      </c>
      <c r="BN6" s="7" t="str">
        <f t="shared" si="28"/>
        <v>INSERT INTO ENDERECOPARC ( NRORG, NRENDERECOPARC, NRPARCNEGOCIO, CDTIPOENDERECO, IDATIVO, DTINCLUSAO, CDOPERINCLUSAO, CDPAIS, SGESTADO, CDLOGRADOURO, NMBAIRROENDERECO, DSREFERENCIAENDE, NRCEPENDERECO, DSENDERECO, NRIMOVELENDERECO, CDMUNICIPIO ) VALUES ( 4385, 1722, 1742, 'OUTROS', 'S', SYSDATE, '000000099991', LPAD( '0055', 4, '0' ), 'SP', 'AV', 'SÃO ROQUE DA CHAVE', '', '13295030', 'EMILIO CHECHINATO', '4402', ( SELECT MAX( CDMUNICIPIO ) FROM MUNICIPIO WHERE UPPER( NMMUNICIPIO ) = 'ITUPEVA' AND CDPAIS = LPAD( '0055', 4, '0' ) AND SGESTADO = 'SP' ) );</v>
      </c>
      <c r="BO6" s="30" t="str">
        <f t="shared" si="32"/>
        <v>INSERT INTO PARCNEGOCIO ( NRORG, NRPARCNEGOCIO, NMPRINCIPALPARC, NMSECUNDARIPARC, NRINSCRICAOPARC, IDATIVO, DTINCLUSAO, NRORGINCLUSAO, CDOPERINCLUSAO, CDTIPOPARCPRINCIPAL, CDTIPOINSCRICAO, IDPESSOAFISICA, IDINSTITUICAO, IDPARCFUNDIDO ) VALUES ( 4385, 1742, 'LALLEGRO VCI DO BRASIL INDUSTRIA E COMÉRCIO DE CO', 'LALLEGRO VCI DO BRASIL INDUSTRIA E COMÉRCIO DE CO', '19076738000160', 'S', SYSDATE, 4385, '000000099991', 'ESTRUTURA', 'CNPJ', 'N', 'N', 'N' ); INSERT INTO ESTRUTURAM ( NRORG, NRESTRUTURAM, NRPARCNEGOCIO, CDINTESTRUTURA, NRTIPOESTRUTURA, DTINIVIGENCIA, DTFIMVIGENCIA, NMESTRUTURAM, IDATIVO, DTINCLUSAO, CDOPERINCLUSAO ) VALUES ( 4385, 170, 1742, '001.122VCI', 5, '01/01/2000', '', NVL( 'LALLEGRO VCI DO BRASIL INDUSTRIA E COMÉRCIO DE CO', NVL( 'LALLEGRO VCI DO BRASIL INDUSTRIA E COMÉRCIO DE CO', 'LALLEGRO VCI DO BRASIL INDUSTRIA E COMÉRCIO DE CO'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170, 170, 1742, '01/01/2000', '19076738000160', '', 'LALLEGRO VCI DO BRASIL INDUSTRIA E COMÉRCIO DE CO', 'LALLEGRO VCI DO BRASIL INDUSTRIA E COMÉRCIO DE CO', NVL( 'LALLEGRO VCI DO BRASIL INDUSTRIA E COMÉRCIO DE CO', NVL( 'LALLEGRO VCI DO BRASIL INDUSTRIA E COMÉRCIO DE CO', 'LALLEGRO VCI DO BRASIL INDUSTRIA E COMÉRCIO DE CO' ) ), '2062', '2229302', '', '', NVL( 'N', 'N' ), '', '', '', '', 'S', SYSDATE, '000000099991'); INSERT INTO ENDERECOPARC ( NRORG, NRENDERECOPARC, NRPARCNEGOCIO, CDTIPOENDERECO, IDATIVO, DTINCLUSAO, CDOPERINCLUSAO, CDPAIS, SGESTADO, CDLOGRADOURO, NMBAIRROENDERECO, DSREFERENCIAENDE, NRCEPENDERECO, DSENDERECO, NRIMOVELENDERECO, CDMUNICIPIO ) VALUES ( 4385, 1722, 1742, 'OUTROS', 'S', SYSDATE, '000000099991', LPAD( '0055', 4, '0' ), 'SP', 'AV', 'SÃO ROQUE DA CHAVE', '', '13295030', 'EMILIO CHECHINATO', '4402', ( SELECT MAX( CDMUNICIPIO ) FROM MUNICIPIO WHERE UPPER( NMMUNICIPIO ) = 'ITUPEVA' AND CDPAIS = LPAD( '0055', 4, '0' ) AND SGESTADO = 'SP' ) ); COMMIT;</v>
      </c>
      <c r="BP6" s="36" t="s">
        <v>136</v>
      </c>
      <c r="BS6"/>
      <c r="BT6" s="8" t="s">
        <v>137</v>
      </c>
      <c r="BU6" s="12">
        <f ca="1">MIN(OFFSET($A$1,2,MATCH(BU$3,$1:$1,0)-1,1048574,1))</f>
        <v>1739</v>
      </c>
      <c r="BV6" s="12">
        <f ca="1">MIN(OFFSET($A$1,2,MATCH(BV$3,$1:$1,0)-1,1048574,1))</f>
        <v>167</v>
      </c>
      <c r="BW6" s="12">
        <f ca="1">MIN(OFFSET($A$1,2,MATCH(BW$3,$1:$1,0)-1,1048574,1))</f>
        <v>167</v>
      </c>
      <c r="BX6" s="12">
        <f ca="1">MIN(OFFSET($A$1,2,MATCH(BX$3,$1:$1,0)-1,1048574,1))</f>
        <v>1719</v>
      </c>
      <c r="BY6" s="8" t="s">
        <v>137</v>
      </c>
      <c r="BZ6" s="10">
        <f t="shared" ca="1" si="29"/>
        <v>1739</v>
      </c>
      <c r="CA6" s="10">
        <f t="shared" ca="1" si="29"/>
        <v>167</v>
      </c>
      <c r="CB6" s="10">
        <f t="shared" ca="1" si="29"/>
        <v>167</v>
      </c>
      <c r="CC6" s="10">
        <f t="shared" ca="1" si="29"/>
        <v>1719</v>
      </c>
      <c r="CD6" s="8"/>
      <c r="CE6" s="10"/>
      <c r="CF6" s="10"/>
      <c r="CG6" s="10"/>
      <c r="CH6" s="10"/>
    </row>
    <row r="7" spans="1:87" ht="15" x14ac:dyDescent="0.25">
      <c r="A7" s="47">
        <v>5</v>
      </c>
      <c r="B7" s="47" t="s">
        <v>81</v>
      </c>
      <c r="C7" s="47"/>
      <c r="D7" s="48" t="s">
        <v>138</v>
      </c>
      <c r="E7" s="49" t="str">
        <f>B7</f>
        <v>01/01/2000</v>
      </c>
      <c r="F7" s="48" t="s">
        <v>139</v>
      </c>
      <c r="G7" s="47"/>
      <c r="H7" s="47" t="s">
        <v>140</v>
      </c>
      <c r="I7" s="47">
        <v>2062</v>
      </c>
      <c r="J7" s="48" t="s">
        <v>141</v>
      </c>
      <c r="K7" s="48"/>
      <c r="L7" s="48"/>
      <c r="M7" s="47"/>
      <c r="N7" s="47"/>
      <c r="O7" s="47"/>
      <c r="P7" s="47" t="s">
        <v>86</v>
      </c>
      <c r="Q7" s="48" t="s">
        <v>87</v>
      </c>
      <c r="R7" s="47" t="s">
        <v>116</v>
      </c>
      <c r="S7" s="47" t="s">
        <v>142</v>
      </c>
      <c r="T7" s="47" t="s">
        <v>143</v>
      </c>
      <c r="U7" s="47" t="s">
        <v>144</v>
      </c>
      <c r="V7" s="47">
        <v>355</v>
      </c>
      <c r="W7" s="47" t="s">
        <v>145</v>
      </c>
      <c r="X7" s="47" t="s">
        <v>146</v>
      </c>
      <c r="Y7" s="47" t="s">
        <v>147</v>
      </c>
      <c r="Z7" s="47" t="str">
        <f>H7</f>
        <v>LALLEGRO SABAF DO BRASIL LTDA</v>
      </c>
      <c r="AA7" s="47" t="str">
        <f>Z7</f>
        <v>LALLEGRO SABAF DO BRASIL LTDA</v>
      </c>
      <c r="AB7" s="50"/>
      <c r="AC7" s="47"/>
      <c r="AD7" s="47"/>
      <c r="AE7" s="25" t="str">
        <f>IF(COUNTIF(Base!A:A, D7)=0,"insere","não")</f>
        <v>insere</v>
      </c>
      <c r="AF7" s="23"/>
      <c r="AG7" s="23">
        <f t="shared" ref="AG7:AI7" si="42">AG6+1</f>
        <v>1743</v>
      </c>
      <c r="AH7" s="23">
        <f t="shared" si="42"/>
        <v>171</v>
      </c>
      <c r="AI7" s="23">
        <f t="shared" si="42"/>
        <v>171</v>
      </c>
      <c r="AJ7" s="23">
        <f>IF(AZ7="insere",LARGE($AJ$2:AJ6,1)+1,"")</f>
        <v>1723</v>
      </c>
      <c r="AK7" s="23" t="str">
        <f t="shared" si="6"/>
        <v>02528634000147</v>
      </c>
      <c r="AL7" s="23" t="str">
        <f t="shared" si="6"/>
        <v/>
      </c>
      <c r="AM7" s="24" t="str">
        <f t="shared" si="7"/>
        <v>LALLEGRO SABAF DO BRASIL LTDA</v>
      </c>
      <c r="AN7" s="23" t="str">
        <f t="shared" si="8"/>
        <v>2062</v>
      </c>
      <c r="AO7" s="23" t="str">
        <f t="shared" si="8"/>
        <v>2751100</v>
      </c>
      <c r="AP7" s="23" t="str">
        <f t="shared" si="8"/>
        <v/>
      </c>
      <c r="AQ7" s="23" t="str">
        <f t="shared" si="8"/>
        <v/>
      </c>
      <c r="AR7" s="23" t="str">
        <f t="shared" si="9"/>
        <v>N</v>
      </c>
      <c r="AS7" s="23" t="str">
        <f t="shared" si="10"/>
        <v/>
      </c>
      <c r="AT7" s="23" t="str">
        <f t="shared" si="11"/>
        <v>OUTROS</v>
      </c>
      <c r="AU7" s="23" t="str">
        <f t="shared" si="12"/>
        <v>0055</v>
      </c>
      <c r="AV7" s="23" t="str">
        <f t="shared" si="13"/>
        <v>SP</v>
      </c>
      <c r="AW7" s="24" t="str" cm="1">
        <f t="array" ref="AW7">UPPER( TRIM( MIG_REMOVER.ESPECIAL( S7 ) ) )</f>
        <v>JUNDIAI</v>
      </c>
      <c r="AX7" s="24" t="str">
        <f t="shared" si="14"/>
        <v>RUA</v>
      </c>
      <c r="AY7" s="24" t="str">
        <f t="shared" si="15"/>
        <v>GUSTAVO HENRIQUE MEERSON</v>
      </c>
      <c r="AZ7" s="24" t="str">
        <f t="shared" si="31"/>
        <v>insere</v>
      </c>
      <c r="BA7" s="24" t="str">
        <f t="shared" si="17"/>
        <v>355</v>
      </c>
      <c r="BB7" s="24" t="str">
        <f t="shared" si="18"/>
        <v>PARQUE INDUSTRIAL III</v>
      </c>
      <c r="BC7" s="23" t="str">
        <f t="shared" si="19"/>
        <v>13213084</v>
      </c>
      <c r="BD7" s="24" t="str">
        <f t="shared" si="20"/>
        <v>CONDOMINIO FRAZGRAN</v>
      </c>
      <c r="BE7" s="24" t="str">
        <f t="shared" si="20"/>
        <v>LALLEGRO SABAF DO BRASIL LTDA</v>
      </c>
      <c r="BF7" s="24" t="str">
        <f t="shared" si="20"/>
        <v>LALLEGRO SABAF DO BRASIL LTDA</v>
      </c>
      <c r="BG7" s="24" t="str">
        <f t="shared" si="21"/>
        <v>LALLEGRO SABAF DO BRASIL LTDA</v>
      </c>
      <c r="BH7" s="23" t="str">
        <f t="shared" si="22"/>
        <v/>
      </c>
      <c r="BI7" s="23" t="str">
        <f t="shared" si="23"/>
        <v>01/01/2000</v>
      </c>
      <c r="BJ7" s="23" t="str">
        <f t="shared" si="24"/>
        <v/>
      </c>
      <c r="BK7" s="23" t="str">
        <f t="shared" si="25"/>
        <v>01/01/2000</v>
      </c>
      <c r="BL7" s="23" t="str">
        <f t="shared" si="26"/>
        <v/>
      </c>
      <c r="BM7" s="7" t="str">
        <f t="shared" si="27"/>
        <v>INSERT INTO PARCNEGOCIO ( NRORG, NRPARCNEGOCIO, NMPRINCIPALPARC, NMSECUNDARIPARC, NRINSCRICAOPARC, IDATIVO, DTINCLUSAO, NRORGINCLUSAO, CDOPERINCLUSAO, CDTIPOPARCPRINCIPAL, CDTIPOINSCRICAO, IDPESSOAFISICA, IDINSTITUICAO, IDPARCFUNDIDO ) VALUES ( 4385, 1743, 'LALLEGRO SABAF DO BRASIL LTDA', 'LALLEGRO SABAF DO BRASIL LTDA', '02528634000147', 'S', SYSDATE, 4385, '000000099991', 'ESTRUTURA', 'CNPJ', 'N', 'N', 'N' ); INSERT INTO ESTRUTURAM ( NRORG, NRESTRUTURAM, NRPARCNEGOCIO, CDINTESTRUTURA, NRTIPOESTRUTURA, DTINIVIGENCIA, DTFIMVIGENCIA, NMESTRUTURAM, IDATIVO, DTINCLUSAO, CDOPERINCLUSAO ) VALUES ( 4385, 171, 1743, '001.110', 5, '01/01/2000', '', NVL( 'LALLEGRO SABAF DO BRASIL LTDA', NVL( 'LALLEGRO SABAF DO BRASIL LTDA', 'LALLEGRO SABAF DO BRASIL LTDA'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171, 171, 1743, '01/01/2000', '02528634000147', '', 'LALLEGRO SABAF DO BRASIL LTDA', 'LALLEGRO SABAF DO BRASIL LTDA', NVL( 'LALLEGRO SABAF DO BRASIL LTDA', NVL( 'LALLEGRO SABAF DO BRASIL LTDA', 'LALLEGRO SABAF DO BRASIL LTDA' ) ), '2062', '2751100', '', '', NVL( 'N', 'N' ), '', '', '', '', 'S', SYSDATE, '000000099991');</v>
      </c>
      <c r="BN7" s="7" t="str">
        <f t="shared" si="28"/>
        <v>INSERT INTO ENDERECOPARC ( NRORG, NRENDERECOPARC, NRPARCNEGOCIO, CDTIPOENDERECO, IDATIVO, DTINCLUSAO, CDOPERINCLUSAO, CDPAIS, SGESTADO, CDLOGRADOURO, NMBAIRROENDERECO, DSREFERENCIAENDE, NRCEPENDERECO, DSENDERECO, NRIMOVELENDERECO, CDMUNICIPIO ) VALUES ( 4385, 1723, 1743, 'OUTROS', 'S', SYSDATE, '000000099991', LPAD( '0055', 4, '0' ), 'SP', 'RUA', 'PARQUE INDUSTRIAL III', 'CONDOMINIO FRAZGRAN', '13213084', 'GUSTAVO HENRIQUE MEERSON', '355', ( SELECT MAX( CDMUNICIPIO ) FROM MUNICIPIO WHERE UPPER( NMMUNICIPIO ) = 'JUNDIAI' AND CDPAIS = LPAD( '0055', 4, '0' ) AND SGESTADO = 'SP' ) );</v>
      </c>
      <c r="BO7" s="30" t="str">
        <f t="shared" si="32"/>
        <v>INSERT INTO PARCNEGOCIO ( NRORG, NRPARCNEGOCIO, NMPRINCIPALPARC, NMSECUNDARIPARC, NRINSCRICAOPARC, IDATIVO, DTINCLUSAO, NRORGINCLUSAO, CDOPERINCLUSAO, CDTIPOPARCPRINCIPAL, CDTIPOINSCRICAO, IDPESSOAFISICA, IDINSTITUICAO, IDPARCFUNDIDO ) VALUES ( 4385, 1743, 'LALLEGRO SABAF DO BRASIL LTDA', 'LALLEGRO SABAF DO BRASIL LTDA', '02528634000147', 'S', SYSDATE, 4385, '000000099991', 'ESTRUTURA', 'CNPJ', 'N', 'N', 'N' ); INSERT INTO ESTRUTURAM ( NRORG, NRESTRUTURAM, NRPARCNEGOCIO, CDINTESTRUTURA, NRTIPOESTRUTURA, DTINIVIGENCIA, DTFIMVIGENCIA, NMESTRUTURAM, IDATIVO, DTINCLUSAO, CDOPERINCLUSAO ) VALUES ( 4385, 171, 1743, '001.110', 5, '01/01/2000', '', NVL( 'LALLEGRO SABAF DO BRASIL LTDA', NVL( 'LALLEGRO SABAF DO BRASIL LTDA', 'LALLEGRO SABAF DO BRASIL LTDA'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171, 171, 1743, '01/01/2000', '02528634000147', '', 'LALLEGRO SABAF DO BRASIL LTDA', 'LALLEGRO SABAF DO BRASIL LTDA', NVL( 'LALLEGRO SABAF DO BRASIL LTDA', NVL( 'LALLEGRO SABAF DO BRASIL LTDA', 'LALLEGRO SABAF DO BRASIL LTDA' ) ), '2062', '2751100', '', '', NVL( 'N', 'N' ), '', '', '', '', 'S', SYSDATE, '000000099991'); INSERT INTO ENDERECOPARC ( NRORG, NRENDERECOPARC, NRPARCNEGOCIO, CDTIPOENDERECO, IDATIVO, DTINCLUSAO, CDOPERINCLUSAO, CDPAIS, SGESTADO, CDLOGRADOURO, NMBAIRROENDERECO, DSREFERENCIAENDE, NRCEPENDERECO, DSENDERECO, NRIMOVELENDERECO, CDMUNICIPIO ) VALUES ( 4385, 1723, 1743, 'OUTROS', 'S', SYSDATE, '000000099991', LPAD( '0055', 4, '0' ), 'SP', 'RUA', 'PARQUE INDUSTRIAL III', 'CONDOMINIO FRAZGRAN', '13213084', 'GUSTAVO HENRIQUE MEERSON', '355', ( SELECT MAX( CDMUNICIPIO ) FROM MUNICIPIO WHERE UPPER( NMMUNICIPIO ) = 'JUNDIAI' AND CDPAIS = LPAD( '0055', 4, '0' ) AND SGESTADO = 'SP' ) ); COMMIT;</v>
      </c>
      <c r="BP7" s="34" t="s">
        <v>106</v>
      </c>
      <c r="BQ7" s="34">
        <f>COUNTA( Base!A:A )</f>
        <v>4</v>
      </c>
      <c r="BS7"/>
      <c r="BT7" s="8" t="s">
        <v>148</v>
      </c>
      <c r="BU7" s="12">
        <f ca="1">MAX(OFFSET($A$1,2,MATCH(BU$3,$1:$1,0)-1,1048574,1))</f>
        <v>1746</v>
      </c>
      <c r="BV7" s="12">
        <f ca="1">MAX(OFFSET($A$1,2,MATCH(BV$3,$1:$1,0)-1,1048574,1))</f>
        <v>174</v>
      </c>
      <c r="BW7" s="12">
        <f ca="1">MAX(OFFSET($A$1,2,MATCH(BW$3,$1:$1,0)-1,1048574,1))</f>
        <v>174</v>
      </c>
      <c r="BX7" s="12">
        <f ca="1">MAX(OFFSET($A$1,2,MATCH(BX$3,$1:$1,0)-1,1048574,1))</f>
        <v>1726</v>
      </c>
      <c r="BY7" s="8" t="s">
        <v>148</v>
      </c>
      <c r="BZ7" s="10">
        <f t="shared" ca="1" si="29"/>
        <v>1746</v>
      </c>
      <c r="CA7" s="10">
        <f t="shared" ca="1" si="29"/>
        <v>174</v>
      </c>
      <c r="CB7" s="10">
        <f t="shared" ca="1" si="29"/>
        <v>174</v>
      </c>
      <c r="CC7" s="10">
        <f t="shared" ca="1" si="29"/>
        <v>1726</v>
      </c>
      <c r="CD7" s="8"/>
      <c r="CE7" s="10"/>
      <c r="CF7" s="10"/>
      <c r="CG7" s="10"/>
      <c r="CH7" s="10"/>
    </row>
    <row r="8" spans="1:87" ht="15" x14ac:dyDescent="0.25">
      <c r="A8" s="47">
        <v>5</v>
      </c>
      <c r="B8" s="47" t="s">
        <v>81</v>
      </c>
      <c r="C8" s="47"/>
      <c r="D8" s="48" t="s">
        <v>149</v>
      </c>
      <c r="E8" s="49" t="str">
        <f t="shared" ref="E8" si="43">B8</f>
        <v>01/01/2000</v>
      </c>
      <c r="F8" s="48" t="s">
        <v>150</v>
      </c>
      <c r="G8" s="47"/>
      <c r="H8" s="47" t="s">
        <v>151</v>
      </c>
      <c r="I8" s="47">
        <v>2062</v>
      </c>
      <c r="J8" s="48" t="s">
        <v>99</v>
      </c>
      <c r="K8" s="48"/>
      <c r="L8" s="48"/>
      <c r="M8" s="47"/>
      <c r="N8" s="47"/>
      <c r="O8" s="47"/>
      <c r="P8" s="47" t="s">
        <v>86</v>
      </c>
      <c r="Q8" s="48" t="s">
        <v>87</v>
      </c>
      <c r="R8" s="47" t="s">
        <v>116</v>
      </c>
      <c r="S8" s="47" t="s">
        <v>152</v>
      </c>
      <c r="T8" s="47" t="s">
        <v>143</v>
      </c>
      <c r="U8" s="47" t="s">
        <v>153</v>
      </c>
      <c r="V8" s="47">
        <v>363</v>
      </c>
      <c r="W8" s="47" t="s">
        <v>154</v>
      </c>
      <c r="X8" s="47" t="s">
        <v>155</v>
      </c>
      <c r="Y8" s="47"/>
      <c r="Z8" s="47" t="str">
        <f t="shared" ref="Z8" si="44">H8</f>
        <v>EXPRESS INDUSTRIA METALPLÁSTICA IRBAS LTDA</v>
      </c>
      <c r="AA8" s="47" t="str">
        <f t="shared" ref="AA8" si="45">Z8</f>
        <v>EXPRESS INDUSTRIA METALPLÁSTICA IRBAS LTDA</v>
      </c>
      <c r="AB8" s="50"/>
      <c r="AC8" s="47"/>
      <c r="AD8" s="47"/>
      <c r="AE8" s="25" t="str">
        <f>IF(COUNTIF(Base!A:A, D8)=0,"insere","não")</f>
        <v>insere</v>
      </c>
      <c r="AF8" s="23"/>
      <c r="AG8" s="23">
        <f t="shared" ref="AG8:AI8" si="46">AG7+1</f>
        <v>1744</v>
      </c>
      <c r="AH8" s="23">
        <f t="shared" si="46"/>
        <v>172</v>
      </c>
      <c r="AI8" s="23">
        <f t="shared" si="46"/>
        <v>172</v>
      </c>
      <c r="AJ8" s="23">
        <f>IF(AZ8="insere",LARGE($AJ$2:AJ7,1)+1,"")</f>
        <v>1724</v>
      </c>
      <c r="AK8" s="23" t="str">
        <f t="shared" si="6"/>
        <v>59274332000107</v>
      </c>
      <c r="AL8" s="23" t="str">
        <f t="shared" si="6"/>
        <v/>
      </c>
      <c r="AM8" s="24" t="str">
        <f t="shared" si="7"/>
        <v>EXPRESS INDUSTRIA METALPLÁSTICA IRBAS LTDA</v>
      </c>
      <c r="AN8" s="23" t="str">
        <f t="shared" si="8"/>
        <v>2062</v>
      </c>
      <c r="AO8" s="23" t="str">
        <f t="shared" si="8"/>
        <v>2949299</v>
      </c>
      <c r="AP8" s="23" t="str">
        <f t="shared" si="8"/>
        <v/>
      </c>
      <c r="AQ8" s="23" t="str">
        <f t="shared" si="8"/>
        <v/>
      </c>
      <c r="AR8" s="23" t="str">
        <f t="shared" si="9"/>
        <v>N</v>
      </c>
      <c r="AS8" s="23" t="str">
        <f t="shared" si="10"/>
        <v/>
      </c>
      <c r="AT8" s="23" t="str">
        <f t="shared" si="11"/>
        <v>OUTROS</v>
      </c>
      <c r="AU8" s="23" t="str">
        <f t="shared" si="12"/>
        <v>0055</v>
      </c>
      <c r="AV8" s="23" t="str">
        <f t="shared" si="13"/>
        <v>SP</v>
      </c>
      <c r="AW8" s="24" t="str" cm="1">
        <f t="array" ref="AW8">UPPER( TRIM( MIG_REMOVER.ESPECIAL( S8 ) ) )</f>
        <v>DIADEMA</v>
      </c>
      <c r="AX8" s="24" t="str">
        <f t="shared" si="14"/>
        <v>RUA</v>
      </c>
      <c r="AY8" s="24" t="str">
        <f t="shared" si="15"/>
        <v>NEUCHATEL</v>
      </c>
      <c r="AZ8" s="24" t="str">
        <f t="shared" si="31"/>
        <v>insere</v>
      </c>
      <c r="BA8" s="24" t="str">
        <f t="shared" si="17"/>
        <v>363</v>
      </c>
      <c r="BB8" s="24" t="str">
        <f t="shared" si="18"/>
        <v>RUDGE RAMOS</v>
      </c>
      <c r="BC8" s="23" t="str">
        <f t="shared" si="19"/>
        <v>09663020</v>
      </c>
      <c r="BD8" s="24" t="str">
        <f t="shared" si="20"/>
        <v/>
      </c>
      <c r="BE8" s="24" t="str">
        <f t="shared" si="20"/>
        <v>EXPRESS INDUSTRIA METALPLÁSTICA IRBAS LTDA</v>
      </c>
      <c r="BF8" s="24" t="str">
        <f t="shared" si="20"/>
        <v>EXPRESS INDUSTRIA METALPLÁSTICA IRBAS LTDA</v>
      </c>
      <c r="BG8" s="24" t="str">
        <f t="shared" si="21"/>
        <v>EXPRESS INDUSTRIA METALPLÁSTICA IRBAS LTDA</v>
      </c>
      <c r="BH8" s="23" t="str">
        <f t="shared" si="22"/>
        <v/>
      </c>
      <c r="BI8" s="23" t="str">
        <f t="shared" si="23"/>
        <v>01/01/2000</v>
      </c>
      <c r="BJ8" s="23" t="str">
        <f t="shared" si="24"/>
        <v/>
      </c>
      <c r="BK8" s="23" t="str">
        <f t="shared" si="25"/>
        <v>01/01/2000</v>
      </c>
      <c r="BL8" s="23" t="str">
        <f t="shared" si="26"/>
        <v/>
      </c>
      <c r="BM8" s="7" t="str">
        <f t="shared" si="27"/>
        <v>INSERT INTO PARCNEGOCIO ( NRORG, NRPARCNEGOCIO, NMPRINCIPALPARC, NMSECUNDARIPARC, NRINSCRICAOPARC, IDATIVO, DTINCLUSAO, NRORGINCLUSAO, CDOPERINCLUSAO, CDTIPOPARCPRINCIPAL, CDTIPOINSCRICAO, IDPESSOAFISICA, IDINSTITUICAO, IDPARCFUNDIDO ) VALUES ( 4385, 1744, 'EXPRESS INDUSTRIA METALPLÁSTICA IRBAS LTDA', 'EXPRESS INDUSTRIA METALPLÁSTICA IRBAS LTDA', '59274332000107', 'S', SYSDATE, 4385, '000000099991', 'ESTRUTURA', 'CNPJ', 'N', 'N', 'N' ); INSERT INTO ESTRUTURAM ( NRORG, NRESTRUTURAM, NRPARCNEGOCIO, CDINTESTRUTURA, NRTIPOESTRUTURA, DTINIVIGENCIA, DTFIMVIGENCIA, NMESTRUTURAM, IDATIVO, DTINCLUSAO, CDOPERINCLUSAO ) VALUES ( 4385, 172, 1744, '500.084', 5, '01/01/2000', '', NVL( 'EXPRESS INDUSTRIA METALPLÁSTICA IRBAS LTDA', NVL( 'EXPRESS INDUSTRIA METALPLÁSTICA IRBAS LTDA', 'EXPRESS INDUSTRIA METALPLÁSTICA IRBAS LTDA'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172, 172, 1744, '01/01/2000', '59274332000107', '', 'EXPRESS INDUSTRIA METALPLÁSTICA IRBAS LTDA', 'EXPRESS INDUSTRIA METALPLÁSTICA IRBAS LTDA', NVL( 'EXPRESS INDUSTRIA METALPLÁSTICA IRBAS LTDA', NVL( 'EXPRESS INDUSTRIA METALPLÁSTICA IRBAS LTDA', 'EXPRESS INDUSTRIA METALPLÁSTICA IRBAS LTDA' ) ), '2062', '2949299', '', '', NVL( 'N', 'N' ), '', '', '', '', 'S', SYSDATE, '000000099991');</v>
      </c>
      <c r="BN8" s="7" t="str">
        <f t="shared" si="28"/>
        <v>INSERT INTO ENDERECOPARC ( NRORG, NRENDERECOPARC, NRPARCNEGOCIO, CDTIPOENDERECO, IDATIVO, DTINCLUSAO, CDOPERINCLUSAO, CDPAIS, SGESTADO, CDLOGRADOURO, NMBAIRROENDERECO, DSREFERENCIAENDE, NRCEPENDERECO, DSENDERECO, NRIMOVELENDERECO, CDMUNICIPIO ) VALUES ( 4385, 1724, 1744, 'OUTROS', 'S', SYSDATE, '000000099991', LPAD( '0055', 4, '0' ), 'SP', 'RUA', 'RUDGE RAMOS', '', '09663020', 'NEUCHATEL', '363', ( SELECT MAX( CDMUNICIPIO ) FROM MUNICIPIO WHERE UPPER( NMMUNICIPIO ) = 'DIADEMA' AND CDPAIS = LPAD( '0055', 4, '0' ) AND SGESTADO = 'SP' ) );</v>
      </c>
      <c r="BO8" s="30" t="str">
        <f t="shared" si="32"/>
        <v>INSERT INTO PARCNEGOCIO ( NRORG, NRPARCNEGOCIO, NMPRINCIPALPARC, NMSECUNDARIPARC, NRINSCRICAOPARC, IDATIVO, DTINCLUSAO, NRORGINCLUSAO, CDOPERINCLUSAO, CDTIPOPARCPRINCIPAL, CDTIPOINSCRICAO, IDPESSOAFISICA, IDINSTITUICAO, IDPARCFUNDIDO ) VALUES ( 4385, 1744, 'EXPRESS INDUSTRIA METALPLÁSTICA IRBAS LTDA', 'EXPRESS INDUSTRIA METALPLÁSTICA IRBAS LTDA', '59274332000107', 'S', SYSDATE, 4385, '000000099991', 'ESTRUTURA', 'CNPJ', 'N', 'N', 'N' ); INSERT INTO ESTRUTURAM ( NRORG, NRESTRUTURAM, NRPARCNEGOCIO, CDINTESTRUTURA, NRTIPOESTRUTURA, DTINIVIGENCIA, DTFIMVIGENCIA, NMESTRUTURAM, IDATIVO, DTINCLUSAO, CDOPERINCLUSAO ) VALUES ( 4385, 172, 1744, '500.084', 5, '01/01/2000', '', NVL( 'EXPRESS INDUSTRIA METALPLÁSTICA IRBAS LTDA', NVL( 'EXPRESS INDUSTRIA METALPLÁSTICA IRBAS LTDA', 'EXPRESS INDUSTRIA METALPLÁSTICA IRBAS LTDA'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172, 172, 1744, '01/01/2000', '59274332000107', '', 'EXPRESS INDUSTRIA METALPLÁSTICA IRBAS LTDA', 'EXPRESS INDUSTRIA METALPLÁSTICA IRBAS LTDA', NVL( 'EXPRESS INDUSTRIA METALPLÁSTICA IRBAS LTDA', NVL( 'EXPRESS INDUSTRIA METALPLÁSTICA IRBAS LTDA', 'EXPRESS INDUSTRIA METALPLÁSTICA IRBAS LTDA' ) ), '2062', '2949299', '', '', NVL( 'N', 'N' ), '', '', '', '', 'S', SYSDATE, '000000099991'); INSERT INTO ENDERECOPARC ( NRORG, NRENDERECOPARC, NRPARCNEGOCIO, CDTIPOENDERECO, IDATIVO, DTINCLUSAO, CDOPERINCLUSAO, CDPAIS, SGESTADO, CDLOGRADOURO, NMBAIRROENDERECO, DSREFERENCIAENDE, NRCEPENDERECO, DSENDERECO, NRIMOVELENDERECO, CDMUNICIPIO ) VALUES ( 4385, 1724, 1744, 'OUTROS', 'S', SYSDATE, '000000099991', LPAD( '0055', 4, '0' ), 'SP', 'RUA', 'RUDGE RAMOS', '', '09663020', 'NEUCHATEL', '363', ( SELECT MAX( CDMUNICIPIO ) FROM MUNICIPIO WHERE UPPER( NMMUNICIPIO ) = 'DIADEMA' AND CDPAIS = LPAD( '0055', 4, '0' ) AND SGESTADO = 'SP' ) ); COMMIT;</v>
      </c>
      <c r="BP8" s="34" t="s">
        <v>156</v>
      </c>
      <c r="BQ8" s="35" t="str">
        <f>"Base!A2:A" &amp; BQ7</f>
        <v>Base!A2:A4</v>
      </c>
      <c r="BR8" s="35"/>
      <c r="BS8"/>
      <c r="BT8" s="8" t="s">
        <v>157</v>
      </c>
      <c r="BU8" s="12">
        <f ca="1">BU7-BU6+1</f>
        <v>8</v>
      </c>
      <c r="BV8" s="12">
        <f ca="1">BV7-BV6+1</f>
        <v>8</v>
      </c>
      <c r="BW8" s="12">
        <f ca="1">BW7-BW6+1</f>
        <v>8</v>
      </c>
      <c r="BX8" s="12">
        <f ca="1">BX7-BX6+1</f>
        <v>8</v>
      </c>
      <c r="BY8" s="8"/>
      <c r="BZ8" s="10"/>
      <c r="CA8" s="10"/>
      <c r="CB8" s="10"/>
      <c r="CC8" s="10"/>
      <c r="CD8" s="8"/>
      <c r="CE8" s="10"/>
      <c r="CF8" s="10"/>
      <c r="CG8" s="10"/>
      <c r="CH8" s="10"/>
    </row>
    <row r="9" spans="1:87" ht="15" x14ac:dyDescent="0.25">
      <c r="A9" s="47">
        <v>1</v>
      </c>
      <c r="B9" s="48" t="s">
        <v>81</v>
      </c>
      <c r="C9" s="48"/>
      <c r="D9" s="48" t="s">
        <v>158</v>
      </c>
      <c r="E9" s="49">
        <v>36526</v>
      </c>
      <c r="F9" s="48" t="s">
        <v>159</v>
      </c>
      <c r="G9" s="47"/>
      <c r="H9" s="47" t="s">
        <v>160</v>
      </c>
      <c r="I9" s="47">
        <v>2135</v>
      </c>
      <c r="J9" s="47">
        <v>8599699</v>
      </c>
      <c r="K9" s="48"/>
      <c r="L9" s="48"/>
      <c r="M9" s="47"/>
      <c r="N9" s="47"/>
      <c r="O9" s="47"/>
      <c r="P9" s="47" t="s">
        <v>161</v>
      </c>
      <c r="Q9" s="48" t="s">
        <v>87</v>
      </c>
      <c r="R9" s="47" t="s">
        <v>116</v>
      </c>
      <c r="S9" s="47" t="s">
        <v>162</v>
      </c>
      <c r="T9" s="47" t="s">
        <v>143</v>
      </c>
      <c r="U9" s="47" t="s">
        <v>163</v>
      </c>
      <c r="V9" s="47">
        <v>491</v>
      </c>
      <c r="W9" s="47" t="s">
        <v>164</v>
      </c>
      <c r="X9" s="47" t="s">
        <v>165</v>
      </c>
      <c r="Y9" s="47"/>
      <c r="Z9" s="47" t="str">
        <f>H9</f>
        <v>CINTIA SEVERO BRASIL</v>
      </c>
      <c r="AA9" s="47" t="str">
        <f>Z9</f>
        <v>CINTIA SEVERO BRASIL</v>
      </c>
      <c r="AB9" s="50"/>
      <c r="AC9" s="49"/>
      <c r="AD9" s="48"/>
      <c r="AE9" s="25" t="str">
        <f>IF(COUNTIF(Base!A:A, D9)=0,"insere","não")</f>
        <v>insere</v>
      </c>
      <c r="AF9" s="23"/>
      <c r="AG9" s="23">
        <f t="shared" ref="AG9:AI9" si="47">AG8+1</f>
        <v>1745</v>
      </c>
      <c r="AH9" s="23">
        <f t="shared" si="47"/>
        <v>173</v>
      </c>
      <c r="AI9" s="23">
        <f t="shared" si="47"/>
        <v>173</v>
      </c>
      <c r="AJ9" s="23">
        <f>IF(AZ9="insere",LARGE($AJ$2:AJ8,1)+1,"")</f>
        <v>1725</v>
      </c>
      <c r="AK9" s="23" t="str">
        <f t="shared" si="6"/>
        <v>34688392000145</v>
      </c>
      <c r="AL9" s="23" t="str">
        <f t="shared" si="6"/>
        <v/>
      </c>
      <c r="AM9" s="24" t="str">
        <f t="shared" si="7"/>
        <v>CINTIA SEVERO BRASIL</v>
      </c>
      <c r="AN9" s="23" t="str">
        <f t="shared" si="8"/>
        <v>2135</v>
      </c>
      <c r="AO9" s="23" t="str">
        <f t="shared" si="8"/>
        <v>8599699</v>
      </c>
      <c r="AP9" s="23" t="str">
        <f t="shared" si="8"/>
        <v/>
      </c>
      <c r="AQ9" s="23" t="str">
        <f t="shared" si="8"/>
        <v/>
      </c>
      <c r="AR9" s="23" t="str">
        <f t="shared" si="9"/>
        <v>N</v>
      </c>
      <c r="AS9" s="23" t="str">
        <f t="shared" si="10"/>
        <v/>
      </c>
      <c r="AT9" s="23" t="str">
        <f t="shared" si="11"/>
        <v>PRINCIPAL</v>
      </c>
      <c r="AU9" s="23" t="str">
        <f t="shared" si="12"/>
        <v>0055</v>
      </c>
      <c r="AV9" s="23" t="str">
        <f t="shared" si="13"/>
        <v>SP</v>
      </c>
      <c r="AW9" s="24" t="str" cm="1">
        <f t="array" ref="AW9">UPPER( TRIM( MIG_REMOVER.ESPECIAL( S9 ) ) )</f>
        <v>SAO CAETANO DO SUL</v>
      </c>
      <c r="AX9" s="24" t="str">
        <f t="shared" si="14"/>
        <v>RUA</v>
      </c>
      <c r="AY9" s="24" t="str">
        <f t="shared" si="15"/>
        <v>TEFFE</v>
      </c>
      <c r="AZ9" s="24" t="str">
        <f t="shared" si="31"/>
        <v>insere</v>
      </c>
      <c r="BA9" s="24" t="str">
        <f t="shared" si="17"/>
        <v>491</v>
      </c>
      <c r="BB9" s="24" t="str">
        <f t="shared" si="18"/>
        <v>SANTA MARIA</v>
      </c>
      <c r="BC9" s="23" t="str">
        <f t="shared" si="19"/>
        <v>09560400</v>
      </c>
      <c r="BD9" s="24" t="str">
        <f t="shared" si="20"/>
        <v/>
      </c>
      <c r="BE9" s="24" t="str">
        <f t="shared" si="20"/>
        <v>CINTIA SEVERO BRASIL</v>
      </c>
      <c r="BF9" s="24" t="str">
        <f t="shared" si="20"/>
        <v>CINTIA SEVERO BRASIL</v>
      </c>
      <c r="BG9" s="24" t="str">
        <f t="shared" si="21"/>
        <v>CINTIA SEVERO BRASIL</v>
      </c>
      <c r="BH9" s="23" t="str">
        <f t="shared" si="22"/>
        <v/>
      </c>
      <c r="BI9" s="23" t="str">
        <f t="shared" si="23"/>
        <v>01/01/2000</v>
      </c>
      <c r="BJ9" s="23" t="str">
        <f t="shared" si="24"/>
        <v/>
      </c>
      <c r="BK9" s="23" t="str">
        <f t="shared" si="25"/>
        <v>01/01/2000</v>
      </c>
      <c r="BL9" s="23" t="str">
        <f t="shared" si="26"/>
        <v/>
      </c>
      <c r="BM9" s="7" t="str">
        <f t="shared" si="27"/>
        <v>INSERT INTO PARCNEGOCIO ( NRORG, NRPARCNEGOCIO, NMPRINCIPALPARC, NMSECUNDARIPARC, NRINSCRICAOPARC, IDATIVO, DTINCLUSAO, NRORGINCLUSAO, CDOPERINCLUSAO, CDTIPOPARCPRINCIPAL, CDTIPOINSCRICAO, IDPESSOAFISICA, IDINSTITUICAO, IDPARCFUNDIDO ) VALUES ( 4385, 1745, 'CINTIA SEVERO BRASIL', 'CINTIA SEVERO BRASIL', '34688392000145', 'S', SYSDATE, 4385, '000000099991', 'ESTRUTURA', 'CNPJ', 'N', 'N', 'N' ); INSERT INTO ESTRUTURAM ( NRORG, NRESTRUTURAM, NRPARCNEGOCIO, CDINTESTRUTURA, NRTIPOESTRUTURA, DTINIVIGENCIA, DTFIMVIGENCIA, NMESTRUTURAM, IDATIVO, DTINCLUSAO, CDOPERINCLUSAO ) VALUES ( 4385, 173, 1745, '950', 1, '01/01/2000', '', NVL( 'CINTIA SEVERO BRASIL', NVL( 'CINTIA SEVERO BRASIL', 'CINTIA SEVERO BRASIL'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173, 173, 1745, '01/01/2000', '34688392000145', '', 'CINTIA SEVERO BRASIL', 'CINTIA SEVERO BRASIL', NVL( 'CINTIA SEVERO BRASIL', NVL( 'CINTIA SEVERO BRASIL', 'CINTIA SEVERO BRASIL' ) ), '2135', '8599699', '', '', NVL( 'N', 'N' ), '', '', '', '', 'S', SYSDATE, '000000099991');</v>
      </c>
      <c r="BN9" s="7" t="str">
        <f t="shared" si="28"/>
        <v>INSERT INTO ENDERECOPARC ( NRORG, NRENDERECOPARC, NRPARCNEGOCIO, CDTIPOENDERECO, IDATIVO, DTINCLUSAO, CDOPERINCLUSAO, CDPAIS, SGESTADO, CDLOGRADOURO, NMBAIRROENDERECO, DSREFERENCIAENDE, NRCEPENDERECO, DSENDERECO, NRIMOVELENDERECO, CDMUNICIPIO ) VALUES ( 4385, 1725, 1745, 'PRINCIPAL', 'S', SYSDATE, '000000099991', LPAD( '0055', 4, '0' ), 'SP', 'RUA', 'SANTA MARIA', '', '09560400', 'TEFFE', '491', ( SELECT MAX( CDMUNICIPIO ) FROM MUNICIPIO WHERE UPPER( NMMUNICIPIO ) = 'SAO CAETANO DO SUL' AND CDPAIS = LPAD( '0055', 4, '0' ) AND SGESTADO = 'SP' ) );</v>
      </c>
      <c r="BO9" s="30" t="str">
        <f t="shared" si="32"/>
        <v>INSERT INTO PARCNEGOCIO ( NRORG, NRPARCNEGOCIO, NMPRINCIPALPARC, NMSECUNDARIPARC, NRINSCRICAOPARC, IDATIVO, DTINCLUSAO, NRORGINCLUSAO, CDOPERINCLUSAO, CDTIPOPARCPRINCIPAL, CDTIPOINSCRICAO, IDPESSOAFISICA, IDINSTITUICAO, IDPARCFUNDIDO ) VALUES ( 4385, 1745, 'CINTIA SEVERO BRASIL', 'CINTIA SEVERO BRASIL', '34688392000145', 'S', SYSDATE, 4385, '000000099991', 'ESTRUTURA', 'CNPJ', 'N', 'N', 'N' ); INSERT INTO ESTRUTURAM ( NRORG, NRESTRUTURAM, NRPARCNEGOCIO, CDINTESTRUTURA, NRTIPOESTRUTURA, DTINIVIGENCIA, DTFIMVIGENCIA, NMESTRUTURAM, IDATIVO, DTINCLUSAO, CDOPERINCLUSAO ) VALUES ( 4385, 173, 1745, '950', 1, '01/01/2000', '', NVL( 'CINTIA SEVERO BRASIL', NVL( 'CINTIA SEVERO BRASIL', 'CINTIA SEVERO BRASIL'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173, 173, 1745, '01/01/2000', '34688392000145', '', 'CINTIA SEVERO BRASIL', 'CINTIA SEVERO BRASIL', NVL( 'CINTIA SEVERO BRASIL', NVL( 'CINTIA SEVERO BRASIL', 'CINTIA SEVERO BRASIL' ) ), '2135', '8599699', '', '', NVL( 'N', 'N' ), '', '', '', '', 'S', SYSDATE, '000000099991'); INSERT INTO ENDERECOPARC ( NRORG, NRENDERECOPARC, NRPARCNEGOCIO, CDTIPOENDERECO, IDATIVO, DTINCLUSAO, CDOPERINCLUSAO, CDPAIS, SGESTADO, CDLOGRADOURO, NMBAIRROENDERECO, DSREFERENCIAENDE, NRCEPENDERECO, DSENDERECO, NRIMOVELENDERECO, CDMUNICIPIO ) VALUES ( 4385, 1725, 1745, 'PRINCIPAL', 'S', SYSDATE, '000000099991', LPAD( '0055', 4, '0' ), 'SP', 'RUA', 'SANTA MARIA', '', '09560400', 'TEFFE', '491', ( SELECT MAX( CDMUNICIPIO ) FROM MUNICIPIO WHERE UPPER( NMMUNICIPIO ) = 'SAO CAETANO DO SUL' AND CDPAIS = LPAD( '0055', 4, '0' ) AND SGESTADO = 'SP' ) ); COMMIT;</v>
      </c>
      <c r="BP9" s="34" t="s">
        <v>166</v>
      </c>
      <c r="BS9"/>
      <c r="BT9" s="8" t="s">
        <v>167</v>
      </c>
      <c r="BU9" s="12">
        <f ca="1">OFFSET($A$1,1,MATCH(BT9,$1:$1,0)-1)</f>
        <v>4385</v>
      </c>
      <c r="BV9" s="12">
        <f ca="1">BU9</f>
        <v>4385</v>
      </c>
      <c r="BW9" s="12">
        <f ca="1">BV9</f>
        <v>4385</v>
      </c>
      <c r="BX9" s="12">
        <f ca="1">BW9</f>
        <v>4385</v>
      </c>
      <c r="BY9" s="8" t="s">
        <v>167</v>
      </c>
      <c r="BZ9" s="10">
        <f ca="1">BU9</f>
        <v>4385</v>
      </c>
      <c r="CA9" s="10">
        <f ca="1">BV9</f>
        <v>4385</v>
      </c>
      <c r="CB9" s="10">
        <f ca="1">BW9</f>
        <v>4385</v>
      </c>
      <c r="CC9" s="10">
        <f ca="1">BX9</f>
        <v>4385</v>
      </c>
      <c r="CD9" s="8" t="s">
        <v>167</v>
      </c>
      <c r="CE9" s="10">
        <f ca="1">BZ9</f>
        <v>4385</v>
      </c>
      <c r="CF9" s="10">
        <f t="shared" ref="CF9:CH9" ca="1" si="48">CA9</f>
        <v>4385</v>
      </c>
      <c r="CG9" s="10">
        <f t="shared" ca="1" si="48"/>
        <v>4385</v>
      </c>
      <c r="CH9" s="10">
        <f t="shared" ca="1" si="48"/>
        <v>4385</v>
      </c>
    </row>
    <row r="10" spans="1:87" ht="15" x14ac:dyDescent="0.25">
      <c r="A10" s="47">
        <v>13</v>
      </c>
      <c r="B10" s="47" t="s">
        <v>81</v>
      </c>
      <c r="C10" s="47"/>
      <c r="D10" s="48" t="s">
        <v>168</v>
      </c>
      <c r="E10" s="49" t="str">
        <f t="shared" ref="E10" si="49">B10</f>
        <v>01/01/2000</v>
      </c>
      <c r="F10" s="48" t="s">
        <v>169</v>
      </c>
      <c r="G10" s="47"/>
      <c r="H10" s="47" t="s">
        <v>170</v>
      </c>
      <c r="I10" s="47">
        <v>2054</v>
      </c>
      <c r="J10" s="47">
        <v>6550200</v>
      </c>
      <c r="K10" s="47"/>
      <c r="L10" s="47"/>
      <c r="M10" s="47"/>
      <c r="N10" s="47"/>
      <c r="O10" s="47"/>
      <c r="P10" s="47" t="s">
        <v>161</v>
      </c>
      <c r="Q10" s="48" t="s">
        <v>87</v>
      </c>
      <c r="R10" s="47" t="s">
        <v>116</v>
      </c>
      <c r="S10" s="47" t="s">
        <v>142</v>
      </c>
      <c r="T10" s="47" t="s">
        <v>143</v>
      </c>
      <c r="U10" s="47" t="s">
        <v>171</v>
      </c>
      <c r="V10" s="47">
        <v>790</v>
      </c>
      <c r="W10" s="47" t="s">
        <v>172</v>
      </c>
      <c r="X10" s="47" t="s">
        <v>173</v>
      </c>
      <c r="Y10" s="47"/>
      <c r="Z10" s="47" t="str">
        <f t="shared" ref="Z10" si="50">H10</f>
        <v>CONVENIO MEDICO SOBAM CENTRO MEDICO HOSPITALAR AS</v>
      </c>
      <c r="AA10" s="47" t="str">
        <f t="shared" ref="AA10" si="51">Z10</f>
        <v>CONVENIO MEDICO SOBAM CENTRO MEDICO HOSPITALAR AS</v>
      </c>
      <c r="AB10" s="47"/>
      <c r="AC10" s="47"/>
      <c r="AD10" s="47"/>
      <c r="AE10" s="25" t="str">
        <f>IF(COUNTIF(Base!A:A, D10)=0,"insere","não")</f>
        <v>insere</v>
      </c>
      <c r="AF10" s="23"/>
      <c r="AG10" s="23">
        <f t="shared" ref="AG10:AI10" si="52">AG9+1</f>
        <v>1746</v>
      </c>
      <c r="AH10" s="23">
        <f t="shared" si="52"/>
        <v>174</v>
      </c>
      <c r="AI10" s="23">
        <f t="shared" si="52"/>
        <v>174</v>
      </c>
      <c r="AJ10" s="23">
        <f>IF(AZ10="insere",LARGE($AJ$2:AJ9,1)+1,"")</f>
        <v>1726</v>
      </c>
      <c r="AK10" s="23" t="str">
        <f t="shared" si="6"/>
        <v>50739135000141</v>
      </c>
      <c r="AL10" s="23" t="str">
        <f t="shared" si="6"/>
        <v/>
      </c>
      <c r="AM10" s="24" t="str">
        <f t="shared" si="7"/>
        <v>CONVENIO MEDICO SOBAM CENTRO MEDICO HOSPITALAR AS</v>
      </c>
      <c r="AN10" s="23" t="str">
        <f t="shared" si="8"/>
        <v>2054</v>
      </c>
      <c r="AO10" s="23" t="str">
        <f t="shared" si="8"/>
        <v>6550200</v>
      </c>
      <c r="AP10" s="23" t="str">
        <f t="shared" si="8"/>
        <v/>
      </c>
      <c r="AQ10" s="23" t="str">
        <f t="shared" si="8"/>
        <v/>
      </c>
      <c r="AR10" s="23" t="str">
        <f t="shared" si="9"/>
        <v>N</v>
      </c>
      <c r="AS10" s="23" t="str">
        <f t="shared" si="10"/>
        <v/>
      </c>
      <c r="AT10" s="23" t="str">
        <f t="shared" si="11"/>
        <v>PRINCIPAL</v>
      </c>
      <c r="AU10" s="23" t="str">
        <f t="shared" si="12"/>
        <v>0055</v>
      </c>
      <c r="AV10" s="23" t="str">
        <f t="shared" si="13"/>
        <v>SP</v>
      </c>
      <c r="AW10" s="24" t="str" cm="1">
        <f t="array" ref="AW10">UPPER( TRIM( MIG_REMOVER.ESPECIAL( S10 ) ) )</f>
        <v>JUNDIAI</v>
      </c>
      <c r="AX10" s="24" t="str">
        <f t="shared" si="14"/>
        <v>RUA</v>
      </c>
      <c r="AY10" s="24" t="str">
        <f t="shared" si="15"/>
        <v>VINTE E TRÊS DE MAIO</v>
      </c>
      <c r="AZ10" s="24" t="str">
        <f t="shared" si="31"/>
        <v>insere</v>
      </c>
      <c r="BA10" s="24" t="str">
        <f t="shared" si="17"/>
        <v>790</v>
      </c>
      <c r="BB10" s="24" t="str">
        <f t="shared" si="18"/>
        <v>VILA VIANELO</v>
      </c>
      <c r="BC10" s="23" t="str">
        <f t="shared" si="19"/>
        <v>13207070</v>
      </c>
      <c r="BD10" s="24" t="str">
        <f t="shared" si="20"/>
        <v/>
      </c>
      <c r="BE10" s="24" t="str">
        <f t="shared" si="20"/>
        <v>CONVENIO MEDICO SOBAM CENTRO MEDICO HOSPITALAR AS</v>
      </c>
      <c r="BF10" s="24" t="str">
        <f t="shared" si="20"/>
        <v>CONVENIO MEDICO SOBAM CENTRO MEDICO HOSPITALAR AS</v>
      </c>
      <c r="BG10" s="24" t="str">
        <f t="shared" si="21"/>
        <v>CONVENIO MEDICO SOBAM CENTRO MEDICO HOSPITALAR AS</v>
      </c>
      <c r="BH10" s="23" t="str">
        <f t="shared" si="22"/>
        <v/>
      </c>
      <c r="BI10" s="23" t="str">
        <f t="shared" si="23"/>
        <v>01/01/2000</v>
      </c>
      <c r="BJ10" s="23" t="str">
        <f t="shared" si="24"/>
        <v/>
      </c>
      <c r="BK10" s="23" t="str">
        <f t="shared" si="25"/>
        <v>01/01/2000</v>
      </c>
      <c r="BL10" s="23" t="str">
        <f t="shared" si="26"/>
        <v/>
      </c>
      <c r="BM10" s="7" t="str">
        <f t="shared" si="27"/>
        <v>INSERT INTO PARCNEGOCIO ( NRORG, NRPARCNEGOCIO, NMPRINCIPALPARC, NMSECUNDARIPARC, NRINSCRICAOPARC, IDATIVO, DTINCLUSAO, NRORGINCLUSAO, CDOPERINCLUSAO, CDTIPOPARCPRINCIPAL, CDTIPOINSCRICAO, IDPESSOAFISICA, IDINSTITUICAO, IDPARCFUNDIDO ) VALUES ( 4385, 1746, 'CONVENIO MEDICO SOBAM CENTRO MEDICO HOSPITALAR AS', 'CONVENIO MEDICO SOBAM CENTRO MEDICO HOSPITALAR AS', '50739135000141', 'S', SYSDATE, 4385, '000000099991', 'ESTRUTURA', 'CNPJ', 'N', 'N', 'N' ); INSERT INTO ESTRUTURAM ( NRORG, NRESTRUTURAM, NRPARCNEGOCIO, CDINTESTRUTURA, NRTIPOESTRUTURA, DTINIVIGENCIA, DTFIMVIGENCIA, NMESTRUTURAM, IDATIVO, DTINCLUSAO, CDOPERINCLUSAO ) VALUES ( 4385, 174, 1746, 'C.007', 13, '01/01/2000', '', NVL( 'CONVENIO MEDICO SOBAM CENTRO MEDICO HOSPITALAR AS', NVL( 'CONVENIO MEDICO SOBAM CENTRO MEDICO HOSPITALAR AS', 'CONVENIO MEDICO SOBAM CENTRO MEDICO HOSPITALAR AS'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174, 174, 1746, '01/01/2000', '50739135000141', '', 'CONVENIO MEDICO SOBAM CENTRO MEDICO HOSPITALAR AS', 'CONVENIO MEDICO SOBAM CENTRO MEDICO HOSPITALAR AS', NVL( 'CONVENIO MEDICO SOBAM CENTRO MEDICO HOSPITALAR AS', NVL( 'CONVENIO MEDICO SOBAM CENTRO MEDICO HOSPITALAR AS', 'CONVENIO MEDICO SOBAM CENTRO MEDICO HOSPITALAR AS' ) ), '2054', '6550200', '', '', NVL( 'N', 'N' ), '', '', '', '', 'S', SYSDATE, '000000099991');</v>
      </c>
      <c r="BN10" s="7" t="str">
        <f t="shared" si="28"/>
        <v>INSERT INTO ENDERECOPARC ( NRORG, NRENDERECOPARC, NRPARCNEGOCIO, CDTIPOENDERECO, IDATIVO, DTINCLUSAO, CDOPERINCLUSAO, CDPAIS, SGESTADO, CDLOGRADOURO, NMBAIRROENDERECO, DSREFERENCIAENDE, NRCEPENDERECO, DSENDERECO, NRIMOVELENDERECO, CDMUNICIPIO ) VALUES ( 4385, 1726, 1746, 'PRINCIPAL', 'S', SYSDATE, '000000099991', LPAD( '0055', 4, '0' ), 'SP', 'RUA', 'VILA VIANELO', '', '13207070', 'VINTE E TRÊS DE MAIO', '790', ( SELECT MAX( CDMUNICIPIO ) FROM MUNICIPIO WHERE UPPER( NMMUNICIPIO ) = 'JUNDIAI' AND CDPAIS = LPAD( '0055', 4, '0' ) AND SGESTADO = 'SP' ) );</v>
      </c>
      <c r="BO10" s="30" t="str">
        <f t="shared" si="32"/>
        <v>INSERT INTO PARCNEGOCIO ( NRORG, NRPARCNEGOCIO, NMPRINCIPALPARC, NMSECUNDARIPARC, NRINSCRICAOPARC, IDATIVO, DTINCLUSAO, NRORGINCLUSAO, CDOPERINCLUSAO, CDTIPOPARCPRINCIPAL, CDTIPOINSCRICAO, IDPESSOAFISICA, IDINSTITUICAO, IDPARCFUNDIDO ) VALUES ( 4385, 1746, 'CONVENIO MEDICO SOBAM CENTRO MEDICO HOSPITALAR AS', 'CONVENIO MEDICO SOBAM CENTRO MEDICO HOSPITALAR AS', '50739135000141', 'S', SYSDATE, 4385, '000000099991', 'ESTRUTURA', 'CNPJ', 'N', 'N', 'N' ); INSERT INTO ESTRUTURAM ( NRORG, NRESTRUTURAM, NRPARCNEGOCIO, CDINTESTRUTURA, NRTIPOESTRUTURA, DTINIVIGENCIA, DTFIMVIGENCIA, NMESTRUTURAM, IDATIVO, DTINCLUSAO, CDOPERINCLUSAO ) VALUES ( 4385, 174, 1746, 'C.007', 13, '01/01/2000', '', NVL( 'CONVENIO MEDICO SOBAM CENTRO MEDICO HOSPITALAR AS', NVL( 'CONVENIO MEDICO SOBAM CENTRO MEDICO HOSPITALAR AS', 'CONVENIO MEDICO SOBAM CENTRO MEDICO HOSPITALAR AS' ) ), 'S', SYSDATE, '000000099991'); INSERT INTO ESTRUTURAH ( NRORG, NRESTRUTURAM, NRESTRUTURAH, NRPARCNEGOCIO, DTMESCOMPETENC, CDCNPJESTRUT, CDCEIESTRUT, NMRAZSOCESTRUT, NMFANTASIA, NMESTRUTURAH, CDNATUJURI, CDCNAE, NRCAGED, IDTIPOEMPR, IDOPTSIMPLES, IDPARTICIPAT, CDCPFESTRUTURA, DTBASESINDICAL, CDSINDICAL, IDATIVO, DTINCLUSAO, CDOPERINCLUSAO)  VALUES ( 4385, 174, 174, 1746, '01/01/2000', '50739135000141', '', 'CONVENIO MEDICO SOBAM CENTRO MEDICO HOSPITALAR AS', 'CONVENIO MEDICO SOBAM CENTRO MEDICO HOSPITALAR AS', NVL( 'CONVENIO MEDICO SOBAM CENTRO MEDICO HOSPITALAR AS', NVL( 'CONVENIO MEDICO SOBAM CENTRO MEDICO HOSPITALAR AS', 'CONVENIO MEDICO SOBAM CENTRO MEDICO HOSPITALAR AS' ) ), '2054', '6550200', '', '', NVL( 'N', 'N' ), '', '', '', '', 'S', SYSDATE, '000000099991'); INSERT INTO ENDERECOPARC ( NRORG, NRENDERECOPARC, NRPARCNEGOCIO, CDTIPOENDERECO, IDATIVO, DTINCLUSAO, CDOPERINCLUSAO, CDPAIS, SGESTADO, CDLOGRADOURO, NMBAIRROENDERECO, DSREFERENCIAENDE, NRCEPENDERECO, DSENDERECO, NRIMOVELENDERECO, CDMUNICIPIO ) VALUES ( 4385, 1726, 1746, 'PRINCIPAL', 'S', SYSDATE, '000000099991', LPAD( '0055', 4, '0' ), 'SP', 'RUA', 'VILA VIANELO', '', '13207070', 'VINTE E TRÊS DE MAIO', '790', ( SELECT MAX( CDMUNICIPIO ) FROM MUNICIPIO WHERE UPPER( NMMUNICIPIO ) = 'JUNDIAI' AND CDPAIS = LPAD( '0055', 4, '0' ) AND SGESTADO = 'SP' ) ); COMMIT;</v>
      </c>
      <c r="BP10" s="34" t="s">
        <v>166</v>
      </c>
      <c r="BS10"/>
      <c r="BT10"/>
      <c r="BU10"/>
      <c r="BV10"/>
      <c r="BW10"/>
      <c r="BX10"/>
      <c r="BY10"/>
      <c r="BZ10"/>
      <c r="CA10"/>
      <c r="CB10"/>
      <c r="CC10"/>
    </row>
  </sheetData>
  <autoFilter ref="A2:AE10" xr:uid="{A72FBB5F-03F0-48A6-BA31-EE04C71B00E3}"/>
  <phoneticPr fontId="26" type="noConversion"/>
  <conditionalFormatting sqref="D3:D7">
    <cfRule type="duplicateValues" dxfId="0" priority="2"/>
  </conditionalFormatting>
  <pageMargins left="0.511811024" right="0.511811024" top="0.78740157499999996" bottom="0.78740157499999996" header="0.31496062000000002" footer="0.31496062000000002"/>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35FA-2990-483F-98F1-FAC8DE44082F}">
  <dimension ref="A1:I4"/>
  <sheetViews>
    <sheetView workbookViewId="0">
      <selection activeCell="I1" sqref="I1"/>
    </sheetView>
  </sheetViews>
  <sheetFormatPr defaultRowHeight="15" x14ac:dyDescent="0.25"/>
  <cols>
    <col min="1" max="1" width="19" style="39" bestFit="1" customWidth="1"/>
    <col min="2" max="2" width="17.85546875" style="39" bestFit="1" customWidth="1"/>
    <col min="3" max="3" width="20.42578125" style="39" bestFit="1" customWidth="1"/>
    <col min="4" max="4" width="22.42578125" style="39" bestFit="1" customWidth="1"/>
    <col min="5" max="5" width="81.7109375" style="39" bestFit="1" customWidth="1"/>
    <col min="6" max="6" width="16.85546875" style="39" bestFit="1" customWidth="1"/>
    <col min="7" max="7" width="17.5703125" style="39" bestFit="1" customWidth="1"/>
    <col min="8" max="8" width="15.85546875" style="41" bestFit="1" customWidth="1"/>
    <col min="9" max="9" width="61.42578125" bestFit="1" customWidth="1"/>
  </cols>
  <sheetData>
    <row r="1" spans="1:9" ht="203.25" x14ac:dyDescent="0.25">
      <c r="A1" s="13" t="s">
        <v>174</v>
      </c>
      <c r="B1" t="s">
        <v>125</v>
      </c>
      <c r="C1" t="s">
        <v>175</v>
      </c>
      <c r="D1" t="s">
        <v>176</v>
      </c>
      <c r="E1" t="s">
        <v>177</v>
      </c>
      <c r="F1" t="s">
        <v>178</v>
      </c>
      <c r="G1" t="s">
        <v>179</v>
      </c>
      <c r="H1" t="s">
        <v>180</v>
      </c>
      <c r="I1" s="42" t="s">
        <v>181</v>
      </c>
    </row>
    <row r="2" spans="1:9" x14ac:dyDescent="0.25">
      <c r="A2" s="39" t="s">
        <v>182</v>
      </c>
      <c r="B2" s="39">
        <v>161</v>
      </c>
      <c r="C2" s="39">
        <v>13</v>
      </c>
      <c r="D2" s="39" t="s">
        <v>183</v>
      </c>
      <c r="E2" s="39" t="s">
        <v>184</v>
      </c>
      <c r="F2" s="40">
        <v>36526</v>
      </c>
      <c r="G2" s="40"/>
      <c r="H2" s="41">
        <f>COUNTIF(Dados!D:D,Base!A2)</f>
        <v>0</v>
      </c>
      <c r="I2" s="13" t="s">
        <v>185</v>
      </c>
    </row>
    <row r="3" spans="1:9" x14ac:dyDescent="0.25">
      <c r="A3" s="39" t="s">
        <v>186</v>
      </c>
      <c r="B3" s="39">
        <v>162</v>
      </c>
      <c r="C3" s="39">
        <v>13</v>
      </c>
      <c r="D3" s="39" t="s">
        <v>183</v>
      </c>
      <c r="E3" s="39" t="s">
        <v>187</v>
      </c>
      <c r="F3" s="40">
        <v>36526</v>
      </c>
      <c r="H3" s="41">
        <f>COUNTIF(Dados!D:D,Base!A3)</f>
        <v>0</v>
      </c>
    </row>
    <row r="4" spans="1:9" x14ac:dyDescent="0.25">
      <c r="A4" s="39" t="s">
        <v>188</v>
      </c>
      <c r="B4" s="39">
        <v>163</v>
      </c>
      <c r="C4" s="39">
        <v>13</v>
      </c>
      <c r="D4" s="39" t="s">
        <v>183</v>
      </c>
      <c r="E4" s="39" t="s">
        <v>189</v>
      </c>
      <c r="F4" s="40">
        <v>36526</v>
      </c>
      <c r="H4" s="41">
        <f>COUNTIF(Dados!D:D,Base!A4)</f>
        <v>0</v>
      </c>
    </row>
  </sheetData>
  <autoFilter ref="A1:H1" xr:uid="{05B835FA-2990-483F-98F1-FAC8DE44082F}"/>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Dados</vt:lpstr>
      <vt:lpstr>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SANDRA APARECIDA DA SILVA</dc:creator>
  <cp:keywords/>
  <dc:description/>
  <cp:lastModifiedBy>Rafael Pickbrenner</cp:lastModifiedBy>
  <cp:revision/>
  <dcterms:created xsi:type="dcterms:W3CDTF">2022-06-20T14:23:33Z</dcterms:created>
  <dcterms:modified xsi:type="dcterms:W3CDTF">2025-11-01T22:33:04Z</dcterms:modified>
  <cp:category/>
  <cp:contentStatus/>
</cp:coreProperties>
</file>