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830" documentId="8_{492EDFFF-3A19-440E-9587-8BCCA42438A8}" xr6:coauthVersionLast="47" xr6:coauthVersionMax="47" xr10:uidLastSave="{E7F64939-24FE-4BAB-B4ED-0E0C747CCD60}"/>
  <bookViews>
    <workbookView xWindow="-3768" yWindow="-13068" windowWidth="23256" windowHeight="12576" xr2:uid="{8AB04718-46F0-4194-9373-00CBC62F5808}"/>
  </bookViews>
  <sheets>
    <sheet name="Dados" sheetId="1" r:id="rId1"/>
    <sheet name="Base" sheetId="2" r:id="rId2"/>
    <sheet name="Script" sheetId="3" r:id="rId3"/>
    <sheet name="prototipo 2" sheetId="4" r:id="rId4"/>
  </sheets>
  <definedNames>
    <definedName name="_xlnm._FilterDatabase" localSheetId="1" hidden="1">Base!$H$1:$J$5</definedName>
    <definedName name="_xlnm._FilterDatabase" localSheetId="0" hidden="1">Dados!$A$2:$C$3587</definedName>
    <definedName name="AUX_TROCAR">_xlfn.LAMBDA(_xlpm.texto,_xlpm.de,_xlpm.para, IF( _xlpm.de = "", _xlpm.texto, AUX_TROCAR( SUBSTITUTE( _xlpm.texto, LEFT( _xlpm.de ), LEFT( _xlpm.para ) ), RIGHT( _xlpm.de, LEN( _xlpm.de ) - 1), RIGHT( _xlpm.para, LEN( _xlpm.para ) - 1 ) ) ) )</definedName>
    <definedName name="MIG_GERA.SCRIPT">_xlfn.LAMBDA(_xlpm.script,_xlpm.chaves,_xlpm.valores, _xlfn.LET( _xlpm.saida, _xlfn.REDUCE( _xlpm.script, _xlpm.chaves, _xlfn.LAMBDA(_xlpm.A,_xlpm.B, SUBSTITUTE( _xlpm.A, _xlpm.B, _xlfn.XLOOKUP( _xlpm.B, _xlpm.chaves, _xlpm.valores ) ) ) ), _xlpm.saida ) )</definedName>
    <definedName name="MIG_NORMA.DATA">_xlfn.LAMBDA(_xlpm.data, "'" &amp; TEXT( TRIM( _xlpm.data ), "DD/MM/AAAA" ) &amp; "'" )</definedName>
    <definedName name="MIG_NORMA.DECIMAL">_xlfn.LAMBDA(_xlpm.número, SUBSTITUTE( _xlpm.número, ",", ".") )</definedName>
    <definedName name="MIG_NORMA.NÚMERICO">_xlfn.LAMBDA(_xlpm.texto, _xlfn.CONCAT( "'", IFERROR( -- MID( _xlpm.texto, _xlfn.SEQUENCE(LEN( _xlpm.texto ) ), 1 ), "" ), "'"  ) )</definedName>
    <definedName name="MIG_NORMA.TEXTO">_xlfn.LAMBDA(_xlpm.texto, "'" &amp; UPPER( TRIM( MIG_REMOVE.ESPECIAL( _xlpm.texto ) ) ) &amp; "'" )</definedName>
    <definedName name="MIG_QRY.CHAVES">_xlfn.LAMBDA(_xlpm.colunaPK,_xlpm.org,_xlpm.campo,_xlpm.tabela,_xlpm.offset, _xlfn.LET( _xlpm.menor, SMALL( _xlpm.colunaPK, _xlpm.offset ), _xlpm.maior, LARGE( _xlpm.colunaPK, 1 ), _xlpm.qde, _xlpm.maior - _xlpm.menor + 1, "/*" &amp; _xlpm.tabela &amp; "*/ 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 ) )</definedName>
    <definedName name="MIG_REMOVE.ESPECIAL">_xlfn.LAMBDA(_xlpm.texto, AUX_TROCAR( _xlpm.texto, "áàâãäÁÀÂÃÄéèêëÉÈÊËíìîïÍÌÎÏóòôöÓÒÔÖúùûüÚÙÛÜçÇ&amp;'`´~^", "aaaaaAAAAAeeeeEEEEiiiiIIIIooooOOOOuuuuUUUUcC      " 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H27" i="1"/>
  <c r="G27" i="1"/>
  <c r="E27" i="1"/>
  <c r="Z9" i="1"/>
  <c r="I26" i="1"/>
  <c r="H26" i="1"/>
  <c r="G26" i="1"/>
  <c r="E26" i="1"/>
  <c r="I25" i="1"/>
  <c r="H25" i="1"/>
  <c r="G25" i="1"/>
  <c r="E25" i="1"/>
  <c r="I24" i="1"/>
  <c r="H24" i="1"/>
  <c r="G24" i="1"/>
  <c r="E24" i="1"/>
  <c r="I23" i="1"/>
  <c r="H23" i="1"/>
  <c r="G23" i="1"/>
  <c r="E23" i="1"/>
  <c r="I22" i="1"/>
  <c r="H22" i="1"/>
  <c r="G22" i="1"/>
  <c r="E22" i="1"/>
  <c r="I21" i="1"/>
  <c r="H21" i="1"/>
  <c r="G21" i="1"/>
  <c r="E21" i="1"/>
  <c r="I20" i="1"/>
  <c r="H20" i="1"/>
  <c r="G20" i="1"/>
  <c r="E20" i="1"/>
  <c r="I19" i="1"/>
  <c r="H19" i="1"/>
  <c r="G19" i="1"/>
  <c r="E19" i="1"/>
  <c r="I18" i="1"/>
  <c r="H18" i="1"/>
  <c r="G18" i="1"/>
  <c r="E18" i="1"/>
  <c r="I17" i="1"/>
  <c r="H17" i="1"/>
  <c r="G17" i="1"/>
  <c r="E17" i="1"/>
  <c r="I16" i="1"/>
  <c r="H16" i="1"/>
  <c r="G16" i="1"/>
  <c r="E16" i="1"/>
  <c r="I15" i="1"/>
  <c r="H15" i="1"/>
  <c r="G15" i="1"/>
  <c r="E15" i="1"/>
  <c r="I14" i="1"/>
  <c r="H14" i="1"/>
  <c r="G14" i="1"/>
  <c r="E14" i="1"/>
  <c r="I13" i="1"/>
  <c r="H13" i="1"/>
  <c r="G13" i="1"/>
  <c r="E13" i="1"/>
  <c r="I12" i="1"/>
  <c r="H12" i="1"/>
  <c r="G12" i="1"/>
  <c r="E12" i="1"/>
  <c r="I11" i="1"/>
  <c r="H11" i="1"/>
  <c r="G11" i="1"/>
  <c r="E11" i="1"/>
  <c r="I10" i="1"/>
  <c r="H10" i="1"/>
  <c r="G10" i="1"/>
  <c r="E10" i="1"/>
  <c r="I9" i="1"/>
  <c r="H9" i="1"/>
  <c r="G9" i="1"/>
  <c r="E9" i="1"/>
  <c r="I8" i="1"/>
  <c r="H8" i="1"/>
  <c r="G8" i="1"/>
  <c r="E8" i="1"/>
  <c r="I7" i="1"/>
  <c r="H7" i="1"/>
  <c r="G7" i="1"/>
  <c r="E7" i="1"/>
  <c r="I6" i="1"/>
  <c r="H6" i="1"/>
  <c r="G6" i="1"/>
  <c r="E6" i="1"/>
  <c r="I5" i="1"/>
  <c r="H5" i="1"/>
  <c r="G5" i="1"/>
  <c r="E5" i="1"/>
  <c r="I4" i="1"/>
  <c r="H4" i="1"/>
  <c r="G4" i="1"/>
  <c r="E4" i="1"/>
  <c r="I3" i="1"/>
  <c r="H3" i="1"/>
  <c r="E3" i="1"/>
  <c r="G3" i="1"/>
  <c r="B19" i="4" a="1"/>
  <c r="B19" i="4" s="1"/>
  <c r="B13" i="4" a="1"/>
  <c r="B13" i="4" s="1"/>
  <c r="B11" i="4"/>
  <c r="B11" i="4" a="1"/>
  <c r="B10" i="4" a="1"/>
  <c r="B10" i="4" s="1"/>
  <c r="B9" i="4" a="1"/>
  <c r="B9" i="4" s="1"/>
  <c r="B8" i="4" a="1"/>
  <c r="B8" i="4" s="1"/>
  <c r="B5" i="4" a="1"/>
  <c r="B5" i="4" s="1"/>
  <c r="B4" i="4"/>
  <c r="B3" i="4"/>
  <c r="B3" i="4" a="1"/>
  <c r="J2" i="1" a="1"/>
  <c r="J2" i="1" l="1"/>
  <c r="N12" i="1" l="1"/>
  <c r="N15" i="1" s="1"/>
  <c r="V2" i="1"/>
  <c r="N11" i="1"/>
  <c r="N14" i="1" s="1"/>
  <c r="N10" i="1"/>
  <c r="N4" i="1"/>
  <c r="N8" i="1" l="1"/>
  <c r="N6" i="1"/>
  <c r="N16" i="1"/>
  <c r="N13" i="1"/>
  <c r="N5" i="1"/>
  <c r="N7" i="1"/>
  <c r="L3" i="1" a="1"/>
  <c r="R3" i="1" a="1"/>
  <c r="L3" i="1" l="1"/>
  <c r="R3" i="1"/>
  <c r="S3" i="1" s="1" a="1"/>
  <c r="S3" i="1" s="1"/>
  <c r="S2" i="1" s="1"/>
  <c r="T3" i="1" a="1"/>
  <c r="W3" i="1" a="1"/>
  <c r="P3" i="1" a="1"/>
  <c r="T3" i="1" l="1"/>
  <c r="W3" i="1"/>
  <c r="P3" i="1"/>
  <c r="Q3" i="1" l="1" a="1"/>
  <c r="Q3" i="1" s="1"/>
  <c r="Q2" i="1" s="1"/>
  <c r="U3" i="1" a="1"/>
  <c r="U3" i="1" l="1"/>
  <c r="F3" i="1"/>
  <c r="AB9" i="1"/>
  <c r="AB5" i="1"/>
  <c r="AD5" i="1" s="1"/>
  <c r="AB4" i="1"/>
  <c r="AD4" i="1" s="1"/>
  <c r="V3" i="1" a="1"/>
  <c r="V3" i="1" l="1"/>
  <c r="F4" i="1"/>
  <c r="J4" i="1" s="1" a="1"/>
  <c r="J4" i="1" s="1"/>
  <c r="K4" i="1" s="1"/>
  <c r="J3" i="1" a="1"/>
  <c r="J3" i="1" s="1"/>
  <c r="K3" i="1" s="1"/>
  <c r="AD9" i="1"/>
  <c r="AD2" i="1" s="1"/>
  <c r="F5" i="1" l="1"/>
  <c r="J5" i="1" s="1" a="1"/>
  <c r="J5" i="1" s="1"/>
  <c r="K5" i="1" s="1"/>
  <c r="I2" i="1"/>
  <c r="M7" i="1" s="1"/>
  <c r="H2" i="1"/>
  <c r="M6" i="1" s="1"/>
  <c r="G2" i="1"/>
  <c r="F6" i="1" l="1"/>
  <c r="J6" i="1" s="1" a="1"/>
  <c r="J6" i="1" s="1"/>
  <c r="K6" i="1" s="1"/>
  <c r="F7" i="1" l="1"/>
  <c r="J7" i="1" s="1" a="1"/>
  <c r="J7" i="1" s="1"/>
  <c r="K7" i="1" s="1"/>
  <c r="F8" i="1" l="1"/>
  <c r="J8" i="1" s="1" a="1"/>
  <c r="J8" i="1" s="1"/>
  <c r="K8" i="1" s="1"/>
  <c r="F9" i="1" l="1"/>
  <c r="J9" i="1" s="1" a="1"/>
  <c r="J9" i="1" s="1"/>
  <c r="K9" i="1" s="1"/>
  <c r="F10" i="1" l="1"/>
  <c r="J10" i="1" s="1" a="1"/>
  <c r="J10" i="1" s="1"/>
  <c r="K10" i="1" s="1"/>
  <c r="F11" i="1" l="1"/>
  <c r="J11" i="1" s="1" a="1"/>
  <c r="J11" i="1" s="1"/>
  <c r="K11" i="1" s="1"/>
  <c r="F12" i="1" l="1"/>
  <c r="J12" i="1" s="1" a="1"/>
  <c r="J12" i="1" s="1"/>
  <c r="K12" i="1" s="1"/>
  <c r="F13" i="1" l="1"/>
  <c r="J13" i="1" s="1" a="1"/>
  <c r="J13" i="1" s="1"/>
  <c r="K13" i="1" s="1"/>
  <c r="F14" i="1" l="1"/>
  <c r="J14" i="1" s="1" a="1"/>
  <c r="J14" i="1" s="1"/>
  <c r="K14" i="1" s="1"/>
  <c r="F15" i="1" l="1"/>
  <c r="J15" i="1" s="1" a="1"/>
  <c r="J15" i="1" s="1"/>
  <c r="K15" i="1" s="1"/>
  <c r="F16" i="1" l="1"/>
  <c r="J16" i="1" s="1" a="1"/>
  <c r="J16" i="1" s="1"/>
  <c r="K16" i="1" s="1"/>
  <c r="F17" i="1" l="1"/>
  <c r="J17" i="1" s="1" a="1"/>
  <c r="J17" i="1" s="1"/>
  <c r="K17" i="1" s="1"/>
  <c r="F18" i="1" l="1"/>
  <c r="J18" i="1" s="1" a="1"/>
  <c r="J18" i="1" s="1"/>
  <c r="K18" i="1" s="1"/>
  <c r="F19" i="1" l="1"/>
  <c r="J19" i="1" s="1" a="1"/>
  <c r="J19" i="1" s="1"/>
  <c r="K19" i="1" s="1"/>
  <c r="F20" i="1" l="1"/>
  <c r="J20" i="1" s="1" a="1"/>
  <c r="J20" i="1" s="1"/>
  <c r="K20" i="1" s="1"/>
  <c r="F21" i="1" l="1"/>
  <c r="J21" i="1" s="1" a="1"/>
  <c r="J21" i="1" s="1"/>
  <c r="K21" i="1" s="1"/>
  <c r="F22" i="1" l="1"/>
  <c r="J22" i="1" s="1" a="1"/>
  <c r="J22" i="1" s="1"/>
  <c r="K22" i="1" s="1"/>
  <c r="F23" i="1" l="1"/>
  <c r="J23" i="1" s="1" a="1"/>
  <c r="J23" i="1" s="1"/>
  <c r="K23" i="1" s="1"/>
  <c r="F24" i="1" l="1"/>
  <c r="J24" i="1" s="1" a="1"/>
  <c r="J24" i="1" s="1"/>
  <c r="K24" i="1" s="1"/>
  <c r="F25" i="1" l="1"/>
  <c r="J25" i="1" s="1" a="1"/>
  <c r="J25" i="1" s="1"/>
  <c r="K25" i="1" s="1"/>
  <c r="F26" i="1" l="1"/>
  <c r="F27" i="1" l="1"/>
  <c r="J26" i="1" a="1"/>
  <c r="J26" i="1" s="1"/>
  <c r="K26" i="1" s="1"/>
  <c r="J27" i="1" a="1"/>
  <c r="J27" i="1" s="1"/>
  <c r="K27" i="1" s="1"/>
  <c r="Z7" i="1" l="1"/>
  <c r="Z6" i="1"/>
  <c r="AB6" i="1" s="1"/>
  <c r="AB7" i="1" l="1"/>
  <c r="AB2" i="1" s="1"/>
  <c r="Z8" i="1"/>
  <c r="Z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6" authorId="0" shapeId="0" xr:uid="{2CA4CC44-4B12-4F31-8AD3-7F71FC62F72C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Z7" authorId="0" shapeId="0" xr:uid="{363EC50A-AEE8-4033-8CA7-E164E575D9A2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<sst xmlns="http://schemas.openxmlformats.org/spreadsheetml/2006/main" count="142" uniqueCount="125">
  <si>
    <t>Nr Vinculo</t>
  </si>
  <si>
    <t>Dt Alteracao</t>
  </si>
  <si>
    <t>Escala</t>
  </si>
  <si>
    <t>ORGANIZAÇÃO</t>
  </si>
  <si>
    <t>@NRALTEESCALA@</t>
  </si>
  <si>
    <t>@NRVINCULOM@</t>
  </si>
  <si>
    <t>→</t>
  </si>
  <si>
    <t>@DTINIESCALA@</t>
  </si>
  <si>
    <t>@NRESCALATRABM@</t>
  </si>
  <si>
    <t>Script</t>
  </si>
  <si>
    <t>Saída</t>
  </si>
  <si>
    <t>Atualiza Novo Código</t>
  </si>
  <si>
    <t>COMMIT;</t>
  </si>
  <si>
    <t>Mnemônico</t>
  </si>
  <si>
    <t>Tabela</t>
  </si>
  <si>
    <t>PK</t>
  </si>
  <si>
    <t>Inicio PK</t>
  </si>
  <si>
    <t>Fim PK</t>
  </si>
  <si>
    <t>Quantidade</t>
  </si>
  <si>
    <t>Organização</t>
  </si>
  <si>
    <t>GPE_ALTEESCALA</t>
  </si>
  <si>
    <t>NRALTEESCALA</t>
  </si>
  <si>
    <t>NRVINCULOM</t>
  </si>
  <si>
    <t>CDMATRICULA</t>
  </si>
  <si>
    <t>DTADMISSAOVINC</t>
  </si>
  <si>
    <t>DTRESCISAOVINC</t>
  </si>
  <si>
    <t>Verificação de FK</t>
  </si>
  <si>
    <t>O vínculo existe?</t>
  </si>
  <si>
    <t>/*Atualiza ou cria novo codigo*/</t>
  </si>
  <si>
    <t>A escala existe?</t>
  </si>
  <si>
    <t>--Escala de trabalho - NRESCALATRABM
SELECT
  ETM.NRESCALATRABM
FROM GPE_ESCALATRABM ETM
JOIN GPE_ESCALATRABH ETH ON ETH.NRORG          = ETM.NRORG
                        AND ETH.NRESCALATRABM  = ETM.NRESCALATRABM
                        AND ETH.DTMESCOMPETENC = ( SELECT MAX( DTMESCOMPETENC ) FROM GPE_ESCALATRABH
                                                   WHERE NRORG         = ETH.NRORG
                                                     AND NRESCALATRABM = ETH.NRESCALATRABM )
WHERE ETM.NRORG = :P_NRORG
ORDER BY ETM.NRESCALATRABM;</t>
  </si>
  <si>
    <t>NRESCALATRABM</t>
  </si>
  <si>
    <t>fazer vinculos afetados.
Fazer alteração de escala já existente.</t>
  </si>
  <si>
    <t>--Validações de PK</t>
  </si>
  <si>
    <t>3</t>
  </si>
  <si>
    <t>2</t>
  </si>
  <si>
    <t>/*Lista de vinculos*/
SELECT
  VM.CDMATRICULA,
  VM.NRVINCULOM,
  VM.DTADMISSAOVINC,
  VM.DTRESCISAOVINC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  AND ( TRUNC( VM.DTINCLUSAO, 'DD' ) &gt;= :P_DTMIGTESTE OR :P_DTMIGTESTE IS NULL )
ORDER BY VM.CDMATRICULA;</t>
  </si>
  <si>
    <t>1</t>
  </si>
  <si>
    <t>--Busca de PK’s livres</t>
  </si>
  <si>
    <t>Script usa:</t>
  </si>
  <si>
    <t>Qde 0's na matricula</t>
  </si>
  <si>
    <t>Configurações</t>
  </si>
  <si>
    <t>Linhas template</t>
  </si>
  <si>
    <t>Linhas vinculo base</t>
  </si>
  <si>
    <t>Linhas Escala trabalho</t>
  </si>
  <si>
    <t>vinculo/matricula</t>
  </si>
  <si>
    <t>vinculo/matricula tratado</t>
  </si>
  <si>
    <t>nr escala</t>
  </si>
  <si>
    <t>MESC_CDMATRICULA</t>
  </si>
  <si>
    <t>MESC_NRVINCULOM</t>
  </si>
  <si>
    <t>Mesc</t>
  </si>
  <si>
    <t>DESCRICAO</t>
  </si>
  <si>
    <t>descrição alte escala</t>
  </si>
  <si>
    <t>Linhas Alte escala</t>
  </si>
  <si>
    <t>mesc alte escala</t>
  </si>
  <si>
    <t>Mesc - Existe alteração de escala?</t>
  </si>
  <si>
    <t>ID</t>
  </si>
  <si>
    <t>id</t>
  </si>
  <si>
    <t>script</t>
  </si>
  <si>
    <t>Script!B2:B3</t>
  </si>
  <si>
    <t>Script!A2:A3</t>
  </si>
  <si>
    <t>Protótipo 2 - 07/10/2022</t>
  </si>
  <si>
    <t>texto</t>
  </si>
  <si>
    <t>Nome da função</t>
  </si>
  <si>
    <t>Fórmula lambda</t>
  </si>
  <si>
    <t>Versão</t>
  </si>
  <si>
    <t>Criada</t>
  </si>
  <si>
    <t>Descrição</t>
  </si>
  <si>
    <t>Planilhas:</t>
  </si>
  <si>
    <t>AUX_TROCAR</t>
  </si>
  <si>
    <t>Função auxiliar para trocar caracters especiais</t>
  </si>
  <si>
    <t>Dados</t>
  </si>
  <si>
    <t>MIG_REMOVE.ESPECIAL</t>
  </si>
  <si>
    <t>Remove caracteres especiais. Utiliza a função AUX.TROCAR</t>
  </si>
  <si>
    <t>MIG_GERA.SCRIPT</t>
  </si>
  <si>
    <t>Gera um script substituíndo um texto (script) com mnemônicos de um array por valores de outro array de valores.</t>
  </si>
  <si>
    <t>Base</t>
  </si>
  <si>
    <t>protótipo</t>
  </si>
  <si>
    <t>MIG_NORMA.DATA</t>
  </si>
  <si>
    <t>Normaliza um valor para data</t>
  </si>
  <si>
    <t>MIG_NORMA.TEXTO</t>
  </si>
  <si>
    <t>Normaliza um valor de texto. Remove espaçoes me branco, caracteres especiais e torna o texto maiúsculo.</t>
  </si>
  <si>
    <t>MIG_NORMA.DECIMAL</t>
  </si>
  <si>
    <t>Normaliza um número para ser inserido no banco de dados</t>
  </si>
  <si>
    <t>MIG_NORMA.NÚMERICO</t>
  </si>
  <si>
    <t>Retorna apenas os números de um texto</t>
  </si>
  <si>
    <t>MIG_QRY.CHAVES</t>
  </si>
  <si>
    <t>@NRORG@</t>
  </si>
  <si>
    <t>Apenas excluir após a linha 27.</t>
  </si>
  <si>
    <t>Lista de alterações de escala existentes</t>
  </si>
  <si>
    <t>BASE</t>
  </si>
  <si>
    <t>DADOS</t>
  </si>
  <si>
    <t>SCRIPT</t>
  </si>
  <si>
    <t>000000000</t>
  </si>
  <si>
    <t>206357</t>
  </si>
  <si>
    <t>01/01/1999  00:00:00</t>
  </si>
  <si>
    <t>001800912</t>
  </si>
  <si>
    <t>211527</t>
  </si>
  <si>
    <t>01/04/2022  00:00:00</t>
  </si>
  <si>
    <t>001810219</t>
  </si>
  <si>
    <t>205357</t>
  </si>
  <si>
    <t>04/02/2019  00:00:00</t>
  </si>
  <si>
    <t>001810400</t>
  </si>
  <si>
    <t>211978</t>
  </si>
  <si>
    <t>22/07/2019  00:00:00</t>
  </si>
  <si>
    <t>17/11/2021  00:00:00</t>
  </si>
  <si>
    <t>4</t>
  </si>
  <si>
    <t>203510 - ABIGAIL DA MOTA LIMA MATOS (018010101), 01/06/2022: 45 - 06:30 12:00 13:00 16:18 - Seg a Sex - Mensal 220</t>
  </si>
  <si>
    <t>203511 - ABIGAIL MARIA DO NASCIMENTO (018987987), 01/06/2022: 90 - INATIVO 07:00-12:00-13:00-16:48 Seg a Sex</t>
  </si>
  <si>
    <t>203512 - ABRAAO DOS SANTOS SILVA (018102541), 14/02/2019: 147 - 07:00 12:00 13:00 16:48 - Seg a Sex - Mensal 220</t>
  </si>
  <si>
    <t>203513 - ACACIA APARECIDA DE ARAUJO (018105082), 22/02/2021: 90 - INATIVO 07:00-12:00-13:00-16:48 Seg a Sex</t>
  </si>
  <si>
    <t>INSERT INTO GPE_ALTEESCALA ( NRORG, NRALTEESCALA, NRVINCULOM, DTINIESCALA, NRESCALATRABM, DTINCLUSAO, NRORGINCLUSAO, CDOPERINCLUSAO, DSOBSERVACAO ) VALUES ( @NRORG@, @NRALTEESCALA@, @NRVINCULOM@, '@DTINIESCALA@', @NRESCALATRABM@, SYSDATE, @NRORG@, '000000099991', 'Gerado via migracao' ); COMMIT;</t>
  </si>
  <si>
    <t>/*Alterações de escala existentes*/
SELECT
  VM.CDMATRICULA || TO_CHAR( AE.DTINIESCALA, 'DD/MM/YYYY' ) || AE.NRESCALATRABM MESC_CDMATRICULA,
  VM.NRVINCULOM  || TO_CHAR( AE.DTINIESCALA, 'DD/MM/YYYY' ) || AE.NRESCALATRABM MESC_NRVINCULOM,
  AE.NRVINCULOM       || ' - ' ||
    VM.NMVINCULOM     || ' ('  ||
    VM.CDMATRICULA    || '), ' ||
    TO_CHAR( AE.DTINIESCALA, 'DD/MM/YYYY' ) || ': ' ||
    AE.NRESCALATRABM  || ' - ' ||
    ETH.NMESCALATRABH DESCRICAO
FROM GPE_ALTEESCALA AE
JOIN GPE_VINCULOM VM ON VM.NRORG      = AE.NRORG
                    AND VM.NRVINCULOM = AE.NRVINCULOM
JOIN GPE_VINCULOH VH ON VH.NRORG          = AE.NRORG
                    AND VH.NRVINCULOM     = AE.NRVINCULOM
                    AND VH.DTMESCOMPETENC = ( SELECT MAX(DTMESCOMPETENC)
                                              FROM GPE_VINCULOH
                                              WHERE NRORG          = VH.NRORG
                                                AND NRVINCULOM     = VH.NRVINCULOM
                                                AND DTMESCOMPETENC &lt;= :P_DTMESCOMPETENC )
JOIN GPE_ESCALATRABH ETH ON ETH.NRORG          = AE.NRORG
                        AND ETH.NRESCALATRABM  = AE.NRESCALATRABM
                        AND ETH.DTMESCOMPETENC = ( SELECT MAX( DTMESCOMPETENC )
                                                   FROM GPE_ESCALATRABH
                                                   WHERE NRORG           = ETH.NRORG
                                                     AND NRESCALATRABM   = ETH.NRESCALATRABM
                                                     AND DTMESCOMPETENC &lt;= :P_DTMESCOMPETENC )
WHERE AE.NRORG = :P_NRORG
ORDER BY AE.NRVINCULOM, AE.DTINIESCALA ;</t>
  </si>
  <si>
    <t>01801010101/06/202245</t>
  </si>
  <si>
    <t>20351001/06/202245</t>
  </si>
  <si>
    <t>01898798701/06/202290</t>
  </si>
  <si>
    <t>20351101/06/202290</t>
  </si>
  <si>
    <t>01810254114/02/2019147</t>
  </si>
  <si>
    <t>20351214/02/2019147</t>
  </si>
  <si>
    <t>01810508222/02/202190</t>
  </si>
  <si>
    <t>20351322/02/202190</t>
  </si>
  <si>
    <t>SQL&gt; INSERT INTO GPE_ALTEESCALA .*? VALUES \(\s*[^,]+,\s*[^,]+,\s*(\d+),\s*'([^']*)',\s*(\d+).*?\);\s.*\s.*\s.*\s.*</t>
  </si>
  <si>
    <t>-&gt; Vínculo: $1, data de inicio: $2, escala de trabalho: $3</t>
  </si>
  <si>
    <t>regex para localizar e substituir o texto no log de erro</t>
  </si>
  <si>
    <t>INSERT INTO GPE_ALTEESCALA ( NRORG, NRALTEESCALA, NRVINCULOM, DTINIESCALA, NRESCALATRABM, DTINCLUSAO, NRORGINCLUSAO, CDOPERINCLUSAO, DSOBSERVACAO ) VALUES ( @NRORG@, @NRALTEESCALA@, ( SELECT /*MAX(*/ NRVINCULOM /*)*/ FROM GPE_VINCULOM WHERE NRORG = @NRORG@ AND CDMATRICULA = '@NRVINCULOM@' ), '@DTINIESCALA@', @NRESCALATRABM@, SYSDATE, @NRORG@, '000000099991', 'Gerado via migracao' ); COMMIT;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</si>
</sst>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sz val="8"/>
      <color theme="9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  <charset val="1"/>
    </font>
    <font>
      <i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8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D7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rgb="FFFFC8C8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8">
    <xf numFmtId="0" fontId="0" fillId="0" borderId="0"/>
    <xf numFmtId="0" fontId="10" fillId="0" borderId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4" fillId="12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14" fillId="3" borderId="0" xfId="0" applyFont="1" applyFill="1" applyAlignment="1">
      <alignment vertical="top" wrapText="1"/>
    </xf>
    <xf numFmtId="0" fontId="15" fillId="3" borderId="0" xfId="0" applyFont="1" applyFill="1"/>
    <xf numFmtId="0" fontId="16" fillId="2" borderId="0" xfId="0" applyFont="1" applyFill="1" applyAlignment="1">
      <alignment horizontal="center" vertical="top" wrapText="1"/>
    </xf>
    <xf numFmtId="0" fontId="14" fillId="2" borderId="0" xfId="0" applyFont="1" applyFill="1" applyAlignment="1">
      <alignment vertical="top" wrapText="1"/>
    </xf>
    <xf numFmtId="0" fontId="2" fillId="3" borderId="0" xfId="0" applyFont="1" applyFill="1"/>
    <xf numFmtId="0" fontId="13" fillId="3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quotePrefix="1" applyFont="1" applyFill="1"/>
    <xf numFmtId="0" fontId="6" fillId="3" borderId="0" xfId="0" quotePrefix="1" applyFont="1" applyFill="1"/>
    <xf numFmtId="0" fontId="2" fillId="3" borderId="0" xfId="0" applyFont="1" applyFill="1" applyAlignment="1">
      <alignment horizontal="left" vertical="top" wrapText="1"/>
    </xf>
    <xf numFmtId="49" fontId="0" fillId="6" borderId="0" xfId="0" applyNumberFormat="1" applyFill="1"/>
    <xf numFmtId="49" fontId="11" fillId="0" borderId="0" xfId="0" applyNumberFormat="1" applyFont="1"/>
    <xf numFmtId="49" fontId="12" fillId="7" borderId="0" xfId="0" applyNumberFormat="1" applyFont="1" applyFill="1" applyAlignment="1">
      <alignment wrapText="1"/>
    </xf>
    <xf numFmtId="0" fontId="5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49" fontId="14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left"/>
    </xf>
    <xf numFmtId="0" fontId="17" fillId="3" borderId="0" xfId="0" applyFont="1" applyFill="1"/>
    <xf numFmtId="0" fontId="3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18" fillId="2" borderId="0" xfId="0" applyFont="1" applyFill="1"/>
    <xf numFmtId="0" fontId="9" fillId="10" borderId="0" xfId="0" applyFont="1" applyFill="1"/>
    <xf numFmtId="0" fontId="18" fillId="3" borderId="0" xfId="0" applyFont="1" applyFill="1"/>
    <xf numFmtId="0" fontId="15" fillId="2" borderId="0" xfId="0" applyFont="1" applyFill="1"/>
    <xf numFmtId="0" fontId="3" fillId="11" borderId="0" xfId="0" applyFont="1" applyFill="1"/>
    <xf numFmtId="0" fontId="2" fillId="11" borderId="0" xfId="0" applyFont="1" applyFill="1"/>
    <xf numFmtId="0" fontId="4" fillId="11" borderId="0" xfId="0" applyFont="1" applyFill="1" applyAlignment="1">
      <alignment horizontal="center"/>
    </xf>
    <xf numFmtId="0" fontId="14" fillId="3" borderId="0" xfId="0" applyFont="1" applyFill="1"/>
    <xf numFmtId="0" fontId="7" fillId="3" borderId="0" xfId="0" quotePrefix="1" applyFont="1" applyFill="1" applyAlignment="1">
      <alignment horizontal="center"/>
    </xf>
    <xf numFmtId="0" fontId="6" fillId="3" borderId="0" xfId="0" quotePrefix="1" applyFont="1" applyFill="1" applyAlignment="1">
      <alignment horizontal="center"/>
    </xf>
    <xf numFmtId="49" fontId="19" fillId="0" borderId="0" xfId="0" applyNumberFormat="1" applyFont="1"/>
    <xf numFmtId="49" fontId="2" fillId="6" borderId="0" xfId="0" applyNumberFormat="1" applyFont="1" applyFill="1"/>
    <xf numFmtId="0" fontId="11" fillId="3" borderId="0" xfId="0" applyFont="1" applyFill="1" applyAlignment="1">
      <alignment horizont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top" wrapText="1"/>
    </xf>
    <xf numFmtId="0" fontId="20" fillId="0" borderId="0" xfId="6"/>
    <xf numFmtId="0" fontId="22" fillId="0" borderId="1" xfId="3"/>
    <xf numFmtId="0" fontId="23" fillId="0" borderId="2" xfId="4" applyFill="1"/>
    <xf numFmtId="14" fontId="20" fillId="0" borderId="0" xfId="6" applyNumberFormat="1"/>
    <xf numFmtId="0" fontId="2" fillId="0" borderId="0" xfId="6" applyFont="1" applyAlignment="1">
      <alignment wrapText="1"/>
    </xf>
    <xf numFmtId="0" fontId="24" fillId="12" borderId="0" xfId="5"/>
    <xf numFmtId="16" fontId="20" fillId="0" borderId="0" xfId="6" applyNumberFormat="1"/>
    <xf numFmtId="4" fontId="20" fillId="0" borderId="0" xfId="6" quotePrefix="1" applyNumberFormat="1"/>
    <xf numFmtId="0" fontId="16" fillId="13" borderId="0" xfId="0" applyFont="1" applyFill="1" applyAlignment="1">
      <alignment horizontal="center" vertical="top" wrapText="1"/>
    </xf>
    <xf numFmtId="0" fontId="14" fillId="13" borderId="0" xfId="0" applyFont="1" applyFill="1" applyAlignment="1">
      <alignment vertical="top" wrapText="1"/>
    </xf>
    <xf numFmtId="0" fontId="15" fillId="8" borderId="0" xfId="0" applyFont="1" applyFill="1"/>
    <xf numFmtId="0" fontId="2" fillId="8" borderId="0" xfId="0" applyFont="1" applyFill="1"/>
    <xf numFmtId="49" fontId="2" fillId="11" borderId="0" xfId="0" applyNumberFormat="1" applyFont="1" applyFill="1"/>
    <xf numFmtId="0" fontId="26" fillId="11" borderId="0" xfId="0" applyFont="1" applyFill="1"/>
    <xf numFmtId="0" fontId="28" fillId="0" borderId="0" xfId="0" applyFont="1" applyAlignment="1">
      <alignment horizontal="center" vertical="center" wrapText="1"/>
    </xf>
    <xf numFmtId="0" fontId="18" fillId="9" borderId="0" xfId="0" quotePrefix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vertical="top" wrapText="1"/>
    </xf>
    <xf numFmtId="0" fontId="29" fillId="2" borderId="0" xfId="0" applyFont="1" applyFill="1" applyAlignment="1">
      <alignment horizontal="center" vertical="center" wrapText="1"/>
    </xf>
    <xf numFmtId="0" fontId="14" fillId="4" borderId="0" xfId="0" quotePrefix="1" applyFont="1" applyFill="1" applyAlignment="1">
      <alignment horizontal="left" vertical="center"/>
    </xf>
    <xf numFmtId="0" fontId="30" fillId="5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0" fillId="8" borderId="0" xfId="0" applyFill="1"/>
    <xf numFmtId="49" fontId="1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2" fillId="0" borderId="0" xfId="7" applyNumberFormat="1" applyFont="1" applyFill="1" applyBorder="1" applyAlignment="1">
      <alignment horizontal="center" vertical="center" readingOrder="1"/>
    </xf>
    <xf numFmtId="0" fontId="17" fillId="0" borderId="0" xfId="7" applyNumberFormat="1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17" fillId="0" borderId="4" xfId="0" applyFont="1" applyBorder="1" applyAlignment="1">
      <alignment horizontal="center" vertical="center" readingOrder="1"/>
    </xf>
    <xf numFmtId="0" fontId="17" fillId="0" borderId="0" xfId="0" applyFont="1" applyAlignment="1">
      <alignment horizontal="center" vertical="center" readingOrder="1"/>
    </xf>
    <xf numFmtId="0" fontId="1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vertical="center" readingOrder="1"/>
    </xf>
    <xf numFmtId="0" fontId="27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4" fillId="9" borderId="0" xfId="0" quotePrefix="1" applyFont="1" applyFill="1" applyAlignment="1">
      <alignment vertical="top" wrapText="1"/>
    </xf>
    <xf numFmtId="0" fontId="25" fillId="11" borderId="0" xfId="0" applyFont="1" applyFill="1" applyAlignment="1">
      <alignment horizontal="center" vertical="center" wrapText="1"/>
    </xf>
    <xf numFmtId="0" fontId="18" fillId="9" borderId="0" xfId="0" quotePrefix="1" applyFont="1" applyFill="1" applyAlignment="1">
      <alignment horizontal="left" vertical="center" wrapText="1"/>
    </xf>
    <xf numFmtId="0" fontId="21" fillId="0" borderId="0" xfId="2" applyAlignment="1">
      <alignment horizontal="center"/>
    </xf>
  </cellXfs>
  <cellStyles count="8">
    <cellStyle name="Neutro" xfId="5" builtinId="28"/>
    <cellStyle name="Normal" xfId="0" builtinId="0"/>
    <cellStyle name="Normal 2" xfId="1" xr:uid="{9AEF6ACB-954B-4FE6-A63D-A40767769A08}"/>
    <cellStyle name="Normal 2 2" xfId="6" xr:uid="{58D8622C-B4D2-41B1-98D9-1978ADD60FF5}"/>
    <cellStyle name="Título" xfId="2" builtinId="15"/>
    <cellStyle name="Título 1" xfId="3" builtinId="16"/>
    <cellStyle name="Título 2" xfId="4" builtinId="17"/>
    <cellStyle name="Vírgula" xfId="7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5EB5-EC76-4C7E-9B60-2EF08D6BE95D}">
  <dimension ref="A1:AH3587"/>
  <sheetViews>
    <sheetView tabSelected="1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J2" sqref="J2"/>
    </sheetView>
  </sheetViews>
  <sheetFormatPr defaultRowHeight="15" x14ac:dyDescent="0.25"/>
  <cols>
    <col min="1" max="1" width="12.5703125" style="3" bestFit="1" customWidth="1"/>
    <col min="2" max="2" width="14.140625" bestFit="1" customWidth="1"/>
    <col min="3" max="3" width="8.5703125" style="3" bestFit="1" customWidth="1"/>
    <col min="4" max="4" width="14.5703125" style="8" bestFit="1" customWidth="1"/>
    <col min="5" max="5" width="10.85546875" style="24" bestFit="1" customWidth="1"/>
    <col min="6" max="6" width="14" style="24" bestFit="1" customWidth="1"/>
    <col min="7" max="7" width="13.28515625" style="35" bestFit="1" customWidth="1"/>
    <col min="8" max="8" width="12.42578125" style="22" bestFit="1" customWidth="1"/>
    <col min="9" max="9" width="15.7109375" style="22" bestFit="1" customWidth="1"/>
    <col min="10" max="10" width="70.7109375" style="24" customWidth="1"/>
    <col min="11" max="11" width="30.7109375" style="66" customWidth="1"/>
    <col min="12" max="12" width="16.5703125" style="35" bestFit="1" customWidth="1"/>
    <col min="13" max="13" width="18.7109375" style="33" bestFit="1" customWidth="1"/>
    <col min="14" max="14" width="12.140625" style="33" bestFit="1" customWidth="1"/>
    <col min="15" max="15" width="7.140625" style="8" customWidth="1"/>
    <col min="16" max="16" width="7.140625" style="8" bestFit="1" customWidth="1"/>
    <col min="17" max="17" width="15.7109375" style="54" customWidth="1"/>
    <col min="18" max="18" width="7.140625" style="8" bestFit="1" customWidth="1"/>
    <col min="19" max="19" width="15.7109375" style="54" customWidth="1"/>
    <col min="20" max="20" width="22.42578125" style="8" customWidth="1"/>
    <col min="21" max="21" width="15.7109375" style="8" customWidth="1"/>
    <col min="22" max="22" width="15.7109375" style="54" customWidth="1"/>
    <col min="23" max="23" width="15.7109375" style="8" customWidth="1"/>
    <col min="24" max="24" width="9.140625" customWidth="1"/>
    <col min="25" max="25" width="11.28515625" bestFit="1" customWidth="1"/>
    <col min="26" max="26" width="40.7109375" customWidth="1"/>
    <col min="27" max="27" width="11.28515625" bestFit="1" customWidth="1"/>
    <col min="28" max="28" width="30.7109375" customWidth="1"/>
    <col min="29" max="29" width="11.28515625" bestFit="1" customWidth="1"/>
    <col min="30" max="30" width="50.7109375" customWidth="1"/>
    <col min="31" max="31" width="7" bestFit="1" customWidth="1"/>
    <col min="33" max="34" width="30.7109375" customWidth="1"/>
  </cols>
  <sheetData>
    <row r="1" spans="1:34" s="2" customFormat="1" x14ac:dyDescent="0.25">
      <c r="A1" s="79" t="s">
        <v>6</v>
      </c>
      <c r="B1" s="80" t="s">
        <v>6</v>
      </c>
      <c r="C1" s="79" t="s">
        <v>6</v>
      </c>
      <c r="D1" s="12" t="s">
        <v>3</v>
      </c>
      <c r="E1" s="13" t="s">
        <v>87</v>
      </c>
      <c r="F1" s="13" t="s">
        <v>4</v>
      </c>
      <c r="G1" s="14" t="s">
        <v>5</v>
      </c>
      <c r="H1" s="36" t="s">
        <v>7</v>
      </c>
      <c r="I1" s="37" t="s">
        <v>8</v>
      </c>
      <c r="J1" s="11" t="s">
        <v>9</v>
      </c>
      <c r="K1" s="25" t="s">
        <v>10</v>
      </c>
      <c r="L1" s="11"/>
      <c r="M1" s="32"/>
      <c r="N1" s="32"/>
      <c r="O1" s="9"/>
      <c r="P1" s="9"/>
      <c r="Q1" s="51" t="s">
        <v>26</v>
      </c>
      <c r="R1" s="9"/>
      <c r="S1" s="51"/>
      <c r="T1" s="6"/>
      <c r="U1" s="6"/>
      <c r="V1" s="51"/>
      <c r="W1" s="6"/>
      <c r="X1"/>
      <c r="Y1" s="57"/>
      <c r="Z1" s="58" t="s">
        <v>38</v>
      </c>
      <c r="AA1"/>
      <c r="AB1" s="58" t="s">
        <v>33</v>
      </c>
      <c r="AC1"/>
      <c r="AD1" s="59" t="s">
        <v>11</v>
      </c>
      <c r="AE1" s="1"/>
      <c r="AG1" s="83" t="s">
        <v>123</v>
      </c>
      <c r="AH1" s="83"/>
    </row>
    <row r="2" spans="1:34" ht="135" x14ac:dyDescent="0.25">
      <c r="A2" s="67" t="s">
        <v>0</v>
      </c>
      <c r="B2" s="67" t="s">
        <v>1</v>
      </c>
      <c r="C2" s="67" t="s">
        <v>2</v>
      </c>
      <c r="D2" s="19">
        <v>4838</v>
      </c>
      <c r="F2" s="20">
        <v>14957</v>
      </c>
      <c r="G2" s="21" t="str">
        <f>A2</f>
        <v>Nr Vinculo</v>
      </c>
      <c r="H2" s="21" t="str">
        <f>B2</f>
        <v>Dt Alteracao</v>
      </c>
      <c r="I2" s="21" t="str">
        <f>C2</f>
        <v>Escala</v>
      </c>
      <c r="J2" s="15" t="str" cm="1">
        <f t="array" aca="1" ref="J2" ca="1">_xlfn.XLOOKUP( $D$4, INDIRECT( N18 ), INDIRECT( N19 ) )</f>
        <v>INSERT INTO GPE_ALTEESCALA ( NRORG, NRALTEESCALA, NRVINCULOM, DTINIESCALA, NRESCALATRABM, DTINCLUSAO, NRORGINCLUSAO, CDOPERINCLUSAO, DSOBSERVACAO ) VALUES ( @NRORG@, @NRALTEESCALA@, @NRVINCULOM@, '@DTINIESCALA@', @NRESCALATRABM@, SYSDATE, @NRORG@, '000000099991', 'Gerado via migracao' ); COMMIT;</v>
      </c>
      <c r="K2" s="26"/>
      <c r="L2" s="11" t="s">
        <v>50</v>
      </c>
      <c r="M2" s="32" t="s">
        <v>41</v>
      </c>
      <c r="N2" s="32"/>
      <c r="O2" s="4"/>
      <c r="P2" s="4" t="s">
        <v>27</v>
      </c>
      <c r="Q2" s="52" t="str">
        <f ca="1">" - Lista de vínculos (via "&amp;IF(D4="CDMATRICULA","matrícula","nro vínculo") &amp;") não encontrados no sistema / planilha 04_Vinculo. "&amp;(COUNTA(_xlfn.ANCHORARRAY(Q3))-1)&amp;" ocorrência(s):"</f>
        <v xml:space="preserve"> - Lista de vínculos (via nro vínculo) não encontrados no sistema / planilha 04_Vinculo. 24 ocorrência(s):</v>
      </c>
      <c r="R2" s="4" t="s">
        <v>29</v>
      </c>
      <c r="S2" s="52" t="str">
        <f ca="1">" - Lista de escalas de trabalhos não encontradas no sistema. " &amp; ( COUNTA(_xlfn.ANCHORARRAY( S3) ) - 1 ) &amp; " ocorrência(s):"</f>
        <v xml:space="preserve"> - Lista de escalas de trabalhos não encontradas no sistema. 6 ocorrência(s):</v>
      </c>
      <c r="T2" s="7" t="s">
        <v>55</v>
      </c>
      <c r="U2" s="7" t="s">
        <v>89</v>
      </c>
      <c r="V2" s="52" t="str">
        <f>" - Lista alterações de escala de trabalho já cadastradas no sistema:"</f>
        <v xml:space="preserve"> - Lista alterações de escala de trabalho já cadastradas no sistema:</v>
      </c>
      <c r="W2" s="7"/>
      <c r="X2" s="10" t="s">
        <v>32</v>
      </c>
      <c r="Y2" s="57"/>
      <c r="Z2" s="60" t="str">
        <f ca="1">"/*"&amp;Z4&amp;"*/
SELECT A + 1 A, B - 1 B, B - A - 1 LENGHT, (SELECT TO_NUMBER(NRSEQUENCIAL) FROM NOVOCODIGO WHERE NRORG = "&amp;Z9&amp;" AND CDCONTADOR = '"&amp;Z4&amp;"') NOVOCODIGO FROM (SELECT 0 A, MIN("&amp;Z5&amp;") B FROM "&amp;Z4&amp;" WHERE NRORG = "&amp;Z9&amp;" UNION ALL SELECT "&amp;Z5&amp;", LEAD("&amp;Z5&amp;") OVER (ORDER BY "&amp;Z5&amp;") FROM "&amp;Z4&amp;" WHERE NRORG = "&amp;Z9&amp;" ) WHERE B - A &gt; "&amp;Z8&amp;" OR B IS NULL ORDER BY A;"</f>
        <v>/*GPE_ALTEESCALA*/
SELECT A + 1 A, B - 1 B, B - A - 1 LENGHT, (SELECT TO_NUMBER(NRSEQUENCIAL) FROM NOVOCODIGO WHERE NRORG = 4838 AND CDCONTADOR = 'GPE_ALTEESCALA') NOVOCODIGO FROM (SELECT 0 A, MIN(NRALTEESCALA) B FROM GPE_ALTEESCALA WHERE NRORG = 4838 UNION ALL SELECT NRALTEESCALA, LEAD(NRALTEESCALA) OVER (ORDER BY NRALTEESCALA) FROM GPE_ALTEESCALA WHERE NRORG = 4838 ) WHERE B - A &gt; 1 OR B IS NULL ORDER BY A;</v>
      </c>
      <c r="AB2" s="60" t="str">
        <f ca="1">"SELECT '--'||COUNT(1)||': "&amp;AB4&amp;"' STATUS FROM "&amp;AB4&amp;" WHERE NRORG = "&amp;AB9&amp;" AND "&amp;AB5&amp;" BETWEEN "&amp;AB6&amp;" AND "&amp;AB7&amp;"; /*UNION ALL*/"</f>
        <v>SELECT '--'||COUNT(1)||': GPE_ALTEESCALA' STATUS FROM GPE_ALTEESCALA WHERE NRORG = 4838 AND NRALTEESCALA BETWEEN 14957 AND 14957; /*UNION ALL*/</v>
      </c>
      <c r="AC2" s="60" t="s">
        <v>28</v>
      </c>
      <c r="AD2" s="60" t="str">
        <f t="shared" ref="AD2" ca="1" si="0">"MERGE INTO NOVOCODIGO NC
  USING ( SELECT LPAD( MAX( "&amp;AD5&amp;" ) + 1, 20, '0' ) NRSEQUENCIAL
          FROM "&amp;AD4&amp;"
          WHERE NRORG = "&amp;AD9&amp;"
        ) TABELA
  ON (     NC.NRORG      = "&amp;AD9&amp;"
       AND NC.CDCONTADOR = '"&amp;AD4&amp;"' )
  WHEN     MATCHED THEN
    UPDATE SET NC.NRSEQUENCIAL = TABELA.NRSEQUENCIAL
  WHEN NOT MATCHED THEN
    INSERT ( CDCONTADOR, NRSEQUENCIAL, NRORG, DTINCLUSAO )
    VALUES ( '"&amp;AD4&amp;"', TABELA.NRSEQUENCIAL, "&amp;AD9&amp;", SYSDATE );"</f>
        <v>MERGE INTO NOVOCODIGO NC
  USING ( SELECT LPAD( MAX( NRALTEESCALA ) + 1, 20, '0' ) NRSEQUENCIAL
          FROM GPE_ALTEESCALA
          WHERE NRORG = 4838
        ) TABELA
  ON (     NC.NRORG      = 4838
       AND NC.CDCONTADOR = 'GPE_ALTEESCALA' )
  WHEN     MATCHED THEN
    UPDATE SET NC.NRSEQUENCIAL = TABELA.NRSEQUENCIAL
  WHEN NOT MATCHED THEN
    INSERT ( CDCONTADOR, NRSEQUENCIAL, NRORG, DTINCLUSAO )
    VALUES ( 'GPE_ALTEESCALA', TABELA.NRSEQUENCIAL, 4838, SYSDATE );</v>
      </c>
      <c r="AE2" s="60" t="s">
        <v>12</v>
      </c>
      <c r="AG2" s="81" t="s">
        <v>121</v>
      </c>
      <c r="AH2" s="81" t="s">
        <v>122</v>
      </c>
    </row>
    <row r="3" spans="1:34" x14ac:dyDescent="0.25">
      <c r="A3" s="68">
        <v>213078</v>
      </c>
      <c r="B3" s="69">
        <v>45261</v>
      </c>
      <c r="C3" s="70">
        <v>91</v>
      </c>
      <c r="D3" s="28" t="s">
        <v>39</v>
      </c>
      <c r="E3" s="22">
        <f t="shared" ref="E3:E27" si="1">$D$2</f>
        <v>4838</v>
      </c>
      <c r="F3" s="22">
        <f t="shared" ref="F3" ca="1" si="2">IF( P3 = "existe", F2 + 1, F2 )</f>
        <v>14957</v>
      </c>
      <c r="G3" s="31" t="str">
        <f>IF( $D$6 = 0, TRIM( A3 ), TEXT( TRIM( A3 ), REPT(  "0", $D$6 ) ) )</f>
        <v>213078</v>
      </c>
      <c r="H3" s="22" t="str">
        <f>TEXT( TRIM( B3 ), "DD/MM/AAAA" )</f>
        <v>01/12/2023</v>
      </c>
      <c r="I3" s="22">
        <f>C3 * 1</f>
        <v>91</v>
      </c>
      <c r="J3" s="23" t="str" cm="1">
        <f t="array" aca="1" ref="J3" ca="1">MIG_GERA.SCRIPT( $J$2, $E$1:$I$1, E3:I3 )</f>
        <v>INSERT INTO GPE_ALTEESCALA ( NRORG, NRALTEESCALA, NRVINCULOM, DTINIESCALA, NRESCALATRABM, DTINCLUSAO, NRORGINCLUSAO, CDOPERINCLUSAO, DSOBSERVACAO ) VALUES ( 4838, 14957, 213078, '01/12/2023', 91, SYSDATE, 4838, '000000099991', 'Gerado via migracao' ); COMMIT;</v>
      </c>
      <c r="K3" s="27" t="str">
        <f ca="1">IF( ( P3 = "existe" ) * ( R3 = "existe" ) * ( T3 = "não existe" ), J3, "" )</f>
        <v/>
      </c>
      <c r="L3" s="23" t="str" cm="1">
        <f t="array" aca="1" ref="L3:L27" ca="1">INDIRECT( N5 ) &amp; INDIRECT( N6 ) &amp; INDIRECT( N7 )</f>
        <v>21307801/12/202391</v>
      </c>
      <c r="M3" s="32" t="s">
        <v>91</v>
      </c>
      <c r="O3" s="5"/>
      <c r="P3" s="5" t="str" cm="1">
        <f t="array" aca="1" ref="P3:P27" ca="1">IF( COUNTIF( INDIRECT( N13 ), INDIRECT( N5 ) ) &gt;= 1, "existe", INDIRECT( N5 ) )</f>
        <v>213078</v>
      </c>
      <c r="Q3" s="53" t="str" cm="1">
        <f t="array" aca="1" ref="Q3:Q27" ca="1">"  - " &amp; _xlfn._xlws.SORT( _xlfn.UNIQUE( IF(_xlfn.ANCHORARRAY( P3) = "existe", "",_xlfn.ANCHORARRAY( P3) ) ) )</f>
        <v xml:space="preserve">  - 213017</v>
      </c>
      <c r="R3" s="5" cm="1">
        <f t="array" aca="1" ref="R3:R27" ca="1">IF( COUNTIF( INDIRECT( N14 ), INDIRECT( N7 ) ) &gt;= 1, "existe", INDIRECT( N7 )  )</f>
        <v>91</v>
      </c>
      <c r="S3" s="53" t="str" cm="1">
        <f t="array" aca="1" ref="S3:S9" ca="1">"  - " &amp; _xlfn._xlws.SORT( _xlfn.UNIQUE( IF(_xlfn.ANCHORARRAY( R3) =  "existe", "",_xlfn.ANCHORARRAY( R3) ) ) )</f>
        <v xml:space="preserve">  - 45</v>
      </c>
      <c r="T3" s="5" t="str" cm="1">
        <f t="array" aca="1" ref="T3:T27" ca="1">IF( COUNTIF( INDIRECT( N15 ),_xlfn.ANCHORARRAY( L3)) &gt;=1, INDIRECT(N8), "não existe")</f>
        <v>não existe</v>
      </c>
      <c r="U3" s="5" t="str" cm="1">
        <f t="array" aca="1" ref="U3" ca="1">_xlfn._xlws.SORT( _xlfn.UNIQUE( IF(_xlfn.ANCHORARRAY( T3) = "não existe", "",_xlfn.ANCHORARRAY( T3) ) ) )</f>
        <v/>
      </c>
      <c r="V3" s="53" t="e" cm="1">
        <f t="array" aca="1" ref="V3" ca="1">"  - " &amp; _xlfn.XLOOKUP(_xlfn.ANCHORARRAY( U3), INDIRECT( $N$15 ), INDIRECT( $N$16 ) )</f>
        <v>#N/A</v>
      </c>
      <c r="W3" s="5" t="str" cm="1">
        <f t="array" aca="1" ref="W3" ca="1">_xlfn.UNIQUE( IF( COUNTIF( INDIRECT( N8 ),_xlfn.ANCHORARRAY( L3)) &gt; 1,_xlfn.ANCHORARRAY( L3), "" ) )</f>
        <v/>
      </c>
      <c r="Y3" s="61" t="s">
        <v>13</v>
      </c>
      <c r="Z3" s="62" t="s">
        <v>4</v>
      </c>
      <c r="AA3" s="61"/>
      <c r="AB3" s="63"/>
      <c r="AC3" s="61"/>
      <c r="AD3" s="63"/>
    </row>
    <row r="4" spans="1:34" x14ac:dyDescent="0.25">
      <c r="A4" s="68">
        <v>213077</v>
      </c>
      <c r="B4" s="69">
        <v>45261</v>
      </c>
      <c r="C4" s="70">
        <v>91</v>
      </c>
      <c r="D4" s="29" t="s">
        <v>22</v>
      </c>
      <c r="E4" s="22">
        <f t="shared" si="1"/>
        <v>4838</v>
      </c>
      <c r="F4" s="22">
        <f t="shared" ref="F4:F26" ca="1" si="3">IF( P4 = "existe", F3 + 1, F3 )</f>
        <v>14957</v>
      </c>
      <c r="G4" s="31" t="str">
        <f t="shared" ref="G4:G26" si="4">IF( $D$6 = 0, TRIM( A4 ), TEXT( TRIM( A4 ), REPT(  "0", $D$6 ) ) )</f>
        <v>213077</v>
      </c>
      <c r="H4" s="22" t="str">
        <f t="shared" ref="H4:H26" si="5">TEXT( TRIM( B4 ), "DD/MM/AAAA" )</f>
        <v>01/12/2023</v>
      </c>
      <c r="I4" s="22">
        <f t="shared" ref="I4:I26" si="6">C4 * 1</f>
        <v>91</v>
      </c>
      <c r="J4" s="23" t="str" cm="1">
        <f t="array" aca="1" ref="J4" ca="1">MIG_GERA.SCRIPT( $J$2, $E$1:$I$1, E4:I4 )</f>
        <v>INSERT INTO GPE_ALTEESCALA ( NRORG, NRALTEESCALA, NRVINCULOM, DTINIESCALA, NRESCALATRABM, DTINCLUSAO, NRORGINCLUSAO, CDOPERINCLUSAO, DSOBSERVACAO ) VALUES ( 4838, 14957, 213077, '01/12/2023', 91, SYSDATE, 4838, '000000099991', 'Gerado via migracao' ); COMMIT;</v>
      </c>
      <c r="K4" s="27" t="str">
        <f t="shared" ref="K4:K26" ca="1" si="7">IF( ( P4 = "existe" ) * ( R4 = "existe" ) * ( T4 = "não existe" ), J4, "" )</f>
        <v/>
      </c>
      <c r="L4" s="23" t="str">
        <f ca="1"/>
        <v>21307701/12/202391</v>
      </c>
      <c r="M4" s="33" t="s">
        <v>42</v>
      </c>
      <c r="N4" s="33">
        <f>COUNTA( A:A )</f>
        <v>27</v>
      </c>
      <c r="P4" s="8" t="str">
        <f ca="1"/>
        <v>213077</v>
      </c>
      <c r="Q4" s="54" t="str">
        <f ca="1"/>
        <v xml:space="preserve">  - 213021</v>
      </c>
      <c r="R4" s="8">
        <f ca="1"/>
        <v>91</v>
      </c>
      <c r="S4" s="54" t="str">
        <f ca="1"/>
        <v xml:space="preserve">  - 83</v>
      </c>
      <c r="T4" s="8" t="str">
        <f ca="1"/>
        <v>não existe</v>
      </c>
      <c r="V4" s="53"/>
      <c r="Y4" s="61" t="s">
        <v>14</v>
      </c>
      <c r="Z4" s="64" t="s">
        <v>20</v>
      </c>
      <c r="AA4" s="61" t="s">
        <v>14</v>
      </c>
      <c r="AB4" s="63" t="str">
        <f>Z4</f>
        <v>GPE_ALTEESCALA</v>
      </c>
      <c r="AC4" s="61" t="s">
        <v>14</v>
      </c>
      <c r="AD4" s="63" t="str">
        <f>AB4</f>
        <v>GPE_ALTEESCALA</v>
      </c>
    </row>
    <row r="5" spans="1:34" x14ac:dyDescent="0.25">
      <c r="A5" s="68">
        <v>213051</v>
      </c>
      <c r="B5" s="69">
        <v>45261</v>
      </c>
      <c r="C5" s="70">
        <v>91</v>
      </c>
      <c r="D5" s="30" t="s">
        <v>40</v>
      </c>
      <c r="E5" s="22">
        <f t="shared" si="1"/>
        <v>4838</v>
      </c>
      <c r="F5" s="22">
        <f t="shared" ca="1" si="3"/>
        <v>14957</v>
      </c>
      <c r="G5" s="31" t="str">
        <f t="shared" si="4"/>
        <v>213051</v>
      </c>
      <c r="H5" s="22" t="str">
        <f t="shared" si="5"/>
        <v>01/12/2023</v>
      </c>
      <c r="I5" s="22">
        <f t="shared" si="6"/>
        <v>91</v>
      </c>
      <c r="J5" s="23" t="str" cm="1">
        <f t="array" aca="1" ref="J5" ca="1">MIG_GERA.SCRIPT( $J$2, $E$1:$I$1, E5:I5 )</f>
        <v>INSERT INTO GPE_ALTEESCALA ( NRORG, NRALTEESCALA, NRVINCULOM, DTINIESCALA, NRESCALATRABM, DTINCLUSAO, NRORGINCLUSAO, CDOPERINCLUSAO, DSOBSERVACAO ) VALUES ( 4838, 14957, 213051, '01/12/2023', 91, SYSDATE, 4838, '000000099991', 'Gerado via migracao' ); COMMIT;</v>
      </c>
      <c r="K5" s="27" t="str">
        <f t="shared" ca="1" si="7"/>
        <v/>
      </c>
      <c r="L5" s="23" t="str">
        <f ca="1"/>
        <v>21305101/12/202391</v>
      </c>
      <c r="M5" s="33" t="s">
        <v>46</v>
      </c>
      <c r="N5" s="34" t="str">
        <f>"G3:G" &amp; $N$4</f>
        <v>G3:G27</v>
      </c>
      <c r="P5" s="8" t="str">
        <f ca="1"/>
        <v>213051</v>
      </c>
      <c r="Q5" s="54" t="str">
        <f ca="1"/>
        <v xml:space="preserve">  - 213022</v>
      </c>
      <c r="R5" s="8">
        <f ca="1"/>
        <v>91</v>
      </c>
      <c r="S5" s="54" t="str">
        <f ca="1"/>
        <v xml:space="preserve">  - 91</v>
      </c>
      <c r="T5" s="8" t="str">
        <f ca="1"/>
        <v>não existe</v>
      </c>
      <c r="Y5" s="61" t="s">
        <v>15</v>
      </c>
      <c r="Z5" s="64" t="s">
        <v>21</v>
      </c>
      <c r="AA5" s="61" t="s">
        <v>15</v>
      </c>
      <c r="AB5" s="63" t="str">
        <f>Z5</f>
        <v>NRALTEESCALA</v>
      </c>
      <c r="AC5" s="61" t="s">
        <v>15</v>
      </c>
      <c r="AD5" s="63" t="str">
        <f>AB5</f>
        <v>NRALTEESCALA</v>
      </c>
    </row>
    <row r="6" spans="1:34" x14ac:dyDescent="0.25">
      <c r="A6" s="68">
        <v>213033</v>
      </c>
      <c r="B6" s="69">
        <v>45261</v>
      </c>
      <c r="C6" s="70">
        <v>150</v>
      </c>
      <c r="D6" s="20">
        <v>0</v>
      </c>
      <c r="E6" s="22">
        <f t="shared" si="1"/>
        <v>4838</v>
      </c>
      <c r="F6" s="22">
        <f t="shared" ca="1" si="3"/>
        <v>14957</v>
      </c>
      <c r="G6" s="31" t="str">
        <f t="shared" si="4"/>
        <v>213033</v>
      </c>
      <c r="H6" s="22" t="str">
        <f t="shared" si="5"/>
        <v>01/12/2023</v>
      </c>
      <c r="I6" s="22">
        <f t="shared" si="6"/>
        <v>150</v>
      </c>
      <c r="J6" s="23" t="str" cm="1">
        <f t="array" aca="1" ref="J6" ca="1">MIG_GERA.SCRIPT( $J$2, $E$1:$I$1, E6:I6 )</f>
        <v>INSERT INTO GPE_ALTEESCALA ( NRORG, NRALTEESCALA, NRVINCULOM, DTINIESCALA, NRESCALATRABM, DTINCLUSAO, NRORGINCLUSAO, CDOPERINCLUSAO, DSOBSERVACAO ) VALUES ( 4838, 14957, 213033, '01/12/2023', 150, SYSDATE, 4838, '000000099991', 'Gerado via migracao' ); COMMIT;</v>
      </c>
      <c r="K6" s="27" t="str">
        <f t="shared" ca="1" si="7"/>
        <v/>
      </c>
      <c r="L6" s="23" t="str">
        <f ca="1"/>
        <v>21303301/12/2023150</v>
      </c>
      <c r="M6" s="55" t="str">
        <f>H2</f>
        <v>Dt Alteracao</v>
      </c>
      <c r="N6" s="34" t="str">
        <f>"H3:H" &amp; $N$4</f>
        <v>H3:H27</v>
      </c>
      <c r="P6" s="8" t="str">
        <f ca="1"/>
        <v>213033</v>
      </c>
      <c r="Q6" s="54" t="str">
        <f ca="1"/>
        <v xml:space="preserve">  - 213032</v>
      </c>
      <c r="R6" s="8">
        <f ca="1"/>
        <v>150</v>
      </c>
      <c r="S6" s="54" t="str">
        <f ca="1"/>
        <v xml:space="preserve">  - 106</v>
      </c>
      <c r="T6" s="8" t="str">
        <f ca="1"/>
        <v>não existe</v>
      </c>
      <c r="Y6" s="61" t="s">
        <v>16</v>
      </c>
      <c r="Z6" s="65">
        <f ca="1">MIN(OFFSET($A$1,2,MATCH(Z$3,$1:$1,0)-1,1048574,1))</f>
        <v>14957</v>
      </c>
      <c r="AA6" s="61" t="s">
        <v>16</v>
      </c>
      <c r="AB6" s="63">
        <f ca="1">Z6</f>
        <v>14957</v>
      </c>
      <c r="AC6" s="61"/>
      <c r="AD6" s="63"/>
    </row>
    <row r="7" spans="1:34" ht="15" customHeight="1" x14ac:dyDescent="0.25">
      <c r="A7" s="68">
        <v>213032</v>
      </c>
      <c r="B7" s="69">
        <v>45261</v>
      </c>
      <c r="C7" s="71">
        <v>83</v>
      </c>
      <c r="D7" s="82" t="s">
        <v>88</v>
      </c>
      <c r="E7" s="22">
        <f t="shared" si="1"/>
        <v>4838</v>
      </c>
      <c r="F7" s="22">
        <f t="shared" ca="1" si="3"/>
        <v>14957</v>
      </c>
      <c r="G7" s="31" t="str">
        <f t="shared" si="4"/>
        <v>213032</v>
      </c>
      <c r="H7" s="22" t="str">
        <f t="shared" si="5"/>
        <v>01/12/2023</v>
      </c>
      <c r="I7" s="22">
        <f t="shared" si="6"/>
        <v>83</v>
      </c>
      <c r="J7" s="23" t="str" cm="1">
        <f t="array" aca="1" ref="J7" ca="1">MIG_GERA.SCRIPT( $J$2, $E$1:$I$1, E7:I7 )</f>
        <v>INSERT INTO GPE_ALTEESCALA ( NRORG, NRALTEESCALA, NRVINCULOM, DTINIESCALA, NRESCALATRABM, DTINCLUSAO, NRORGINCLUSAO, CDOPERINCLUSAO, DSOBSERVACAO ) VALUES ( 4838, 14957, 213032, '01/12/2023', 83, SYSDATE, 4838, '000000099991', 'Gerado via migracao' ); COMMIT;</v>
      </c>
      <c r="K7" s="27" t="str">
        <f t="shared" ca="1" si="7"/>
        <v/>
      </c>
      <c r="L7" s="23" t="str">
        <f ca="1"/>
        <v>21303201/12/202383</v>
      </c>
      <c r="M7" s="55" t="str">
        <f>I2</f>
        <v>Escala</v>
      </c>
      <c r="N7" s="34" t="str">
        <f>"I3:I" &amp; $N$4</f>
        <v>I3:I27</v>
      </c>
      <c r="P7" s="8" t="str">
        <f ca="1"/>
        <v>213032</v>
      </c>
      <c r="Q7" s="54" t="str">
        <f ca="1"/>
        <v xml:space="preserve">  - 213033</v>
      </c>
      <c r="R7" s="8">
        <f ca="1"/>
        <v>83</v>
      </c>
      <c r="S7" s="54" t="str">
        <f ca="1"/>
        <v xml:space="preserve">  - 147</v>
      </c>
      <c r="T7" s="8" t="str">
        <f ca="1"/>
        <v>não existe</v>
      </c>
      <c r="Y7" s="61" t="s">
        <v>17</v>
      </c>
      <c r="Z7" s="65">
        <f ca="1">MAX(OFFSET($A$1,2,MATCH(Z$3,$1:$1,0)-1,1048574,1))</f>
        <v>14957</v>
      </c>
      <c r="AA7" s="61" t="s">
        <v>17</v>
      </c>
      <c r="AB7" s="63">
        <f ca="1">Z7</f>
        <v>14957</v>
      </c>
      <c r="AC7" s="61"/>
      <c r="AD7" s="63"/>
    </row>
    <row r="8" spans="1:34" x14ac:dyDescent="0.25">
      <c r="A8" s="68">
        <v>213081</v>
      </c>
      <c r="B8" s="69">
        <v>45261</v>
      </c>
      <c r="C8" s="71">
        <v>147</v>
      </c>
      <c r="D8" s="82"/>
      <c r="E8" s="22">
        <f t="shared" si="1"/>
        <v>4838</v>
      </c>
      <c r="F8" s="22">
        <f t="shared" ca="1" si="3"/>
        <v>14957</v>
      </c>
      <c r="G8" s="31" t="str">
        <f t="shared" si="4"/>
        <v>213081</v>
      </c>
      <c r="H8" s="22" t="str">
        <f t="shared" si="5"/>
        <v>01/12/2023</v>
      </c>
      <c r="I8" s="22">
        <f t="shared" si="6"/>
        <v>147</v>
      </c>
      <c r="J8" s="23" t="str" cm="1">
        <f t="array" aca="1" ref="J8" ca="1">MIG_GERA.SCRIPT( $J$2, $E$1:$I$1, E8:I8 )</f>
        <v>INSERT INTO GPE_ALTEESCALA ( NRORG, NRALTEESCALA, NRVINCULOM, DTINIESCALA, NRESCALATRABM, DTINCLUSAO, NRORGINCLUSAO, CDOPERINCLUSAO, DSOBSERVACAO ) VALUES ( 4838, 14957, 213081, '01/12/2023', 147, SYSDATE, 4838, '000000099991', 'Gerado via migracao' ); COMMIT;</v>
      </c>
      <c r="K8" s="27" t="str">
        <f t="shared" ca="1" si="7"/>
        <v/>
      </c>
      <c r="L8" s="23" t="str">
        <f ca="1"/>
        <v>21308101/12/2023147</v>
      </c>
      <c r="M8" s="33" t="s">
        <v>50</v>
      </c>
      <c r="N8" s="34" t="str">
        <f>"L3:L" &amp; N4</f>
        <v>L3:L27</v>
      </c>
      <c r="P8" s="8" t="str">
        <f ca="1"/>
        <v>213081</v>
      </c>
      <c r="Q8" s="54" t="str">
        <f ca="1"/>
        <v xml:space="preserve">  - 213034</v>
      </c>
      <c r="R8" s="8">
        <f ca="1"/>
        <v>147</v>
      </c>
      <c r="S8" s="54" t="str">
        <f ca="1"/>
        <v xml:space="preserve">  - 149</v>
      </c>
      <c r="T8" s="8" t="str">
        <f ca="1"/>
        <v>não existe</v>
      </c>
      <c r="Y8" s="61" t="s">
        <v>18</v>
      </c>
      <c r="Z8" s="65">
        <f t="shared" ref="Z8" ca="1" si="8">Z7-Z6+1</f>
        <v>1</v>
      </c>
      <c r="AA8" s="61"/>
      <c r="AB8" s="63"/>
      <c r="AC8" s="61"/>
      <c r="AD8" s="63"/>
    </row>
    <row r="9" spans="1:34" x14ac:dyDescent="0.25">
      <c r="A9" s="68">
        <v>213074</v>
      </c>
      <c r="B9" s="69">
        <v>45261</v>
      </c>
      <c r="C9" s="71">
        <v>147</v>
      </c>
      <c r="D9" s="82"/>
      <c r="E9" s="22">
        <f t="shared" si="1"/>
        <v>4838</v>
      </c>
      <c r="F9" s="22">
        <f t="shared" ca="1" si="3"/>
        <v>14957</v>
      </c>
      <c r="G9" s="31" t="str">
        <f t="shared" si="4"/>
        <v>213074</v>
      </c>
      <c r="H9" s="22" t="str">
        <f t="shared" si="5"/>
        <v>01/12/2023</v>
      </c>
      <c r="I9" s="22">
        <f t="shared" si="6"/>
        <v>147</v>
      </c>
      <c r="J9" s="23" t="str" cm="1">
        <f t="array" aca="1" ref="J9" ca="1">MIG_GERA.SCRIPT( $J$2, $E$1:$I$1, E9:I9 )</f>
        <v>INSERT INTO GPE_ALTEESCALA ( NRORG, NRALTEESCALA, NRVINCULOM, DTINIESCALA, NRESCALATRABM, DTINCLUSAO, NRORGINCLUSAO, CDOPERINCLUSAO, DSOBSERVACAO ) VALUES ( 4838, 14957, 213074, '01/12/2023', 147, SYSDATE, 4838, '000000099991', 'Gerado via migracao' ); COMMIT;</v>
      </c>
      <c r="K9" s="27" t="str">
        <f t="shared" ca="1" si="7"/>
        <v/>
      </c>
      <c r="L9" s="23" t="str">
        <f ca="1"/>
        <v>21307401/12/2023147</v>
      </c>
      <c r="M9" s="32" t="s">
        <v>90</v>
      </c>
      <c r="P9" s="8" t="str">
        <f ca="1"/>
        <v>213074</v>
      </c>
      <c r="Q9" s="54" t="str">
        <f ca="1"/>
        <v xml:space="preserve">  - 213035</v>
      </c>
      <c r="R9" s="8">
        <f ca="1"/>
        <v>147</v>
      </c>
      <c r="S9" s="54" t="str">
        <f ca="1"/>
        <v xml:space="preserve">  - 150</v>
      </c>
      <c r="T9" s="8" t="str">
        <f ca="1"/>
        <v>não existe</v>
      </c>
      <c r="Y9" s="61" t="s">
        <v>19</v>
      </c>
      <c r="Z9" s="65">
        <f ca="1">OFFSET($A$1,1,MATCH(Y9,$1:$1,0)-1)</f>
        <v>4838</v>
      </c>
      <c r="AA9" s="61" t="s">
        <v>19</v>
      </c>
      <c r="AB9" s="63">
        <f ca="1">Z9</f>
        <v>4838</v>
      </c>
      <c r="AC9" s="61" t="s">
        <v>19</v>
      </c>
      <c r="AD9" s="63">
        <f ca="1">AB9</f>
        <v>4838</v>
      </c>
    </row>
    <row r="10" spans="1:34" x14ac:dyDescent="0.25">
      <c r="A10" s="68">
        <v>213073</v>
      </c>
      <c r="B10" s="69">
        <v>45261</v>
      </c>
      <c r="C10" s="71">
        <v>147</v>
      </c>
      <c r="D10" s="82"/>
      <c r="E10" s="22">
        <f t="shared" si="1"/>
        <v>4838</v>
      </c>
      <c r="F10" s="22">
        <f t="shared" ca="1" si="3"/>
        <v>14957</v>
      </c>
      <c r="G10" s="31" t="str">
        <f t="shared" si="4"/>
        <v>213073</v>
      </c>
      <c r="H10" s="22" t="str">
        <f t="shared" si="5"/>
        <v>01/12/2023</v>
      </c>
      <c r="I10" s="22">
        <f t="shared" si="6"/>
        <v>147</v>
      </c>
      <c r="J10" s="23" t="str" cm="1">
        <f t="array" aca="1" ref="J10" ca="1">MIG_GERA.SCRIPT( $J$2, $E$1:$I$1, E10:I10 )</f>
        <v>INSERT INTO GPE_ALTEESCALA ( NRORG, NRALTEESCALA, NRVINCULOM, DTINIESCALA, NRESCALATRABM, DTINCLUSAO, NRORGINCLUSAO, CDOPERINCLUSAO, DSOBSERVACAO ) VALUES ( 4838, 14957, 213073, '01/12/2023', 147, SYSDATE, 4838, '000000099991', 'Gerado via migracao' ); COMMIT;</v>
      </c>
      <c r="K10" s="27" t="str">
        <f t="shared" ca="1" si="7"/>
        <v/>
      </c>
      <c r="L10" s="23" t="str">
        <f ca="1"/>
        <v>21307301/12/2023147</v>
      </c>
      <c r="M10" s="33" t="s">
        <v>43</v>
      </c>
      <c r="N10" s="33">
        <f>COUNTA( Base!B:B )</f>
        <v>5</v>
      </c>
      <c r="P10" s="8" t="str">
        <f ca="1"/>
        <v>213073</v>
      </c>
      <c r="Q10" s="54" t="str">
        <f ca="1"/>
        <v xml:space="preserve">  - 213037</v>
      </c>
      <c r="R10" s="8">
        <f ca="1"/>
        <v>147</v>
      </c>
      <c r="T10" s="8" t="str">
        <f ca="1"/>
        <v>não existe</v>
      </c>
    </row>
    <row r="11" spans="1:34" x14ac:dyDescent="0.25">
      <c r="A11" s="68">
        <v>213071</v>
      </c>
      <c r="B11" s="69">
        <v>45261</v>
      </c>
      <c r="C11" s="71">
        <v>147</v>
      </c>
      <c r="D11" s="82"/>
      <c r="E11" s="22">
        <f t="shared" si="1"/>
        <v>4838</v>
      </c>
      <c r="F11" s="22">
        <f t="shared" ca="1" si="3"/>
        <v>14957</v>
      </c>
      <c r="G11" s="31" t="str">
        <f t="shared" si="4"/>
        <v>213071</v>
      </c>
      <c r="H11" s="22" t="str">
        <f t="shared" si="5"/>
        <v>01/12/2023</v>
      </c>
      <c r="I11" s="22">
        <f t="shared" si="6"/>
        <v>147</v>
      </c>
      <c r="J11" s="23" t="str" cm="1">
        <f t="array" aca="1" ref="J11" ca="1">MIG_GERA.SCRIPT( $J$2, $E$1:$I$1, E11:I11 )</f>
        <v>INSERT INTO GPE_ALTEESCALA ( NRORG, NRALTEESCALA, NRVINCULOM, DTINIESCALA, NRESCALATRABM, DTINCLUSAO, NRORGINCLUSAO, CDOPERINCLUSAO, DSOBSERVACAO ) VALUES ( 4838, 14957, 213071, '01/12/2023', 147, SYSDATE, 4838, '000000099991', 'Gerado via migracao' ); COMMIT;</v>
      </c>
      <c r="K11" s="27" t="str">
        <f t="shared" ca="1" si="7"/>
        <v/>
      </c>
      <c r="L11" s="23" t="str">
        <f ca="1"/>
        <v>21307101/12/2023147</v>
      </c>
      <c r="M11" s="33" t="s">
        <v>44</v>
      </c>
      <c r="N11" s="33">
        <f>COUNTA( Base!F:F )</f>
        <v>5</v>
      </c>
      <c r="P11" s="8" t="str">
        <f ca="1"/>
        <v>213071</v>
      </c>
      <c r="Q11" s="54" t="str">
        <f ca="1"/>
        <v xml:space="preserve">  - 213039</v>
      </c>
      <c r="R11" s="8">
        <f ca="1"/>
        <v>147</v>
      </c>
      <c r="T11" s="8" t="str">
        <f ca="1"/>
        <v>não existe</v>
      </c>
    </row>
    <row r="12" spans="1:34" x14ac:dyDescent="0.25">
      <c r="A12" s="68">
        <v>213070</v>
      </c>
      <c r="B12" s="69">
        <v>45261</v>
      </c>
      <c r="C12" s="71">
        <v>147</v>
      </c>
      <c r="D12" s="82"/>
      <c r="E12" s="22">
        <f t="shared" si="1"/>
        <v>4838</v>
      </c>
      <c r="F12" s="22">
        <f t="shared" ca="1" si="3"/>
        <v>14957</v>
      </c>
      <c r="G12" s="31" t="str">
        <f t="shared" si="4"/>
        <v>213070</v>
      </c>
      <c r="H12" s="22" t="str">
        <f t="shared" si="5"/>
        <v>01/12/2023</v>
      </c>
      <c r="I12" s="22">
        <f t="shared" si="6"/>
        <v>147</v>
      </c>
      <c r="J12" s="23" t="str" cm="1">
        <f t="array" aca="1" ref="J12" ca="1">MIG_GERA.SCRIPT( $J$2, $E$1:$I$1, E12:I12 )</f>
        <v>INSERT INTO GPE_ALTEESCALA ( NRORG, NRALTEESCALA, NRVINCULOM, DTINIESCALA, NRESCALATRABM, DTINCLUSAO, NRORGINCLUSAO, CDOPERINCLUSAO, DSOBSERVACAO ) VALUES ( 4838, 14957, 213070, '01/12/2023', 147, SYSDATE, 4838, '000000099991', 'Gerado via migracao' ); COMMIT;</v>
      </c>
      <c r="K12" s="27" t="str">
        <f t="shared" ca="1" si="7"/>
        <v/>
      </c>
      <c r="L12" s="23" t="str">
        <f ca="1"/>
        <v>21307001/12/2023147</v>
      </c>
      <c r="M12" s="33" t="s">
        <v>53</v>
      </c>
      <c r="N12" s="33">
        <f>COUNTA( Base!H:H )</f>
        <v>5</v>
      </c>
      <c r="P12" s="8" t="str">
        <f ca="1"/>
        <v>213070</v>
      </c>
      <c r="Q12" s="54" t="str">
        <f ca="1"/>
        <v xml:space="preserve">  - 213042</v>
      </c>
      <c r="R12" s="8">
        <f ca="1"/>
        <v>147</v>
      </c>
      <c r="T12" s="8" t="str">
        <f ca="1"/>
        <v>não existe</v>
      </c>
    </row>
    <row r="13" spans="1:34" x14ac:dyDescent="0.25">
      <c r="A13" s="68">
        <v>213069</v>
      </c>
      <c r="B13" s="69">
        <v>45261</v>
      </c>
      <c r="C13" s="71">
        <v>147</v>
      </c>
      <c r="D13" s="82"/>
      <c r="E13" s="22">
        <f t="shared" si="1"/>
        <v>4838</v>
      </c>
      <c r="F13" s="22">
        <f t="shared" ca="1" si="3"/>
        <v>14957</v>
      </c>
      <c r="G13" s="31" t="str">
        <f t="shared" si="4"/>
        <v>213069</v>
      </c>
      <c r="H13" s="22" t="str">
        <f t="shared" si="5"/>
        <v>01/12/2023</v>
      </c>
      <c r="I13" s="22">
        <f t="shared" si="6"/>
        <v>147</v>
      </c>
      <c r="J13" s="23" t="str" cm="1">
        <f t="array" aca="1" ref="J13" ca="1">MIG_GERA.SCRIPT( $J$2, $E$1:$I$1, E13:I13 )</f>
        <v>INSERT INTO GPE_ALTEESCALA ( NRORG, NRALTEESCALA, NRVINCULOM, DTINIESCALA, NRESCALATRABM, DTINCLUSAO, NRORGINCLUSAO, CDOPERINCLUSAO, DSOBSERVACAO ) VALUES ( 4838, 14957, 213069, '01/12/2023', 147, SYSDATE, 4838, '000000099991', 'Gerado via migracao' ); COMMIT;</v>
      </c>
      <c r="K13" s="27" t="str">
        <f t="shared" ca="1" si="7"/>
        <v/>
      </c>
      <c r="L13" s="23" t="str">
        <f ca="1"/>
        <v>21306901/12/2023147</v>
      </c>
      <c r="M13" s="33" t="s">
        <v>45</v>
      </c>
      <c r="N13" s="34" t="str">
        <f>IF($D$4 = "CDMATRICULA", "Base!A2:A", "Base!B2:B" ) &amp; $N$10</f>
        <v>Base!B2:B5</v>
      </c>
      <c r="P13" s="8" t="str">
        <f ca="1"/>
        <v>213069</v>
      </c>
      <c r="Q13" s="54" t="str">
        <f ca="1"/>
        <v xml:space="preserve">  - 213044</v>
      </c>
      <c r="R13" s="8">
        <f ca="1"/>
        <v>147</v>
      </c>
      <c r="T13" s="8" t="str">
        <f ca="1"/>
        <v>não existe</v>
      </c>
    </row>
    <row r="14" spans="1:34" x14ac:dyDescent="0.25">
      <c r="A14" s="68">
        <v>213068</v>
      </c>
      <c r="B14" s="69">
        <v>45261</v>
      </c>
      <c r="C14" s="71">
        <v>147</v>
      </c>
      <c r="D14" s="82"/>
      <c r="E14" s="22">
        <f t="shared" si="1"/>
        <v>4838</v>
      </c>
      <c r="F14" s="22">
        <f t="shared" ca="1" si="3"/>
        <v>14957</v>
      </c>
      <c r="G14" s="31" t="str">
        <f t="shared" si="4"/>
        <v>213068</v>
      </c>
      <c r="H14" s="22" t="str">
        <f t="shared" si="5"/>
        <v>01/12/2023</v>
      </c>
      <c r="I14" s="22">
        <f t="shared" si="6"/>
        <v>147</v>
      </c>
      <c r="J14" s="23" t="str" cm="1">
        <f t="array" aca="1" ref="J14" ca="1">MIG_GERA.SCRIPT( $J$2, $E$1:$I$1, E14:I14 )</f>
        <v>INSERT INTO GPE_ALTEESCALA ( NRORG, NRALTEESCALA, NRVINCULOM, DTINIESCALA, NRESCALATRABM, DTINCLUSAO, NRORGINCLUSAO, CDOPERINCLUSAO, DSOBSERVACAO ) VALUES ( 4838, 14957, 213068, '01/12/2023', 147, SYSDATE, 4838, '000000099991', 'Gerado via migracao' ); COMMIT;</v>
      </c>
      <c r="K14" s="27" t="str">
        <f t="shared" ca="1" si="7"/>
        <v/>
      </c>
      <c r="L14" s="23" t="str">
        <f ca="1"/>
        <v>21306801/12/2023147</v>
      </c>
      <c r="M14" s="33" t="s">
        <v>47</v>
      </c>
      <c r="N14" s="34" t="str">
        <f>"Base!F2:F" &amp; N11</f>
        <v>Base!F2:F5</v>
      </c>
      <c r="P14" s="8" t="str">
        <f ca="1"/>
        <v>213068</v>
      </c>
      <c r="Q14" s="54" t="str">
        <f ca="1"/>
        <v xml:space="preserve">  - 213051</v>
      </c>
      <c r="R14" s="8">
        <f ca="1"/>
        <v>147</v>
      </c>
      <c r="T14" s="8" t="str">
        <f ca="1"/>
        <v>não existe</v>
      </c>
    </row>
    <row r="15" spans="1:34" x14ac:dyDescent="0.25">
      <c r="A15" s="68">
        <v>213067</v>
      </c>
      <c r="B15" s="69">
        <v>45261</v>
      </c>
      <c r="C15" s="71">
        <v>147</v>
      </c>
      <c r="D15" s="82"/>
      <c r="E15" s="22">
        <f t="shared" si="1"/>
        <v>4838</v>
      </c>
      <c r="F15" s="22">
        <f t="shared" ca="1" si="3"/>
        <v>14957</v>
      </c>
      <c r="G15" s="31" t="str">
        <f t="shared" si="4"/>
        <v>213067</v>
      </c>
      <c r="H15" s="22" t="str">
        <f t="shared" si="5"/>
        <v>01/12/2023</v>
      </c>
      <c r="I15" s="22">
        <f t="shared" si="6"/>
        <v>147</v>
      </c>
      <c r="J15" s="23" t="str" cm="1">
        <f t="array" aca="1" ref="J15" ca="1">MIG_GERA.SCRIPT( $J$2, $E$1:$I$1, E15:I15 )</f>
        <v>INSERT INTO GPE_ALTEESCALA ( NRORG, NRALTEESCALA, NRVINCULOM, DTINIESCALA, NRESCALATRABM, DTINCLUSAO, NRORGINCLUSAO, CDOPERINCLUSAO, DSOBSERVACAO ) VALUES ( 4838, 14957, 213067, '01/12/2023', 147, SYSDATE, 4838, '000000099991', 'Gerado via migracao' ); COMMIT;</v>
      </c>
      <c r="K15" s="27" t="str">
        <f t="shared" ca="1" si="7"/>
        <v/>
      </c>
      <c r="L15" s="23" t="str">
        <f ca="1"/>
        <v>21306701/12/2023147</v>
      </c>
      <c r="M15" s="33" t="s">
        <v>54</v>
      </c>
      <c r="N15" s="34" t="str">
        <f>IF($D$4 = "CDMATRICULA", "Base!H2:H", "Base!I2:I" ) &amp; $N$12</f>
        <v>Base!I2:I5</v>
      </c>
      <c r="P15" s="8" t="str">
        <f ca="1"/>
        <v>213067</v>
      </c>
      <c r="Q15" s="54" t="str">
        <f ca="1"/>
        <v xml:space="preserve">  - 213058</v>
      </c>
      <c r="R15" s="8">
        <f ca="1"/>
        <v>147</v>
      </c>
      <c r="T15" s="8" t="str">
        <f ca="1"/>
        <v>não existe</v>
      </c>
    </row>
    <row r="16" spans="1:34" x14ac:dyDescent="0.25">
      <c r="A16" s="68">
        <v>213066</v>
      </c>
      <c r="B16" s="69">
        <v>45261</v>
      </c>
      <c r="C16" s="71">
        <v>147</v>
      </c>
      <c r="D16" s="82"/>
      <c r="E16" s="22">
        <f t="shared" si="1"/>
        <v>4838</v>
      </c>
      <c r="F16" s="22">
        <f t="shared" ca="1" si="3"/>
        <v>14957</v>
      </c>
      <c r="G16" s="31" t="str">
        <f t="shared" si="4"/>
        <v>213066</v>
      </c>
      <c r="H16" s="22" t="str">
        <f t="shared" si="5"/>
        <v>01/12/2023</v>
      </c>
      <c r="I16" s="22">
        <f t="shared" si="6"/>
        <v>147</v>
      </c>
      <c r="J16" s="23" t="str" cm="1">
        <f t="array" aca="1" ref="J16" ca="1">MIG_GERA.SCRIPT( $J$2, $E$1:$I$1, E16:I16 )</f>
        <v>INSERT INTO GPE_ALTEESCALA ( NRORG, NRALTEESCALA, NRVINCULOM, DTINIESCALA, NRESCALATRABM, DTINCLUSAO, NRORGINCLUSAO, CDOPERINCLUSAO, DSOBSERVACAO ) VALUES ( 4838, 14957, 213066, '01/12/2023', 147, SYSDATE, 4838, '000000099991', 'Gerado via migracao' ); COMMIT;</v>
      </c>
      <c r="K16" s="27" t="str">
        <f t="shared" ca="1" si="7"/>
        <v/>
      </c>
      <c r="L16" s="23" t="str">
        <f ca="1"/>
        <v>21306601/12/2023147</v>
      </c>
      <c r="M16" s="33" t="s">
        <v>52</v>
      </c>
      <c r="N16" s="34" t="str">
        <f>"Base!J2:J" &amp; N12</f>
        <v>Base!J2:J5</v>
      </c>
      <c r="P16" s="8" t="str">
        <f ca="1"/>
        <v>213066</v>
      </c>
      <c r="Q16" s="54" t="str">
        <f ca="1"/>
        <v xml:space="preserve">  - 213061</v>
      </c>
      <c r="R16" s="8">
        <f ca="1"/>
        <v>147</v>
      </c>
      <c r="T16" s="8" t="str">
        <f ca="1"/>
        <v>não existe</v>
      </c>
    </row>
    <row r="17" spans="1:20" x14ac:dyDescent="0.25">
      <c r="A17" s="68">
        <v>213061</v>
      </c>
      <c r="B17" s="69">
        <v>45261</v>
      </c>
      <c r="C17" s="71">
        <v>147</v>
      </c>
      <c r="D17" s="82"/>
      <c r="E17" s="22">
        <f t="shared" si="1"/>
        <v>4838</v>
      </c>
      <c r="F17" s="22">
        <f t="shared" ca="1" si="3"/>
        <v>14957</v>
      </c>
      <c r="G17" s="31" t="str">
        <f t="shared" si="4"/>
        <v>213061</v>
      </c>
      <c r="H17" s="22" t="str">
        <f t="shared" si="5"/>
        <v>01/12/2023</v>
      </c>
      <c r="I17" s="22">
        <f t="shared" si="6"/>
        <v>147</v>
      </c>
      <c r="J17" s="23" t="str" cm="1">
        <f t="array" aca="1" ref="J17" ca="1">MIG_GERA.SCRIPT( $J$2, $E$1:$I$1, E17:I17 )</f>
        <v>INSERT INTO GPE_ALTEESCALA ( NRORG, NRALTEESCALA, NRVINCULOM, DTINIESCALA, NRESCALATRABM, DTINCLUSAO, NRORGINCLUSAO, CDOPERINCLUSAO, DSOBSERVACAO ) VALUES ( 4838, 14957, 213061, '01/12/2023', 147, SYSDATE, 4838, '000000099991', 'Gerado via migracao' ); COMMIT;</v>
      </c>
      <c r="K17" s="27" t="str">
        <f t="shared" ca="1" si="7"/>
        <v/>
      </c>
      <c r="L17" s="23" t="str">
        <f ca="1"/>
        <v>21306101/12/2023147</v>
      </c>
      <c r="M17" s="32" t="s">
        <v>92</v>
      </c>
      <c r="P17" s="8" t="str">
        <f ca="1"/>
        <v>213061</v>
      </c>
      <c r="Q17" s="54" t="str">
        <f ca="1"/>
        <v xml:space="preserve">  - 213066</v>
      </c>
      <c r="R17" s="8">
        <f ca="1"/>
        <v>147</v>
      </c>
      <c r="T17" s="8" t="str">
        <f ca="1"/>
        <v>não existe</v>
      </c>
    </row>
    <row r="18" spans="1:20" x14ac:dyDescent="0.25">
      <c r="A18" s="68">
        <v>213058</v>
      </c>
      <c r="B18" s="69">
        <v>45261</v>
      </c>
      <c r="C18" s="71">
        <v>147</v>
      </c>
      <c r="D18" s="82"/>
      <c r="E18" s="22">
        <f t="shared" si="1"/>
        <v>4838</v>
      </c>
      <c r="F18" s="22">
        <f t="shared" ca="1" si="3"/>
        <v>14957</v>
      </c>
      <c r="G18" s="31" t="str">
        <f t="shared" si="4"/>
        <v>213058</v>
      </c>
      <c r="H18" s="22" t="str">
        <f t="shared" si="5"/>
        <v>01/12/2023</v>
      </c>
      <c r="I18" s="22">
        <f t="shared" si="6"/>
        <v>147</v>
      </c>
      <c r="J18" s="23" t="str" cm="1">
        <f t="array" aca="1" ref="J18" ca="1">MIG_GERA.SCRIPT( $J$2, $E$1:$I$1, E18:I18 )</f>
        <v>INSERT INTO GPE_ALTEESCALA ( NRORG, NRALTEESCALA, NRVINCULOM, DTINIESCALA, NRESCALATRABM, DTINCLUSAO, NRORGINCLUSAO, CDOPERINCLUSAO, DSOBSERVACAO ) VALUES ( 4838, 14957, 213058, '01/12/2023', 147, SYSDATE, 4838, '000000099991', 'Gerado via migracao' ); COMMIT;</v>
      </c>
      <c r="K18" s="27" t="str">
        <f t="shared" ca="1" si="7"/>
        <v/>
      </c>
      <c r="L18" s="23" t="str">
        <f ca="1"/>
        <v>21305801/12/2023147</v>
      </c>
      <c r="M18" s="33" t="s">
        <v>57</v>
      </c>
      <c r="N18" s="34" t="s">
        <v>60</v>
      </c>
      <c r="P18" s="8" t="str">
        <f ca="1"/>
        <v>213058</v>
      </c>
      <c r="Q18" s="54" t="str">
        <f ca="1"/>
        <v xml:space="preserve">  - 213067</v>
      </c>
      <c r="R18" s="8">
        <f ca="1"/>
        <v>147</v>
      </c>
      <c r="T18" s="8" t="str">
        <f ca="1"/>
        <v>não existe</v>
      </c>
    </row>
    <row r="19" spans="1:20" x14ac:dyDescent="0.25">
      <c r="A19" s="68">
        <v>213017</v>
      </c>
      <c r="B19" s="69">
        <v>45261</v>
      </c>
      <c r="C19" s="71">
        <v>147</v>
      </c>
      <c r="D19" s="82"/>
      <c r="E19" s="22">
        <f t="shared" si="1"/>
        <v>4838</v>
      </c>
      <c r="F19" s="22">
        <f t="shared" ca="1" si="3"/>
        <v>14957</v>
      </c>
      <c r="G19" s="31" t="str">
        <f t="shared" si="4"/>
        <v>213017</v>
      </c>
      <c r="H19" s="22" t="str">
        <f t="shared" si="5"/>
        <v>01/12/2023</v>
      </c>
      <c r="I19" s="22">
        <f t="shared" si="6"/>
        <v>147</v>
      </c>
      <c r="J19" s="23" t="str" cm="1">
        <f t="array" aca="1" ref="J19" ca="1">MIG_GERA.SCRIPT( $J$2, $E$1:$I$1, E19:I19 )</f>
        <v>INSERT INTO GPE_ALTEESCALA ( NRORG, NRALTEESCALA, NRVINCULOM, DTINIESCALA, NRESCALATRABM, DTINCLUSAO, NRORGINCLUSAO, CDOPERINCLUSAO, DSOBSERVACAO ) VALUES ( 4838, 14957, 213017, '01/12/2023', 147, SYSDATE, 4838, '000000099991', 'Gerado via migracao' ); COMMIT;</v>
      </c>
      <c r="K19" s="27" t="str">
        <f t="shared" ca="1" si="7"/>
        <v/>
      </c>
      <c r="L19" s="23" t="str">
        <f ca="1"/>
        <v>21301701/12/2023147</v>
      </c>
      <c r="M19" s="33" t="s">
        <v>58</v>
      </c>
      <c r="N19" s="34" t="s">
        <v>59</v>
      </c>
      <c r="P19" s="8" t="str">
        <f ca="1"/>
        <v>213017</v>
      </c>
      <c r="Q19" s="54" t="str">
        <f ca="1"/>
        <v xml:space="preserve">  - 213068</v>
      </c>
      <c r="R19" s="8">
        <f ca="1"/>
        <v>147</v>
      </c>
      <c r="T19" s="8" t="str">
        <f ca="1"/>
        <v>não existe</v>
      </c>
    </row>
    <row r="20" spans="1:20" x14ac:dyDescent="0.25">
      <c r="A20" s="68">
        <v>213022</v>
      </c>
      <c r="B20" s="69">
        <v>45261</v>
      </c>
      <c r="C20" s="71">
        <v>106</v>
      </c>
      <c r="D20" s="82"/>
      <c r="E20" s="22">
        <f t="shared" si="1"/>
        <v>4838</v>
      </c>
      <c r="F20" s="22">
        <f t="shared" ca="1" si="3"/>
        <v>14957</v>
      </c>
      <c r="G20" s="31" t="str">
        <f t="shared" si="4"/>
        <v>213022</v>
      </c>
      <c r="H20" s="22" t="str">
        <f t="shared" si="5"/>
        <v>01/12/2023</v>
      </c>
      <c r="I20" s="22">
        <f t="shared" si="6"/>
        <v>106</v>
      </c>
      <c r="J20" s="23" t="str" cm="1">
        <f t="array" aca="1" ref="J20" ca="1">MIG_GERA.SCRIPT( $J$2, $E$1:$I$1, E20:I20 )</f>
        <v>INSERT INTO GPE_ALTEESCALA ( NRORG, NRALTEESCALA, NRVINCULOM, DTINIESCALA, NRESCALATRABM, DTINCLUSAO, NRORGINCLUSAO, CDOPERINCLUSAO, DSOBSERVACAO ) VALUES ( 4838, 14957, 213022, '01/12/2023', 106, SYSDATE, 4838, '000000099991', 'Gerado via migracao' ); COMMIT;</v>
      </c>
      <c r="K20" s="27" t="str">
        <f t="shared" ca="1" si="7"/>
        <v/>
      </c>
      <c r="L20" s="23" t="str">
        <f ca="1"/>
        <v>21302201/12/2023106</v>
      </c>
      <c r="P20" s="8" t="str">
        <f ca="1"/>
        <v>213022</v>
      </c>
      <c r="Q20" s="54" t="str">
        <f ca="1"/>
        <v xml:space="preserve">  - 213069</v>
      </c>
      <c r="R20" s="8">
        <f ca="1"/>
        <v>106</v>
      </c>
      <c r="T20" s="8" t="str">
        <f ca="1"/>
        <v>não existe</v>
      </c>
    </row>
    <row r="21" spans="1:20" x14ac:dyDescent="0.25">
      <c r="A21" s="68">
        <v>213021</v>
      </c>
      <c r="B21" s="69">
        <v>45261</v>
      </c>
      <c r="C21" s="71">
        <v>149</v>
      </c>
      <c r="D21" s="82"/>
      <c r="E21" s="22">
        <f t="shared" si="1"/>
        <v>4838</v>
      </c>
      <c r="F21" s="22">
        <f t="shared" ca="1" si="3"/>
        <v>14957</v>
      </c>
      <c r="G21" s="31" t="str">
        <f t="shared" si="4"/>
        <v>213021</v>
      </c>
      <c r="H21" s="22" t="str">
        <f t="shared" si="5"/>
        <v>01/12/2023</v>
      </c>
      <c r="I21" s="22">
        <f t="shared" si="6"/>
        <v>149</v>
      </c>
      <c r="J21" s="23" t="str" cm="1">
        <f t="array" aca="1" ref="J21" ca="1">MIG_GERA.SCRIPT( $J$2, $E$1:$I$1, E21:I21 )</f>
        <v>INSERT INTO GPE_ALTEESCALA ( NRORG, NRALTEESCALA, NRVINCULOM, DTINIESCALA, NRESCALATRABM, DTINCLUSAO, NRORGINCLUSAO, CDOPERINCLUSAO, DSOBSERVACAO ) VALUES ( 4838, 14957, 213021, '01/12/2023', 149, SYSDATE, 4838, '000000099991', 'Gerado via migracao' ); COMMIT;</v>
      </c>
      <c r="K21" s="27" t="str">
        <f t="shared" ca="1" si="7"/>
        <v/>
      </c>
      <c r="L21" s="23" t="str">
        <f ca="1"/>
        <v>21302101/12/2023149</v>
      </c>
      <c r="M21" s="56"/>
      <c r="P21" s="8" t="str">
        <f ca="1"/>
        <v>213021</v>
      </c>
      <c r="Q21" s="54" t="str">
        <f ca="1"/>
        <v xml:space="preserve">  - 213070</v>
      </c>
      <c r="R21" s="8">
        <f ca="1"/>
        <v>149</v>
      </c>
      <c r="T21" s="8" t="str">
        <f ca="1"/>
        <v>não existe</v>
      </c>
    </row>
    <row r="22" spans="1:20" x14ac:dyDescent="0.25">
      <c r="A22" s="68">
        <v>213034</v>
      </c>
      <c r="B22" s="69">
        <v>45261</v>
      </c>
      <c r="C22" s="71">
        <v>149</v>
      </c>
      <c r="D22" s="82"/>
      <c r="E22" s="22">
        <f t="shared" si="1"/>
        <v>4838</v>
      </c>
      <c r="F22" s="22">
        <f t="shared" ca="1" si="3"/>
        <v>14957</v>
      </c>
      <c r="G22" s="31" t="str">
        <f t="shared" si="4"/>
        <v>213034</v>
      </c>
      <c r="H22" s="22" t="str">
        <f t="shared" si="5"/>
        <v>01/12/2023</v>
      </c>
      <c r="I22" s="22">
        <f t="shared" si="6"/>
        <v>149</v>
      </c>
      <c r="J22" s="23" t="str" cm="1">
        <f t="array" aca="1" ref="J22" ca="1">MIG_GERA.SCRIPT( $J$2, $E$1:$I$1, E22:I22 )</f>
        <v>INSERT INTO GPE_ALTEESCALA ( NRORG, NRALTEESCALA, NRVINCULOM, DTINIESCALA, NRESCALATRABM, DTINCLUSAO, NRORGINCLUSAO, CDOPERINCLUSAO, DSOBSERVACAO ) VALUES ( 4838, 14957, 213034, '01/12/2023', 149, SYSDATE, 4838, '000000099991', 'Gerado via migracao' ); COMMIT;</v>
      </c>
      <c r="K22" s="27" t="str">
        <f t="shared" ca="1" si="7"/>
        <v/>
      </c>
      <c r="L22" s="23" t="str">
        <f ca="1"/>
        <v>21303401/12/2023149</v>
      </c>
      <c r="M22" s="56"/>
      <c r="P22" s="8" t="str">
        <f ca="1"/>
        <v>213034</v>
      </c>
      <c r="Q22" s="54" t="str">
        <f ca="1"/>
        <v xml:space="preserve">  - 213071</v>
      </c>
      <c r="R22" s="8">
        <f ca="1"/>
        <v>149</v>
      </c>
      <c r="T22" s="8" t="str">
        <f ca="1"/>
        <v>não existe</v>
      </c>
    </row>
    <row r="23" spans="1:20" x14ac:dyDescent="0.25">
      <c r="A23" s="68">
        <v>213035</v>
      </c>
      <c r="B23" s="69">
        <v>45261</v>
      </c>
      <c r="C23" s="71">
        <v>45</v>
      </c>
      <c r="D23" s="82"/>
      <c r="E23" s="22">
        <f t="shared" si="1"/>
        <v>4838</v>
      </c>
      <c r="F23" s="22">
        <f t="shared" ca="1" si="3"/>
        <v>14957</v>
      </c>
      <c r="G23" s="31" t="str">
        <f t="shared" si="4"/>
        <v>213035</v>
      </c>
      <c r="H23" s="22" t="str">
        <f t="shared" si="5"/>
        <v>01/12/2023</v>
      </c>
      <c r="I23" s="22">
        <f t="shared" si="6"/>
        <v>45</v>
      </c>
      <c r="J23" s="23" t="str" cm="1">
        <f t="array" aca="1" ref="J23" ca="1">MIG_GERA.SCRIPT( $J$2, $E$1:$I$1, E23:I23 )</f>
        <v>INSERT INTO GPE_ALTEESCALA ( NRORG, NRALTEESCALA, NRVINCULOM, DTINIESCALA, NRESCALATRABM, DTINCLUSAO, NRORGINCLUSAO, CDOPERINCLUSAO, DSOBSERVACAO ) VALUES ( 4838, 14957, 213035, '01/12/2023', 45, SYSDATE, 4838, '000000099991', 'Gerado via migracao' ); COMMIT;</v>
      </c>
      <c r="K23" s="27" t="str">
        <f t="shared" ca="1" si="7"/>
        <v/>
      </c>
      <c r="L23" s="23" t="str">
        <f ca="1"/>
        <v>21303501/12/202345</v>
      </c>
      <c r="P23" s="8" t="str">
        <f ca="1"/>
        <v>213035</v>
      </c>
      <c r="Q23" s="54" t="str">
        <f ca="1"/>
        <v xml:space="preserve">  - 213073</v>
      </c>
      <c r="R23" s="8">
        <f ca="1"/>
        <v>45</v>
      </c>
      <c r="T23" s="8" t="str">
        <f ca="1"/>
        <v>não existe</v>
      </c>
    </row>
    <row r="24" spans="1:20" x14ac:dyDescent="0.25">
      <c r="A24" s="68">
        <v>213037</v>
      </c>
      <c r="B24" s="69">
        <v>45261</v>
      </c>
      <c r="C24" s="71">
        <v>45</v>
      </c>
      <c r="D24" s="82"/>
      <c r="E24" s="22">
        <f t="shared" si="1"/>
        <v>4838</v>
      </c>
      <c r="F24" s="22">
        <f t="shared" ca="1" si="3"/>
        <v>14957</v>
      </c>
      <c r="G24" s="31" t="str">
        <f t="shared" si="4"/>
        <v>213037</v>
      </c>
      <c r="H24" s="22" t="str">
        <f t="shared" si="5"/>
        <v>01/12/2023</v>
      </c>
      <c r="I24" s="22">
        <f t="shared" si="6"/>
        <v>45</v>
      </c>
      <c r="J24" s="23" t="str" cm="1">
        <f t="array" aca="1" ref="J24" ca="1">MIG_GERA.SCRIPT( $J$2, $E$1:$I$1, E24:I24 )</f>
        <v>INSERT INTO GPE_ALTEESCALA ( NRORG, NRALTEESCALA, NRVINCULOM, DTINIESCALA, NRESCALATRABM, DTINCLUSAO, NRORGINCLUSAO, CDOPERINCLUSAO, DSOBSERVACAO ) VALUES ( 4838, 14957, 213037, '01/12/2023', 45, SYSDATE, 4838, '000000099991', 'Gerado via migracao' ); COMMIT;</v>
      </c>
      <c r="K24" s="27" t="str">
        <f t="shared" ca="1" si="7"/>
        <v/>
      </c>
      <c r="L24" s="23" t="str">
        <f ca="1"/>
        <v>21303701/12/202345</v>
      </c>
      <c r="P24" s="8" t="str">
        <f ca="1"/>
        <v>213037</v>
      </c>
      <c r="Q24" s="54" t="str">
        <f ca="1"/>
        <v xml:space="preserve">  - 213074</v>
      </c>
      <c r="R24" s="8">
        <f ca="1"/>
        <v>45</v>
      </c>
      <c r="T24" s="8" t="str">
        <f ca="1"/>
        <v>não existe</v>
      </c>
    </row>
    <row r="25" spans="1:20" x14ac:dyDescent="0.25">
      <c r="A25" s="68">
        <v>213039</v>
      </c>
      <c r="B25" s="69">
        <v>45261</v>
      </c>
      <c r="C25" s="71">
        <v>45</v>
      </c>
      <c r="D25" s="82"/>
      <c r="E25" s="22">
        <f t="shared" si="1"/>
        <v>4838</v>
      </c>
      <c r="F25" s="22">
        <f t="shared" ca="1" si="3"/>
        <v>14957</v>
      </c>
      <c r="G25" s="31" t="str">
        <f t="shared" si="4"/>
        <v>213039</v>
      </c>
      <c r="H25" s="22" t="str">
        <f t="shared" si="5"/>
        <v>01/12/2023</v>
      </c>
      <c r="I25" s="22">
        <f t="shared" si="6"/>
        <v>45</v>
      </c>
      <c r="J25" s="23" t="str" cm="1">
        <f t="array" aca="1" ref="J25" ca="1">MIG_GERA.SCRIPT( $J$2, $E$1:$I$1, E25:I25 )</f>
        <v>INSERT INTO GPE_ALTEESCALA ( NRORG, NRALTEESCALA, NRVINCULOM, DTINIESCALA, NRESCALATRABM, DTINCLUSAO, NRORGINCLUSAO, CDOPERINCLUSAO, DSOBSERVACAO ) VALUES ( 4838, 14957, 213039, '01/12/2023', 45, SYSDATE, 4838, '000000099991', 'Gerado via migracao' ); COMMIT;</v>
      </c>
      <c r="K25" s="27" t="str">
        <f t="shared" ca="1" si="7"/>
        <v/>
      </c>
      <c r="L25" s="23" t="str">
        <f ca="1"/>
        <v>21303901/12/202345</v>
      </c>
      <c r="P25" s="8" t="str">
        <f ca="1"/>
        <v>213039</v>
      </c>
      <c r="Q25" s="54" t="str">
        <f ca="1"/>
        <v xml:space="preserve">  - 213077</v>
      </c>
      <c r="R25" s="8">
        <f ca="1"/>
        <v>45</v>
      </c>
      <c r="T25" s="8" t="str">
        <f ca="1"/>
        <v>não existe</v>
      </c>
    </row>
    <row r="26" spans="1:20" x14ac:dyDescent="0.25">
      <c r="A26" s="68">
        <v>213042</v>
      </c>
      <c r="B26" s="69">
        <v>45261</v>
      </c>
      <c r="C26" s="71">
        <v>45</v>
      </c>
      <c r="D26" s="82"/>
      <c r="E26" s="22">
        <f t="shared" si="1"/>
        <v>4838</v>
      </c>
      <c r="F26" s="22">
        <f t="shared" ca="1" si="3"/>
        <v>14957</v>
      </c>
      <c r="G26" s="31" t="str">
        <f t="shared" si="4"/>
        <v>213042</v>
      </c>
      <c r="H26" s="22" t="str">
        <f t="shared" si="5"/>
        <v>01/12/2023</v>
      </c>
      <c r="I26" s="22">
        <f t="shared" si="6"/>
        <v>45</v>
      </c>
      <c r="J26" s="23" t="str" cm="1">
        <f t="array" aca="1" ref="J26" ca="1">MIG_GERA.SCRIPT( $J$2, $E$1:$I$1, E26:I26 )</f>
        <v>INSERT INTO GPE_ALTEESCALA ( NRORG, NRALTEESCALA, NRVINCULOM, DTINIESCALA, NRESCALATRABM, DTINCLUSAO, NRORGINCLUSAO, CDOPERINCLUSAO, DSOBSERVACAO ) VALUES ( 4838, 14957, 213042, '01/12/2023', 45, SYSDATE, 4838, '000000099991', 'Gerado via migracao' ); COMMIT;</v>
      </c>
      <c r="K26" s="27" t="str">
        <f t="shared" ca="1" si="7"/>
        <v/>
      </c>
      <c r="L26" s="23" t="str">
        <f ca="1"/>
        <v>21304201/12/202345</v>
      </c>
      <c r="P26" s="8" t="str">
        <f ca="1"/>
        <v>213042</v>
      </c>
      <c r="Q26" s="54" t="str">
        <f ca="1"/>
        <v xml:space="preserve">  - 213078</v>
      </c>
      <c r="R26" s="8">
        <f ca="1"/>
        <v>45</v>
      </c>
      <c r="T26" s="8" t="str">
        <f ca="1"/>
        <v>não existe</v>
      </c>
    </row>
    <row r="27" spans="1:20" x14ac:dyDescent="0.25">
      <c r="A27" s="68">
        <v>213044</v>
      </c>
      <c r="B27" s="69">
        <v>45261</v>
      </c>
      <c r="C27" s="71">
        <v>149</v>
      </c>
      <c r="E27" s="22">
        <f t="shared" si="1"/>
        <v>4838</v>
      </c>
      <c r="F27" s="22">
        <f t="shared" ref="F27" ca="1" si="9">IF( P27 = "existe", F26 + 1, F26 )</f>
        <v>14957</v>
      </c>
      <c r="G27" s="31" t="str">
        <f t="shared" ref="G27" si="10">IF( $D$6 = 0, TRIM( A27 ), TEXT( TRIM( A27 ), REPT(  "0", $D$6 ) ) )</f>
        <v>213044</v>
      </c>
      <c r="H27" s="22" t="str">
        <f t="shared" ref="H27" si="11">TEXT( TRIM( B27 ), "DD/MM/AAAA" )</f>
        <v>01/12/2023</v>
      </c>
      <c r="I27" s="22">
        <f t="shared" ref="I27" si="12">C27 * 1</f>
        <v>149</v>
      </c>
      <c r="J27" s="23" t="str" cm="1">
        <f t="array" aca="1" ref="J27" ca="1">MIG_GERA.SCRIPT( $J$2, $E$1:$I$1, E27:I27 )</f>
        <v>INSERT INTO GPE_ALTEESCALA ( NRORG, NRALTEESCALA, NRVINCULOM, DTINIESCALA, NRESCALATRABM, DTINCLUSAO, NRORGINCLUSAO, CDOPERINCLUSAO, DSOBSERVACAO ) VALUES ( 4838, 14957, 213044, '01/12/2023', 149, SYSDATE, 4838, '000000099991', 'Gerado via migracao' ); COMMIT;</v>
      </c>
      <c r="K27" s="27" t="str">
        <f t="shared" ref="K27" ca="1" si="13">IF( ( P27 = "existe" ) * ( R27 = "existe" ) * ( T27 = "não existe" ), J27, "" )</f>
        <v/>
      </c>
      <c r="L27" s="35" t="str">
        <f ca="1"/>
        <v>21304401/12/2023149</v>
      </c>
      <c r="P27" s="8" t="str">
        <f ca="1"/>
        <v>213044</v>
      </c>
      <c r="Q27" s="54" t="str">
        <f ca="1"/>
        <v xml:space="preserve">  - 213081</v>
      </c>
      <c r="R27" s="8">
        <f ca="1"/>
        <v>149</v>
      </c>
      <c r="T27" s="8" t="str">
        <f ca="1"/>
        <v>não existe</v>
      </c>
    </row>
    <row r="28" spans="1:20" x14ac:dyDescent="0.25">
      <c r="A28" s="68"/>
      <c r="B28" s="69"/>
      <c r="C28" s="71"/>
      <c r="E28" s="22"/>
      <c r="F28" s="22"/>
      <c r="G28" s="31"/>
      <c r="J28" s="23"/>
      <c r="K28" s="27"/>
    </row>
    <row r="29" spans="1:20" x14ac:dyDescent="0.25">
      <c r="A29" s="68"/>
      <c r="B29" s="69"/>
      <c r="C29" s="71"/>
      <c r="E29" s="22"/>
      <c r="F29" s="22"/>
      <c r="G29" s="31"/>
      <c r="J29" s="23"/>
      <c r="K29" s="27"/>
    </row>
    <row r="30" spans="1:20" x14ac:dyDescent="0.25">
      <c r="A30" s="68"/>
      <c r="B30" s="69"/>
      <c r="C30" s="71"/>
      <c r="E30" s="22"/>
      <c r="F30" s="22"/>
      <c r="G30" s="31"/>
      <c r="J30" s="23"/>
      <c r="K30" s="27"/>
    </row>
    <row r="31" spans="1:20" x14ac:dyDescent="0.25">
      <c r="A31" s="68"/>
      <c r="B31" s="69"/>
      <c r="C31" s="71"/>
      <c r="E31" s="22"/>
      <c r="F31" s="22"/>
      <c r="G31" s="31"/>
      <c r="J31" s="23"/>
      <c r="K31" s="27"/>
    </row>
    <row r="32" spans="1:20" x14ac:dyDescent="0.25">
      <c r="A32" s="68"/>
      <c r="B32" s="69"/>
      <c r="C32" s="71"/>
      <c r="E32" s="22"/>
      <c r="F32" s="22"/>
      <c r="G32" s="31"/>
      <c r="J32" s="23"/>
      <c r="K32" s="27"/>
    </row>
    <row r="33" spans="1:11" x14ac:dyDescent="0.25">
      <c r="A33" s="68"/>
      <c r="B33" s="69"/>
      <c r="C33" s="71"/>
      <c r="E33" s="22"/>
      <c r="F33" s="22"/>
      <c r="G33" s="31"/>
      <c r="J33" s="23"/>
      <c r="K33" s="27"/>
    </row>
    <row r="34" spans="1:11" x14ac:dyDescent="0.25">
      <c r="A34" s="68"/>
      <c r="B34" s="69"/>
      <c r="C34" s="71"/>
      <c r="E34" s="22"/>
      <c r="F34" s="22"/>
      <c r="G34" s="31"/>
      <c r="J34" s="23"/>
      <c r="K34" s="27"/>
    </row>
    <row r="35" spans="1:11" x14ac:dyDescent="0.25">
      <c r="A35" s="72"/>
      <c r="B35" s="69"/>
      <c r="C35" s="71"/>
      <c r="E35" s="22"/>
      <c r="F35" s="22"/>
      <c r="G35" s="31"/>
      <c r="J35" s="23"/>
      <c r="K35" s="27"/>
    </row>
    <row r="36" spans="1:11" x14ac:dyDescent="0.25">
      <c r="A36" s="73"/>
      <c r="B36" s="69"/>
      <c r="C36" s="71"/>
      <c r="E36" s="22"/>
      <c r="F36" s="22"/>
      <c r="G36" s="31"/>
      <c r="J36" s="23"/>
      <c r="K36" s="27"/>
    </row>
    <row r="37" spans="1:11" x14ac:dyDescent="0.25">
      <c r="A37" s="73"/>
      <c r="B37" s="69"/>
      <c r="C37" s="71"/>
      <c r="E37" s="22"/>
      <c r="F37" s="22"/>
      <c r="G37" s="31"/>
      <c r="J37" s="23"/>
      <c r="K37" s="27"/>
    </row>
    <row r="38" spans="1:11" x14ac:dyDescent="0.25">
      <c r="A38" s="73"/>
      <c r="B38" s="69"/>
      <c r="C38" s="71"/>
      <c r="E38" s="22"/>
      <c r="F38" s="22"/>
      <c r="G38" s="31"/>
      <c r="J38" s="23"/>
      <c r="K38" s="27"/>
    </row>
    <row r="39" spans="1:11" x14ac:dyDescent="0.25">
      <c r="A39" s="73"/>
      <c r="B39" s="69"/>
      <c r="C39" s="71"/>
      <c r="E39" s="22"/>
      <c r="F39" s="22"/>
      <c r="G39" s="31"/>
      <c r="J39" s="23"/>
      <c r="K39" s="27"/>
    </row>
    <row r="40" spans="1:11" x14ac:dyDescent="0.25">
      <c r="A40" s="73"/>
      <c r="B40" s="69"/>
      <c r="C40" s="71"/>
      <c r="E40" s="22"/>
      <c r="F40" s="22"/>
      <c r="G40" s="31"/>
      <c r="J40" s="23"/>
      <c r="K40" s="27"/>
    </row>
    <row r="41" spans="1:11" x14ac:dyDescent="0.25">
      <c r="A41" s="73"/>
      <c r="B41" s="69"/>
      <c r="C41" s="71"/>
      <c r="E41" s="22"/>
      <c r="F41" s="22"/>
      <c r="G41" s="31"/>
      <c r="J41" s="23"/>
      <c r="K41" s="27"/>
    </row>
    <row r="42" spans="1:11" x14ac:dyDescent="0.25">
      <c r="A42" s="73"/>
      <c r="B42" s="69"/>
      <c r="C42" s="71"/>
      <c r="E42" s="22"/>
      <c r="F42" s="22"/>
      <c r="G42" s="31"/>
      <c r="J42" s="23"/>
      <c r="K42" s="27"/>
    </row>
    <row r="43" spans="1:11" x14ac:dyDescent="0.25">
      <c r="A43" s="73"/>
      <c r="B43" s="69"/>
      <c r="C43" s="71"/>
      <c r="E43" s="22"/>
      <c r="F43" s="22"/>
      <c r="G43" s="31"/>
      <c r="J43" s="23"/>
      <c r="K43" s="27"/>
    </row>
    <row r="44" spans="1:11" x14ac:dyDescent="0.25">
      <c r="A44" s="73"/>
      <c r="B44" s="69"/>
      <c r="C44" s="71"/>
      <c r="E44" s="22"/>
      <c r="F44" s="22"/>
      <c r="G44" s="31"/>
      <c r="J44" s="23"/>
      <c r="K44" s="27"/>
    </row>
    <row r="45" spans="1:11" x14ac:dyDescent="0.25">
      <c r="A45" s="73"/>
      <c r="B45" s="69"/>
      <c r="C45" s="71"/>
      <c r="E45" s="22"/>
      <c r="F45" s="22"/>
      <c r="G45" s="31"/>
      <c r="J45" s="23"/>
      <c r="K45" s="27"/>
    </row>
    <row r="46" spans="1:11" x14ac:dyDescent="0.25">
      <c r="A46" s="73"/>
      <c r="B46" s="69"/>
      <c r="C46" s="71"/>
      <c r="E46" s="22"/>
      <c r="F46" s="22"/>
      <c r="G46" s="31"/>
      <c r="J46" s="23"/>
      <c r="K46" s="27"/>
    </row>
    <row r="47" spans="1:11" x14ac:dyDescent="0.25">
      <c r="A47" s="73"/>
      <c r="B47" s="69"/>
      <c r="C47" s="71"/>
      <c r="E47" s="22"/>
      <c r="F47" s="22"/>
      <c r="G47" s="31"/>
      <c r="J47" s="23"/>
      <c r="K47" s="27"/>
    </row>
    <row r="48" spans="1:11" x14ac:dyDescent="0.25">
      <c r="A48" s="73"/>
      <c r="B48" s="69"/>
      <c r="C48" s="71"/>
      <c r="E48" s="22"/>
      <c r="F48" s="22"/>
      <c r="G48" s="31"/>
      <c r="J48" s="23"/>
      <c r="K48" s="27"/>
    </row>
    <row r="49" spans="1:11" x14ac:dyDescent="0.25">
      <c r="A49" s="73"/>
      <c r="B49" s="69"/>
      <c r="C49" s="71"/>
      <c r="E49" s="22"/>
      <c r="F49" s="22"/>
      <c r="G49" s="31"/>
      <c r="J49" s="23"/>
      <c r="K49" s="27"/>
    </row>
    <row r="50" spans="1:11" x14ac:dyDescent="0.25">
      <c r="A50" s="73"/>
      <c r="B50" s="69"/>
      <c r="C50" s="71"/>
      <c r="E50" s="22"/>
      <c r="F50" s="22"/>
      <c r="G50" s="31"/>
      <c r="J50" s="23"/>
      <c r="K50" s="27"/>
    </row>
    <row r="51" spans="1:11" x14ac:dyDescent="0.25">
      <c r="A51" s="73"/>
      <c r="B51" s="69"/>
      <c r="C51" s="71"/>
      <c r="E51" s="22"/>
      <c r="F51" s="22"/>
      <c r="G51" s="31"/>
      <c r="J51" s="23"/>
      <c r="K51" s="27"/>
    </row>
    <row r="52" spans="1:11" x14ac:dyDescent="0.25">
      <c r="A52" s="73"/>
      <c r="B52" s="69"/>
      <c r="C52" s="71"/>
      <c r="E52" s="22"/>
      <c r="F52" s="22"/>
      <c r="G52" s="31"/>
      <c r="J52" s="23"/>
      <c r="K52" s="27"/>
    </row>
    <row r="53" spans="1:11" x14ac:dyDescent="0.25">
      <c r="A53" s="73"/>
      <c r="B53" s="69"/>
      <c r="C53" s="71"/>
      <c r="E53" s="22"/>
      <c r="F53" s="22"/>
      <c r="G53" s="31"/>
      <c r="J53" s="23"/>
      <c r="K53" s="27"/>
    </row>
    <row r="54" spans="1:11" x14ac:dyDescent="0.25">
      <c r="A54" s="73"/>
      <c r="B54" s="69"/>
      <c r="C54" s="71"/>
      <c r="E54" s="22"/>
      <c r="F54" s="22"/>
      <c r="G54" s="31"/>
      <c r="J54" s="23"/>
      <c r="K54" s="27"/>
    </row>
    <row r="55" spans="1:11" x14ac:dyDescent="0.25">
      <c r="A55" s="73"/>
      <c r="B55" s="69"/>
      <c r="C55" s="71"/>
      <c r="E55" s="22"/>
      <c r="F55" s="22"/>
      <c r="G55" s="31"/>
      <c r="J55" s="23"/>
      <c r="K55" s="27"/>
    </row>
    <row r="56" spans="1:11" x14ac:dyDescent="0.25">
      <c r="A56" s="73"/>
      <c r="B56" s="69"/>
      <c r="C56" s="71"/>
      <c r="E56" s="22"/>
      <c r="F56" s="22"/>
      <c r="G56" s="31"/>
      <c r="J56" s="23"/>
      <c r="K56" s="27"/>
    </row>
    <row r="57" spans="1:11" x14ac:dyDescent="0.25">
      <c r="A57" s="73"/>
      <c r="B57" s="69"/>
      <c r="C57" s="71"/>
      <c r="E57" s="22"/>
      <c r="F57" s="22"/>
      <c r="G57" s="31"/>
      <c r="J57" s="23"/>
      <c r="K57" s="27"/>
    </row>
    <row r="58" spans="1:11" x14ac:dyDescent="0.25">
      <c r="A58" s="73"/>
      <c r="B58" s="69"/>
      <c r="C58" s="71"/>
      <c r="E58" s="22"/>
      <c r="F58" s="22"/>
      <c r="G58" s="31"/>
      <c r="J58" s="23"/>
      <c r="K58" s="27"/>
    </row>
    <row r="59" spans="1:11" x14ac:dyDescent="0.25">
      <c r="A59" s="73"/>
      <c r="B59" s="69"/>
      <c r="C59" s="71"/>
      <c r="E59" s="22"/>
      <c r="F59" s="22"/>
      <c r="G59" s="31"/>
      <c r="J59" s="23"/>
      <c r="K59" s="27"/>
    </row>
    <row r="60" spans="1:11" x14ac:dyDescent="0.25">
      <c r="A60" s="73"/>
      <c r="B60" s="69"/>
      <c r="C60" s="71"/>
      <c r="E60" s="22"/>
      <c r="F60" s="22"/>
      <c r="G60" s="31"/>
      <c r="J60" s="23"/>
      <c r="K60" s="27"/>
    </row>
    <row r="61" spans="1:11" x14ac:dyDescent="0.25">
      <c r="A61" s="73"/>
      <c r="B61" s="69"/>
      <c r="C61" s="71"/>
      <c r="E61" s="22"/>
      <c r="F61" s="22"/>
      <c r="G61" s="31"/>
      <c r="J61" s="23"/>
      <c r="K61" s="27"/>
    </row>
    <row r="62" spans="1:11" x14ac:dyDescent="0.25">
      <c r="A62" s="73"/>
      <c r="B62" s="69"/>
      <c r="C62" s="71"/>
      <c r="E62" s="22"/>
      <c r="F62" s="22"/>
      <c r="G62" s="31"/>
      <c r="J62" s="23"/>
      <c r="K62" s="27"/>
    </row>
    <row r="63" spans="1:11" x14ac:dyDescent="0.25">
      <c r="A63" s="73"/>
      <c r="B63" s="69"/>
      <c r="C63" s="71"/>
      <c r="E63" s="22"/>
      <c r="F63" s="22"/>
      <c r="G63" s="31"/>
      <c r="J63" s="23"/>
      <c r="K63" s="27"/>
    </row>
    <row r="64" spans="1:11" x14ac:dyDescent="0.25">
      <c r="A64" s="73"/>
      <c r="B64" s="69"/>
      <c r="C64" s="71"/>
      <c r="E64" s="22"/>
      <c r="F64" s="22"/>
      <c r="G64" s="31"/>
      <c r="J64" s="23"/>
      <c r="K64" s="27"/>
    </row>
    <row r="65" spans="1:11" x14ac:dyDescent="0.25">
      <c r="A65" s="73"/>
      <c r="B65" s="69"/>
      <c r="C65" s="71"/>
      <c r="E65" s="22"/>
      <c r="F65" s="22"/>
      <c r="G65" s="31"/>
      <c r="J65" s="23"/>
      <c r="K65" s="27"/>
    </row>
    <row r="66" spans="1:11" x14ac:dyDescent="0.25">
      <c r="A66" s="73"/>
      <c r="B66" s="69"/>
      <c r="C66" s="71"/>
      <c r="E66" s="22"/>
      <c r="F66" s="22"/>
      <c r="G66" s="31"/>
      <c r="J66" s="23"/>
      <c r="K66" s="27"/>
    </row>
    <row r="67" spans="1:11" x14ac:dyDescent="0.25">
      <c r="A67" s="73"/>
      <c r="B67" s="69"/>
      <c r="C67" s="71"/>
      <c r="E67" s="22"/>
      <c r="F67" s="22"/>
      <c r="G67" s="31"/>
      <c r="J67" s="23"/>
      <c r="K67" s="27"/>
    </row>
    <row r="68" spans="1:11" x14ac:dyDescent="0.25">
      <c r="A68" s="73"/>
      <c r="B68" s="69"/>
      <c r="C68" s="71"/>
      <c r="E68" s="22"/>
      <c r="F68" s="22"/>
      <c r="G68" s="31"/>
      <c r="J68" s="23"/>
      <c r="K68" s="27"/>
    </row>
    <row r="69" spans="1:11" x14ac:dyDescent="0.25">
      <c r="A69" s="73"/>
      <c r="B69" s="69"/>
      <c r="C69" s="71"/>
      <c r="E69" s="22"/>
      <c r="F69" s="22"/>
      <c r="G69" s="31"/>
      <c r="J69" s="23"/>
      <c r="K69" s="27"/>
    </row>
    <row r="70" spans="1:11" x14ac:dyDescent="0.25">
      <c r="A70" s="73"/>
      <c r="B70" s="69"/>
      <c r="C70" s="71"/>
      <c r="E70" s="22"/>
      <c r="F70" s="22"/>
      <c r="G70" s="31"/>
      <c r="J70" s="23"/>
      <c r="K70" s="27"/>
    </row>
    <row r="71" spans="1:11" x14ac:dyDescent="0.25">
      <c r="A71" s="73"/>
      <c r="B71" s="69"/>
      <c r="C71" s="71"/>
      <c r="E71" s="22"/>
      <c r="F71" s="22"/>
      <c r="G71" s="31"/>
      <c r="J71" s="23"/>
      <c r="K71" s="27"/>
    </row>
    <row r="72" spans="1:11" x14ac:dyDescent="0.25">
      <c r="A72" s="73"/>
      <c r="B72" s="69"/>
      <c r="C72" s="71"/>
      <c r="E72" s="22"/>
      <c r="F72" s="22"/>
      <c r="G72" s="31"/>
      <c r="J72" s="23"/>
      <c r="K72" s="27"/>
    </row>
    <row r="73" spans="1:11" x14ac:dyDescent="0.25">
      <c r="A73" s="73"/>
      <c r="B73" s="69"/>
      <c r="C73" s="71"/>
      <c r="E73" s="22"/>
      <c r="F73" s="22"/>
      <c r="G73" s="31"/>
      <c r="J73" s="23"/>
      <c r="K73" s="27"/>
    </row>
    <row r="74" spans="1:11" x14ac:dyDescent="0.25">
      <c r="A74" s="73"/>
      <c r="B74" s="69"/>
      <c r="C74" s="71"/>
      <c r="E74" s="22"/>
      <c r="F74" s="22"/>
      <c r="G74" s="31"/>
      <c r="J74" s="23"/>
      <c r="K74" s="27"/>
    </row>
    <row r="75" spans="1:11" x14ac:dyDescent="0.25">
      <c r="A75" s="73"/>
      <c r="B75" s="69"/>
      <c r="C75" s="71"/>
      <c r="E75" s="22"/>
      <c r="F75" s="22"/>
      <c r="G75" s="31"/>
      <c r="J75" s="23"/>
      <c r="K75" s="27"/>
    </row>
    <row r="76" spans="1:11" x14ac:dyDescent="0.25">
      <c r="A76" s="73"/>
      <c r="B76" s="69"/>
      <c r="C76" s="71"/>
      <c r="E76" s="22"/>
      <c r="F76" s="22"/>
      <c r="G76" s="31"/>
      <c r="J76" s="23"/>
      <c r="K76" s="27"/>
    </row>
    <row r="77" spans="1:11" x14ac:dyDescent="0.25">
      <c r="A77" s="73"/>
      <c r="B77" s="69"/>
      <c r="C77" s="71"/>
      <c r="E77" s="22"/>
      <c r="F77" s="22"/>
      <c r="G77" s="31"/>
      <c r="J77" s="23"/>
      <c r="K77" s="27"/>
    </row>
    <row r="78" spans="1:11" x14ac:dyDescent="0.25">
      <c r="A78" s="73"/>
      <c r="B78" s="69"/>
      <c r="C78" s="71"/>
      <c r="E78" s="22"/>
      <c r="F78" s="22"/>
      <c r="G78" s="31"/>
      <c r="J78" s="23"/>
      <c r="K78" s="27"/>
    </row>
    <row r="79" spans="1:11" x14ac:dyDescent="0.25">
      <c r="A79" s="73"/>
      <c r="B79" s="69"/>
      <c r="C79" s="71"/>
      <c r="E79" s="22"/>
      <c r="F79" s="22"/>
      <c r="G79" s="31"/>
      <c r="J79" s="23"/>
      <c r="K79" s="27"/>
    </row>
    <row r="80" spans="1:11" x14ac:dyDescent="0.25">
      <c r="A80" s="73"/>
      <c r="B80" s="69"/>
      <c r="C80" s="71"/>
      <c r="E80" s="22"/>
      <c r="F80" s="22"/>
      <c r="G80" s="31"/>
      <c r="J80" s="23"/>
      <c r="K80" s="27"/>
    </row>
    <row r="81" spans="1:11" x14ac:dyDescent="0.25">
      <c r="A81" s="73"/>
      <c r="B81" s="69"/>
      <c r="C81" s="71"/>
      <c r="E81" s="22"/>
      <c r="F81" s="22"/>
      <c r="G81" s="31"/>
      <c r="J81" s="23"/>
      <c r="K81" s="27"/>
    </row>
    <row r="82" spans="1:11" x14ac:dyDescent="0.25">
      <c r="A82" s="73"/>
      <c r="B82" s="69"/>
      <c r="C82" s="71"/>
      <c r="E82" s="22"/>
      <c r="F82" s="22"/>
      <c r="G82" s="31"/>
      <c r="J82" s="23"/>
      <c r="K82" s="27"/>
    </row>
    <row r="83" spans="1:11" x14ac:dyDescent="0.25">
      <c r="A83" s="73"/>
      <c r="B83" s="69"/>
      <c r="C83" s="71"/>
      <c r="E83" s="22"/>
      <c r="F83" s="22"/>
      <c r="G83" s="31"/>
      <c r="J83" s="23"/>
      <c r="K83" s="27"/>
    </row>
    <row r="84" spans="1:11" x14ac:dyDescent="0.25">
      <c r="A84" s="73"/>
      <c r="B84" s="69"/>
      <c r="C84" s="71"/>
      <c r="E84" s="22"/>
      <c r="F84" s="22"/>
      <c r="G84" s="31"/>
      <c r="J84" s="23"/>
      <c r="K84" s="27"/>
    </row>
    <row r="85" spans="1:11" x14ac:dyDescent="0.25">
      <c r="A85" s="73"/>
      <c r="B85" s="69"/>
      <c r="C85" s="71"/>
      <c r="E85" s="22"/>
      <c r="F85" s="22"/>
      <c r="G85" s="31"/>
      <c r="J85" s="23"/>
      <c r="K85" s="27"/>
    </row>
    <row r="86" spans="1:11" x14ac:dyDescent="0.25">
      <c r="A86" s="73"/>
      <c r="B86" s="69"/>
      <c r="C86" s="71"/>
      <c r="E86" s="22"/>
      <c r="F86" s="22"/>
      <c r="G86" s="31"/>
      <c r="J86" s="23"/>
      <c r="K86" s="27"/>
    </row>
    <row r="87" spans="1:11" x14ac:dyDescent="0.25">
      <c r="A87" s="73"/>
      <c r="B87" s="69"/>
      <c r="C87" s="71"/>
      <c r="E87" s="22"/>
      <c r="F87" s="22"/>
      <c r="G87" s="31"/>
      <c r="J87" s="23"/>
      <c r="K87" s="27"/>
    </row>
    <row r="88" spans="1:11" x14ac:dyDescent="0.25">
      <c r="A88" s="73"/>
      <c r="B88" s="69"/>
      <c r="C88" s="71"/>
      <c r="E88" s="22"/>
      <c r="F88" s="22"/>
      <c r="G88" s="31"/>
      <c r="J88" s="23"/>
      <c r="K88" s="27"/>
    </row>
    <row r="89" spans="1:11" x14ac:dyDescent="0.25">
      <c r="A89" s="73"/>
      <c r="B89" s="69"/>
      <c r="C89" s="71"/>
      <c r="E89" s="22"/>
      <c r="F89" s="22"/>
      <c r="G89" s="31"/>
      <c r="J89" s="23"/>
      <c r="K89" s="27"/>
    </row>
    <row r="90" spans="1:11" x14ac:dyDescent="0.25">
      <c r="A90" s="73"/>
      <c r="B90" s="69"/>
      <c r="C90" s="71"/>
      <c r="E90" s="22"/>
      <c r="F90" s="22"/>
      <c r="G90" s="31"/>
      <c r="J90" s="23"/>
      <c r="K90" s="27"/>
    </row>
    <row r="91" spans="1:11" x14ac:dyDescent="0.25">
      <c r="A91" s="73"/>
      <c r="B91" s="69"/>
      <c r="C91" s="71"/>
      <c r="E91" s="22"/>
      <c r="F91" s="22"/>
      <c r="G91" s="31"/>
      <c r="J91" s="23"/>
      <c r="K91" s="27"/>
    </row>
    <row r="92" spans="1:11" x14ac:dyDescent="0.25">
      <c r="A92" s="73"/>
      <c r="B92" s="69"/>
      <c r="C92" s="71"/>
      <c r="E92" s="22"/>
      <c r="F92" s="22"/>
      <c r="G92" s="31"/>
      <c r="J92" s="23"/>
      <c r="K92" s="27"/>
    </row>
    <row r="93" spans="1:11" x14ac:dyDescent="0.25">
      <c r="A93" s="73"/>
      <c r="B93" s="69"/>
      <c r="C93" s="71"/>
      <c r="E93" s="22"/>
      <c r="F93" s="22"/>
      <c r="G93" s="31"/>
      <c r="J93" s="23"/>
      <c r="K93" s="27"/>
    </row>
    <row r="94" spans="1:11" x14ac:dyDescent="0.25">
      <c r="A94" s="73"/>
      <c r="B94" s="69"/>
      <c r="C94" s="71"/>
      <c r="E94" s="22"/>
      <c r="F94" s="22"/>
      <c r="G94" s="31"/>
      <c r="J94" s="23"/>
      <c r="K94" s="27"/>
    </row>
    <row r="95" spans="1:11" x14ac:dyDescent="0.25">
      <c r="A95" s="73"/>
      <c r="B95" s="69"/>
      <c r="C95" s="71"/>
      <c r="E95" s="22"/>
      <c r="F95" s="22"/>
      <c r="G95" s="31"/>
      <c r="J95" s="23"/>
      <c r="K95" s="27"/>
    </row>
    <row r="96" spans="1:11" x14ac:dyDescent="0.25">
      <c r="A96" s="73"/>
      <c r="B96" s="69"/>
      <c r="C96" s="71"/>
      <c r="E96" s="22"/>
      <c r="F96" s="22"/>
      <c r="G96" s="31"/>
      <c r="J96" s="23"/>
      <c r="K96" s="27"/>
    </row>
    <row r="97" spans="1:11" x14ac:dyDescent="0.25">
      <c r="A97" s="73"/>
      <c r="B97" s="69"/>
      <c r="C97" s="71"/>
      <c r="E97" s="22"/>
      <c r="F97" s="22"/>
      <c r="G97" s="31"/>
      <c r="J97" s="23"/>
      <c r="K97" s="27"/>
    </row>
    <row r="98" spans="1:11" x14ac:dyDescent="0.25">
      <c r="A98" s="73"/>
      <c r="B98" s="69"/>
      <c r="C98" s="71"/>
      <c r="E98" s="22"/>
      <c r="F98" s="22"/>
      <c r="G98" s="31"/>
      <c r="J98" s="23"/>
      <c r="K98" s="27"/>
    </row>
    <row r="99" spans="1:11" x14ac:dyDescent="0.25">
      <c r="A99" s="73"/>
      <c r="B99" s="69"/>
      <c r="C99" s="71"/>
      <c r="E99" s="22"/>
      <c r="F99" s="22"/>
      <c r="G99" s="31"/>
      <c r="J99" s="23"/>
      <c r="K99" s="27"/>
    </row>
    <row r="100" spans="1:11" x14ac:dyDescent="0.25">
      <c r="A100" s="73"/>
      <c r="B100" s="69"/>
      <c r="C100" s="71"/>
      <c r="E100" s="22"/>
      <c r="F100" s="22"/>
      <c r="G100" s="31"/>
      <c r="J100" s="23"/>
      <c r="K100" s="27"/>
    </row>
    <row r="101" spans="1:11" x14ac:dyDescent="0.25">
      <c r="A101" s="73"/>
      <c r="B101" s="69"/>
      <c r="C101" s="71"/>
      <c r="E101" s="22"/>
      <c r="F101" s="22"/>
      <c r="G101" s="31"/>
      <c r="J101" s="23"/>
      <c r="K101" s="27"/>
    </row>
    <row r="102" spans="1:11" x14ac:dyDescent="0.25">
      <c r="A102" s="73"/>
      <c r="B102" s="69"/>
      <c r="C102" s="71"/>
      <c r="E102" s="22"/>
      <c r="F102" s="22"/>
      <c r="G102" s="31"/>
      <c r="J102" s="23"/>
      <c r="K102" s="27"/>
    </row>
    <row r="103" spans="1:11" x14ac:dyDescent="0.25">
      <c r="A103" s="73"/>
      <c r="B103" s="69"/>
      <c r="C103" s="71"/>
      <c r="E103" s="22"/>
      <c r="F103" s="22"/>
      <c r="G103" s="31"/>
      <c r="J103" s="23"/>
      <c r="K103" s="27"/>
    </row>
    <row r="104" spans="1:11" x14ac:dyDescent="0.25">
      <c r="A104" s="73"/>
      <c r="B104" s="69"/>
      <c r="C104" s="71"/>
      <c r="E104" s="22"/>
      <c r="F104" s="22"/>
      <c r="G104" s="31"/>
      <c r="J104" s="23"/>
      <c r="K104" s="27"/>
    </row>
    <row r="105" spans="1:11" x14ac:dyDescent="0.25">
      <c r="A105" s="73"/>
      <c r="B105" s="69"/>
      <c r="C105" s="71"/>
      <c r="E105" s="22"/>
      <c r="F105" s="22"/>
      <c r="G105" s="31"/>
      <c r="J105" s="23"/>
      <c r="K105" s="27"/>
    </row>
    <row r="106" spans="1:11" x14ac:dyDescent="0.25">
      <c r="A106" s="73"/>
      <c r="B106" s="69"/>
      <c r="C106" s="71"/>
      <c r="E106" s="22"/>
      <c r="F106" s="22"/>
      <c r="G106" s="31"/>
      <c r="J106" s="23"/>
      <c r="K106" s="27"/>
    </row>
    <row r="107" spans="1:11" x14ac:dyDescent="0.25">
      <c r="A107" s="73"/>
      <c r="B107" s="69"/>
      <c r="C107" s="71"/>
      <c r="E107" s="22"/>
      <c r="F107" s="22"/>
      <c r="G107" s="31"/>
      <c r="J107" s="23"/>
      <c r="K107" s="27"/>
    </row>
    <row r="108" spans="1:11" x14ac:dyDescent="0.25">
      <c r="A108" s="73"/>
      <c r="B108" s="69"/>
      <c r="C108" s="71"/>
      <c r="E108" s="22"/>
      <c r="F108" s="22"/>
      <c r="G108" s="31"/>
      <c r="J108" s="23"/>
      <c r="K108" s="27"/>
    </row>
    <row r="109" spans="1:11" x14ac:dyDescent="0.25">
      <c r="A109" s="73"/>
      <c r="B109" s="69"/>
      <c r="C109" s="71"/>
      <c r="E109" s="22"/>
      <c r="F109" s="22"/>
      <c r="G109" s="31"/>
      <c r="J109" s="23"/>
      <c r="K109" s="27"/>
    </row>
    <row r="110" spans="1:11" x14ac:dyDescent="0.25">
      <c r="A110" s="73"/>
      <c r="B110" s="69"/>
      <c r="C110" s="71"/>
      <c r="E110" s="22"/>
      <c r="F110" s="22"/>
      <c r="G110" s="31"/>
      <c r="J110" s="23"/>
      <c r="K110" s="27"/>
    </row>
    <row r="111" spans="1:11" x14ac:dyDescent="0.25">
      <c r="A111" s="73"/>
      <c r="B111" s="69"/>
      <c r="C111" s="71"/>
      <c r="E111" s="22"/>
      <c r="F111" s="22"/>
      <c r="G111" s="31"/>
      <c r="J111" s="23"/>
      <c r="K111" s="27"/>
    </row>
    <row r="112" spans="1:11" x14ac:dyDescent="0.25">
      <c r="A112" s="73"/>
      <c r="B112" s="69"/>
      <c r="C112" s="71"/>
      <c r="E112" s="22"/>
      <c r="F112" s="22"/>
      <c r="G112" s="31"/>
      <c r="J112" s="23"/>
      <c r="K112" s="27"/>
    </row>
    <row r="113" spans="1:11" x14ac:dyDescent="0.25">
      <c r="A113" s="73"/>
      <c r="B113" s="69"/>
      <c r="C113" s="71"/>
      <c r="E113" s="22"/>
      <c r="F113" s="22"/>
      <c r="G113" s="31"/>
      <c r="J113" s="23"/>
      <c r="K113" s="27"/>
    </row>
    <row r="114" spans="1:11" x14ac:dyDescent="0.25">
      <c r="A114" s="73"/>
      <c r="B114" s="69"/>
      <c r="C114" s="71"/>
      <c r="E114" s="22"/>
      <c r="F114" s="22"/>
      <c r="G114" s="31"/>
      <c r="J114" s="23"/>
      <c r="K114" s="27"/>
    </row>
    <row r="115" spans="1:11" x14ac:dyDescent="0.25">
      <c r="A115" s="73"/>
      <c r="B115" s="69"/>
      <c r="C115" s="71"/>
      <c r="E115" s="22"/>
      <c r="F115" s="22"/>
      <c r="G115" s="31"/>
      <c r="J115" s="23"/>
      <c r="K115" s="27"/>
    </row>
    <row r="116" spans="1:11" x14ac:dyDescent="0.25">
      <c r="A116" s="73"/>
      <c r="B116" s="69"/>
      <c r="C116" s="71"/>
      <c r="E116" s="22"/>
      <c r="F116" s="22"/>
      <c r="G116" s="31"/>
      <c r="J116" s="23"/>
      <c r="K116" s="27"/>
    </row>
    <row r="117" spans="1:11" x14ac:dyDescent="0.25">
      <c r="A117" s="73"/>
      <c r="B117" s="69"/>
      <c r="C117" s="71"/>
      <c r="E117" s="22"/>
      <c r="F117" s="22"/>
      <c r="G117" s="31"/>
      <c r="J117" s="23"/>
      <c r="K117" s="27"/>
    </row>
    <row r="118" spans="1:11" x14ac:dyDescent="0.25">
      <c r="A118" s="73"/>
      <c r="B118" s="69"/>
      <c r="C118" s="71"/>
      <c r="E118" s="22"/>
      <c r="F118" s="22"/>
      <c r="G118" s="31"/>
      <c r="J118" s="23"/>
      <c r="K118" s="27"/>
    </row>
    <row r="119" spans="1:11" x14ac:dyDescent="0.25">
      <c r="A119" s="73"/>
      <c r="B119" s="69"/>
      <c r="C119" s="71"/>
      <c r="E119" s="22"/>
      <c r="F119" s="22"/>
      <c r="G119" s="31"/>
      <c r="J119" s="23"/>
      <c r="K119" s="27"/>
    </row>
    <row r="120" spans="1:11" x14ac:dyDescent="0.25">
      <c r="A120" s="73"/>
      <c r="B120" s="69"/>
      <c r="C120" s="71"/>
      <c r="E120" s="22"/>
      <c r="F120" s="22"/>
      <c r="G120" s="31"/>
      <c r="J120" s="23"/>
      <c r="K120" s="27"/>
    </row>
    <row r="121" spans="1:11" x14ac:dyDescent="0.25">
      <c r="A121" s="73"/>
      <c r="B121" s="69"/>
      <c r="C121" s="71"/>
      <c r="E121" s="22"/>
      <c r="F121" s="22"/>
      <c r="G121" s="31"/>
      <c r="J121" s="23"/>
      <c r="K121" s="27"/>
    </row>
    <row r="122" spans="1:11" x14ac:dyDescent="0.25">
      <c r="A122" s="73"/>
      <c r="B122" s="69"/>
      <c r="C122" s="71"/>
      <c r="E122" s="22"/>
      <c r="F122" s="22"/>
      <c r="G122" s="31"/>
      <c r="J122" s="23"/>
      <c r="K122" s="27"/>
    </row>
    <row r="123" spans="1:11" x14ac:dyDescent="0.25">
      <c r="A123" s="73"/>
      <c r="B123" s="69"/>
      <c r="C123" s="71"/>
      <c r="E123" s="22"/>
      <c r="F123" s="22"/>
      <c r="G123" s="31"/>
      <c r="J123" s="23"/>
      <c r="K123" s="27"/>
    </row>
    <row r="124" spans="1:11" x14ac:dyDescent="0.25">
      <c r="A124" s="73"/>
      <c r="B124" s="69"/>
      <c r="C124" s="71"/>
      <c r="E124" s="22"/>
      <c r="F124" s="22"/>
      <c r="G124" s="31"/>
      <c r="J124" s="23"/>
      <c r="K124" s="27"/>
    </row>
    <row r="125" spans="1:11" x14ac:dyDescent="0.25">
      <c r="A125" s="73"/>
      <c r="B125" s="69"/>
      <c r="C125" s="71"/>
      <c r="E125" s="22"/>
      <c r="F125" s="22"/>
      <c r="G125" s="31"/>
      <c r="J125" s="23"/>
      <c r="K125" s="27"/>
    </row>
    <row r="126" spans="1:11" x14ac:dyDescent="0.25">
      <c r="A126" s="73"/>
      <c r="B126" s="69"/>
      <c r="C126" s="71"/>
      <c r="E126" s="22"/>
      <c r="F126" s="22"/>
      <c r="G126" s="31"/>
      <c r="J126" s="23"/>
      <c r="K126" s="27"/>
    </row>
    <row r="127" spans="1:11" x14ac:dyDescent="0.25">
      <c r="A127" s="73"/>
      <c r="B127" s="69"/>
      <c r="C127" s="71"/>
      <c r="E127" s="22"/>
      <c r="F127" s="22"/>
      <c r="G127" s="31"/>
      <c r="J127" s="23"/>
      <c r="K127" s="27"/>
    </row>
    <row r="128" spans="1:11" x14ac:dyDescent="0.25">
      <c r="A128" s="73"/>
      <c r="B128" s="69"/>
      <c r="C128" s="71"/>
      <c r="E128" s="22"/>
      <c r="F128" s="22"/>
      <c r="G128" s="31"/>
      <c r="J128" s="23"/>
      <c r="K128" s="27"/>
    </row>
    <row r="129" spans="1:11" x14ac:dyDescent="0.25">
      <c r="A129" s="73"/>
      <c r="B129" s="69"/>
      <c r="C129" s="71"/>
      <c r="E129" s="22"/>
      <c r="F129" s="22"/>
      <c r="G129" s="31"/>
      <c r="J129" s="23"/>
      <c r="K129" s="27"/>
    </row>
    <row r="130" spans="1:11" x14ac:dyDescent="0.25">
      <c r="A130" s="73"/>
      <c r="B130" s="69"/>
      <c r="C130" s="71"/>
      <c r="E130" s="22"/>
      <c r="F130" s="22"/>
      <c r="G130" s="31"/>
      <c r="J130" s="23"/>
      <c r="K130" s="27"/>
    </row>
    <row r="131" spans="1:11" x14ac:dyDescent="0.25">
      <c r="A131" s="73"/>
      <c r="B131" s="69"/>
      <c r="C131" s="71"/>
      <c r="E131" s="22"/>
      <c r="F131" s="22"/>
      <c r="G131" s="31"/>
      <c r="J131" s="23"/>
      <c r="K131" s="27"/>
    </row>
    <row r="132" spans="1:11" x14ac:dyDescent="0.25">
      <c r="A132" s="73"/>
      <c r="B132" s="69"/>
      <c r="C132" s="71"/>
      <c r="E132" s="22"/>
      <c r="F132" s="22"/>
      <c r="G132" s="31"/>
      <c r="J132" s="23"/>
      <c r="K132" s="27"/>
    </row>
    <row r="133" spans="1:11" x14ac:dyDescent="0.25">
      <c r="A133" s="73"/>
      <c r="B133" s="69"/>
      <c r="C133" s="71"/>
      <c r="E133" s="22"/>
      <c r="F133" s="22"/>
      <c r="G133" s="31"/>
      <c r="J133" s="23"/>
      <c r="K133" s="27"/>
    </row>
    <row r="134" spans="1:11" x14ac:dyDescent="0.25">
      <c r="A134" s="73"/>
      <c r="B134" s="69"/>
      <c r="C134" s="71"/>
      <c r="E134" s="22"/>
      <c r="F134" s="22"/>
      <c r="G134" s="31"/>
      <c r="J134" s="23"/>
      <c r="K134" s="27"/>
    </row>
    <row r="135" spans="1:11" x14ac:dyDescent="0.25">
      <c r="A135" s="73"/>
      <c r="B135" s="69"/>
      <c r="C135" s="71"/>
      <c r="E135" s="22"/>
      <c r="F135" s="22"/>
      <c r="G135" s="31"/>
      <c r="J135" s="23"/>
      <c r="K135" s="27"/>
    </row>
    <row r="136" spans="1:11" x14ac:dyDescent="0.25">
      <c r="A136" s="73"/>
      <c r="B136" s="69"/>
      <c r="C136" s="71"/>
      <c r="E136" s="22"/>
      <c r="F136" s="22"/>
      <c r="G136" s="31"/>
      <c r="J136" s="23"/>
      <c r="K136" s="27"/>
    </row>
    <row r="137" spans="1:11" x14ac:dyDescent="0.25">
      <c r="A137" s="73"/>
      <c r="B137" s="69"/>
      <c r="C137" s="71"/>
      <c r="E137" s="22"/>
      <c r="F137" s="22"/>
      <c r="G137" s="31"/>
      <c r="J137" s="23"/>
      <c r="K137" s="27"/>
    </row>
    <row r="138" spans="1:11" x14ac:dyDescent="0.25">
      <c r="A138" s="73"/>
      <c r="B138" s="69"/>
      <c r="C138" s="71"/>
      <c r="E138" s="22"/>
      <c r="F138" s="22"/>
      <c r="G138" s="31"/>
      <c r="J138" s="23"/>
      <c r="K138" s="27"/>
    </row>
    <row r="139" spans="1:11" x14ac:dyDescent="0.25">
      <c r="A139" s="73"/>
      <c r="B139" s="69"/>
      <c r="C139" s="71"/>
      <c r="E139" s="22"/>
      <c r="F139" s="22"/>
      <c r="G139" s="31"/>
      <c r="J139" s="23"/>
      <c r="K139" s="27"/>
    </row>
    <row r="140" spans="1:11" x14ac:dyDescent="0.25">
      <c r="A140" s="73"/>
      <c r="B140" s="69"/>
      <c r="C140" s="71"/>
      <c r="E140" s="22"/>
      <c r="F140" s="22"/>
      <c r="G140" s="31"/>
      <c r="J140" s="23"/>
      <c r="K140" s="27"/>
    </row>
    <row r="141" spans="1:11" x14ac:dyDescent="0.25">
      <c r="A141" s="73"/>
      <c r="B141" s="69"/>
      <c r="C141" s="71"/>
      <c r="E141" s="22"/>
      <c r="F141" s="22"/>
      <c r="G141" s="31"/>
      <c r="J141" s="23"/>
      <c r="K141" s="27"/>
    </row>
    <row r="142" spans="1:11" x14ac:dyDescent="0.25">
      <c r="A142" s="73"/>
      <c r="B142" s="69"/>
      <c r="C142" s="71"/>
      <c r="E142" s="22"/>
      <c r="F142" s="22"/>
      <c r="G142" s="31"/>
      <c r="J142" s="23"/>
      <c r="K142" s="27"/>
    </row>
    <row r="143" spans="1:11" x14ac:dyDescent="0.25">
      <c r="A143" s="73"/>
      <c r="B143" s="69"/>
      <c r="C143" s="71"/>
      <c r="E143" s="22"/>
      <c r="F143" s="22"/>
      <c r="G143" s="31"/>
      <c r="J143" s="23"/>
      <c r="K143" s="27"/>
    </row>
    <row r="144" spans="1:11" x14ac:dyDescent="0.25">
      <c r="A144" s="73"/>
      <c r="B144" s="69"/>
      <c r="C144" s="71"/>
      <c r="E144" s="22"/>
      <c r="F144" s="22"/>
      <c r="G144" s="31"/>
      <c r="J144" s="23"/>
      <c r="K144" s="27"/>
    </row>
    <row r="145" spans="1:11" x14ac:dyDescent="0.25">
      <c r="A145" s="73"/>
      <c r="B145" s="69"/>
      <c r="C145" s="71"/>
      <c r="E145" s="22"/>
      <c r="F145" s="22"/>
      <c r="G145" s="31"/>
      <c r="J145" s="23"/>
      <c r="K145" s="27"/>
    </row>
    <row r="146" spans="1:11" x14ac:dyDescent="0.25">
      <c r="A146" s="73"/>
      <c r="B146" s="69"/>
      <c r="C146" s="71"/>
      <c r="E146" s="22"/>
      <c r="F146" s="22"/>
      <c r="G146" s="31"/>
      <c r="J146" s="23"/>
      <c r="K146" s="27"/>
    </row>
    <row r="147" spans="1:11" x14ac:dyDescent="0.25">
      <c r="A147" s="73"/>
      <c r="B147" s="69"/>
      <c r="C147" s="71"/>
      <c r="E147" s="22"/>
      <c r="F147" s="22"/>
      <c r="G147" s="31"/>
      <c r="J147" s="23"/>
      <c r="K147" s="27"/>
    </row>
    <row r="148" spans="1:11" x14ac:dyDescent="0.25">
      <c r="A148" s="73"/>
      <c r="B148" s="69"/>
      <c r="C148" s="71"/>
      <c r="E148" s="22"/>
      <c r="F148" s="22"/>
      <c r="G148" s="31"/>
      <c r="J148" s="23"/>
      <c r="K148" s="27"/>
    </row>
    <row r="149" spans="1:11" x14ac:dyDescent="0.25">
      <c r="A149" s="73"/>
      <c r="B149" s="69"/>
      <c r="C149" s="71"/>
      <c r="E149" s="22"/>
      <c r="F149" s="22"/>
      <c r="G149" s="31"/>
      <c r="J149" s="23"/>
      <c r="K149" s="27"/>
    </row>
    <row r="150" spans="1:11" x14ac:dyDescent="0.25">
      <c r="A150" s="73"/>
      <c r="B150" s="69"/>
      <c r="C150" s="71"/>
      <c r="E150" s="22"/>
      <c r="F150" s="22"/>
      <c r="G150" s="31"/>
      <c r="J150" s="23"/>
      <c r="K150" s="27"/>
    </row>
    <row r="151" spans="1:11" x14ac:dyDescent="0.25">
      <c r="A151" s="73"/>
      <c r="B151" s="69"/>
      <c r="C151" s="71"/>
      <c r="E151" s="22"/>
      <c r="F151" s="22"/>
      <c r="G151" s="31"/>
      <c r="J151" s="23"/>
      <c r="K151" s="27"/>
    </row>
    <row r="152" spans="1:11" x14ac:dyDescent="0.25">
      <c r="A152" s="73"/>
      <c r="B152" s="69"/>
      <c r="C152" s="71"/>
      <c r="E152" s="22"/>
      <c r="F152" s="22"/>
      <c r="G152" s="31"/>
      <c r="J152" s="23"/>
      <c r="K152" s="27"/>
    </row>
    <row r="153" spans="1:11" x14ac:dyDescent="0.25">
      <c r="A153" s="73"/>
      <c r="B153" s="69"/>
      <c r="C153" s="71"/>
      <c r="E153" s="22"/>
      <c r="F153" s="22"/>
      <c r="G153" s="31"/>
      <c r="J153" s="23"/>
      <c r="K153" s="27"/>
    </row>
    <row r="154" spans="1:11" x14ac:dyDescent="0.25">
      <c r="A154" s="73"/>
      <c r="B154" s="69"/>
      <c r="C154" s="71"/>
      <c r="E154" s="22"/>
      <c r="F154" s="22"/>
      <c r="G154" s="31"/>
      <c r="J154" s="23"/>
      <c r="K154" s="27"/>
    </row>
    <row r="155" spans="1:11" x14ac:dyDescent="0.25">
      <c r="A155" s="73"/>
      <c r="B155" s="69"/>
      <c r="C155" s="71"/>
      <c r="E155" s="22"/>
      <c r="F155" s="22"/>
      <c r="G155" s="31"/>
      <c r="J155" s="23"/>
      <c r="K155" s="27"/>
    </row>
    <row r="156" spans="1:11" x14ac:dyDescent="0.25">
      <c r="A156" s="73"/>
      <c r="B156" s="69"/>
      <c r="C156" s="71"/>
      <c r="E156" s="22"/>
      <c r="F156" s="22"/>
      <c r="G156" s="31"/>
      <c r="J156" s="23"/>
      <c r="K156" s="27"/>
    </row>
    <row r="157" spans="1:11" x14ac:dyDescent="0.25">
      <c r="A157" s="73"/>
      <c r="B157" s="69"/>
      <c r="C157" s="71"/>
      <c r="E157" s="22"/>
      <c r="F157" s="22"/>
      <c r="G157" s="31"/>
      <c r="J157" s="23"/>
      <c r="K157" s="27"/>
    </row>
    <row r="158" spans="1:11" x14ac:dyDescent="0.25">
      <c r="A158" s="73"/>
      <c r="B158" s="69"/>
      <c r="C158" s="71"/>
      <c r="E158" s="22"/>
      <c r="F158" s="22"/>
      <c r="G158" s="31"/>
      <c r="J158" s="23"/>
      <c r="K158" s="27"/>
    </row>
    <row r="159" spans="1:11" x14ac:dyDescent="0.25">
      <c r="A159" s="73"/>
      <c r="B159" s="69"/>
      <c r="C159" s="71"/>
      <c r="E159" s="22"/>
      <c r="F159" s="22"/>
      <c r="G159" s="31"/>
      <c r="J159" s="23"/>
      <c r="K159" s="27"/>
    </row>
    <row r="160" spans="1:11" x14ac:dyDescent="0.25">
      <c r="A160" s="73"/>
      <c r="B160" s="69"/>
      <c r="C160" s="71"/>
      <c r="E160" s="22"/>
      <c r="F160" s="22"/>
      <c r="G160" s="31"/>
      <c r="J160" s="23"/>
      <c r="K160" s="27"/>
    </row>
    <row r="161" spans="1:11" x14ac:dyDescent="0.25">
      <c r="A161" s="73"/>
      <c r="B161" s="69"/>
      <c r="C161" s="71"/>
      <c r="E161" s="22"/>
      <c r="F161" s="22"/>
      <c r="G161" s="31"/>
      <c r="J161" s="23"/>
      <c r="K161" s="27"/>
    </row>
    <row r="162" spans="1:11" x14ac:dyDescent="0.25">
      <c r="A162" s="73"/>
      <c r="B162" s="69"/>
      <c r="C162" s="71"/>
      <c r="E162" s="22"/>
      <c r="F162" s="22"/>
      <c r="G162" s="31"/>
      <c r="J162" s="23"/>
      <c r="K162" s="27"/>
    </row>
    <row r="163" spans="1:11" x14ac:dyDescent="0.25">
      <c r="A163" s="73"/>
      <c r="B163" s="69"/>
      <c r="C163" s="71"/>
      <c r="E163" s="22"/>
      <c r="F163" s="22"/>
      <c r="G163" s="31"/>
      <c r="J163" s="23"/>
      <c r="K163" s="27"/>
    </row>
    <row r="164" spans="1:11" x14ac:dyDescent="0.25">
      <c r="A164" s="73"/>
      <c r="B164" s="69"/>
      <c r="C164" s="71"/>
      <c r="E164" s="22"/>
      <c r="F164" s="22"/>
      <c r="G164" s="31"/>
      <c r="J164" s="23"/>
      <c r="K164" s="27"/>
    </row>
    <row r="165" spans="1:11" x14ac:dyDescent="0.25">
      <c r="A165" s="73"/>
      <c r="B165" s="69"/>
      <c r="C165" s="71"/>
      <c r="E165" s="22"/>
      <c r="F165" s="22"/>
      <c r="G165" s="31"/>
      <c r="J165" s="23"/>
      <c r="K165" s="27"/>
    </row>
    <row r="166" spans="1:11" x14ac:dyDescent="0.25">
      <c r="A166" s="73"/>
      <c r="B166" s="69"/>
      <c r="C166" s="71"/>
      <c r="E166" s="22"/>
      <c r="F166" s="22"/>
      <c r="G166" s="31"/>
      <c r="J166" s="23"/>
      <c r="K166" s="27"/>
    </row>
    <row r="167" spans="1:11" x14ac:dyDescent="0.25">
      <c r="A167" s="73"/>
      <c r="B167" s="69"/>
      <c r="C167" s="71"/>
      <c r="E167" s="22"/>
      <c r="F167" s="22"/>
      <c r="G167" s="31"/>
      <c r="J167" s="23"/>
      <c r="K167" s="27"/>
    </row>
    <row r="168" spans="1:11" x14ac:dyDescent="0.25">
      <c r="A168" s="73"/>
      <c r="B168" s="69"/>
      <c r="C168" s="71"/>
      <c r="E168" s="22"/>
      <c r="F168" s="22"/>
      <c r="G168" s="31"/>
      <c r="J168" s="23"/>
      <c r="K168" s="27"/>
    </row>
    <row r="169" spans="1:11" x14ac:dyDescent="0.25">
      <c r="A169" s="73"/>
      <c r="B169" s="69"/>
      <c r="C169" s="71"/>
      <c r="E169" s="22"/>
      <c r="F169" s="22"/>
      <c r="G169" s="31"/>
      <c r="J169" s="23"/>
      <c r="K169" s="27"/>
    </row>
    <row r="170" spans="1:11" x14ac:dyDescent="0.25">
      <c r="A170" s="73"/>
      <c r="B170" s="69"/>
      <c r="C170" s="71"/>
      <c r="E170" s="22"/>
      <c r="F170" s="22"/>
      <c r="G170" s="31"/>
      <c r="J170" s="23"/>
      <c r="K170" s="27"/>
    </row>
    <row r="171" spans="1:11" x14ac:dyDescent="0.25">
      <c r="A171" s="73"/>
      <c r="B171" s="69"/>
      <c r="C171" s="71"/>
      <c r="E171" s="22"/>
      <c r="F171" s="22"/>
      <c r="G171" s="31"/>
      <c r="J171" s="23"/>
      <c r="K171" s="27"/>
    </row>
    <row r="172" spans="1:11" x14ac:dyDescent="0.25">
      <c r="A172" s="73"/>
      <c r="B172" s="69"/>
      <c r="C172" s="71"/>
      <c r="E172" s="22"/>
      <c r="F172" s="22"/>
      <c r="G172" s="31"/>
      <c r="J172" s="23"/>
      <c r="K172" s="27"/>
    </row>
    <row r="173" spans="1:11" x14ac:dyDescent="0.25">
      <c r="A173" s="73"/>
      <c r="B173" s="69"/>
      <c r="C173" s="71"/>
      <c r="E173" s="22"/>
      <c r="F173" s="22"/>
      <c r="G173" s="31"/>
      <c r="J173" s="23"/>
      <c r="K173" s="27"/>
    </row>
    <row r="174" spans="1:11" x14ac:dyDescent="0.25">
      <c r="A174" s="73"/>
      <c r="B174" s="69"/>
      <c r="C174" s="71"/>
      <c r="E174" s="22"/>
      <c r="F174" s="22"/>
      <c r="G174" s="31"/>
      <c r="J174" s="23"/>
      <c r="K174" s="27"/>
    </row>
    <row r="175" spans="1:11" x14ac:dyDescent="0.25">
      <c r="A175" s="73"/>
      <c r="B175" s="69"/>
      <c r="C175" s="71"/>
      <c r="E175" s="22"/>
      <c r="F175" s="22"/>
      <c r="G175" s="31"/>
      <c r="J175" s="23"/>
      <c r="K175" s="27"/>
    </row>
    <row r="176" spans="1:11" x14ac:dyDescent="0.25">
      <c r="A176" s="73"/>
      <c r="B176" s="69"/>
      <c r="C176" s="71"/>
      <c r="E176" s="22"/>
      <c r="F176" s="22"/>
      <c r="G176" s="31"/>
      <c r="J176" s="23"/>
      <c r="K176" s="27"/>
    </row>
    <row r="177" spans="1:11" x14ac:dyDescent="0.25">
      <c r="A177" s="73"/>
      <c r="B177" s="69"/>
      <c r="C177" s="71"/>
      <c r="E177" s="22"/>
      <c r="F177" s="22"/>
      <c r="G177" s="31"/>
      <c r="J177" s="23"/>
      <c r="K177" s="27"/>
    </row>
    <row r="178" spans="1:11" x14ac:dyDescent="0.25">
      <c r="A178" s="73"/>
      <c r="B178" s="69"/>
      <c r="C178" s="71"/>
      <c r="E178" s="22"/>
      <c r="F178" s="22"/>
      <c r="G178" s="31"/>
      <c r="J178" s="23"/>
      <c r="K178" s="27"/>
    </row>
    <row r="179" spans="1:11" x14ac:dyDescent="0.25">
      <c r="A179" s="73"/>
      <c r="B179" s="69"/>
      <c r="C179" s="71"/>
      <c r="E179" s="22"/>
      <c r="F179" s="22"/>
      <c r="G179" s="31"/>
      <c r="J179" s="23"/>
      <c r="K179" s="27"/>
    </row>
    <row r="180" spans="1:11" x14ac:dyDescent="0.25">
      <c r="A180" s="73"/>
      <c r="B180" s="69"/>
      <c r="C180" s="71"/>
      <c r="E180" s="22"/>
      <c r="F180" s="22"/>
      <c r="G180" s="31"/>
      <c r="J180" s="23"/>
      <c r="K180" s="27"/>
    </row>
    <row r="181" spans="1:11" x14ac:dyDescent="0.25">
      <c r="A181" s="73"/>
      <c r="B181" s="69"/>
      <c r="C181" s="71"/>
      <c r="E181" s="22"/>
      <c r="F181" s="22"/>
      <c r="G181" s="31"/>
      <c r="J181" s="23"/>
      <c r="K181" s="27"/>
    </row>
    <row r="182" spans="1:11" x14ac:dyDescent="0.25">
      <c r="A182" s="73"/>
      <c r="B182" s="69"/>
      <c r="C182" s="71"/>
      <c r="E182" s="22"/>
      <c r="F182" s="22"/>
      <c r="G182" s="31"/>
      <c r="J182" s="23"/>
      <c r="K182" s="27"/>
    </row>
    <row r="183" spans="1:11" x14ac:dyDescent="0.25">
      <c r="A183" s="73"/>
      <c r="B183" s="69"/>
      <c r="C183" s="71"/>
      <c r="E183" s="22"/>
      <c r="F183" s="22"/>
      <c r="G183" s="31"/>
      <c r="J183" s="23"/>
      <c r="K183" s="27"/>
    </row>
    <row r="184" spans="1:11" x14ac:dyDescent="0.25">
      <c r="A184" s="73"/>
      <c r="B184" s="69"/>
      <c r="C184" s="71"/>
      <c r="E184" s="22"/>
      <c r="F184" s="22"/>
      <c r="G184" s="31"/>
      <c r="J184" s="23"/>
      <c r="K184" s="27"/>
    </row>
    <row r="185" spans="1:11" x14ac:dyDescent="0.25">
      <c r="A185" s="73"/>
      <c r="B185" s="69"/>
      <c r="C185" s="71"/>
      <c r="E185" s="22"/>
      <c r="F185" s="22"/>
      <c r="G185" s="31"/>
      <c r="J185" s="23"/>
      <c r="K185" s="27"/>
    </row>
    <row r="186" spans="1:11" x14ac:dyDescent="0.25">
      <c r="A186" s="73"/>
      <c r="B186" s="69"/>
      <c r="C186" s="71"/>
      <c r="E186" s="22"/>
      <c r="F186" s="22"/>
      <c r="G186" s="31"/>
      <c r="J186" s="23"/>
      <c r="K186" s="27"/>
    </row>
    <row r="187" spans="1:11" x14ac:dyDescent="0.25">
      <c r="A187" s="73"/>
      <c r="B187" s="69"/>
      <c r="C187" s="71"/>
      <c r="E187" s="22"/>
      <c r="F187" s="22"/>
      <c r="G187" s="31"/>
      <c r="J187" s="23"/>
      <c r="K187" s="27"/>
    </row>
    <row r="188" spans="1:11" x14ac:dyDescent="0.25">
      <c r="A188" s="73"/>
      <c r="B188" s="69"/>
      <c r="C188" s="71"/>
      <c r="E188" s="22"/>
      <c r="F188" s="22"/>
      <c r="G188" s="31"/>
      <c r="J188" s="23"/>
      <c r="K188" s="27"/>
    </row>
    <row r="189" spans="1:11" x14ac:dyDescent="0.25">
      <c r="A189" s="73"/>
      <c r="B189" s="69"/>
      <c r="C189" s="71"/>
      <c r="E189" s="22"/>
      <c r="F189" s="22"/>
      <c r="G189" s="31"/>
      <c r="J189" s="23"/>
      <c r="K189" s="27"/>
    </row>
    <row r="190" spans="1:11" x14ac:dyDescent="0.25">
      <c r="A190" s="73"/>
      <c r="B190" s="69"/>
      <c r="C190" s="71"/>
      <c r="E190" s="22"/>
      <c r="F190" s="22"/>
      <c r="G190" s="31"/>
      <c r="J190" s="23"/>
      <c r="K190" s="27"/>
    </row>
    <row r="191" spans="1:11" x14ac:dyDescent="0.25">
      <c r="A191" s="73"/>
      <c r="B191" s="69"/>
      <c r="C191" s="71"/>
      <c r="E191" s="22"/>
      <c r="F191" s="22"/>
      <c r="G191" s="31"/>
      <c r="J191" s="23"/>
      <c r="K191" s="27"/>
    </row>
    <row r="192" spans="1:11" x14ac:dyDescent="0.25">
      <c r="A192" s="73"/>
      <c r="B192" s="69"/>
      <c r="C192" s="71"/>
      <c r="E192" s="22"/>
      <c r="F192" s="22"/>
      <c r="G192" s="31"/>
      <c r="J192" s="23"/>
      <c r="K192" s="27"/>
    </row>
    <row r="193" spans="1:11" x14ac:dyDescent="0.25">
      <c r="A193" s="73"/>
      <c r="B193" s="69"/>
      <c r="C193" s="71"/>
      <c r="E193" s="22"/>
      <c r="F193" s="22"/>
      <c r="G193" s="31"/>
      <c r="J193" s="23"/>
      <c r="K193" s="27"/>
    </row>
    <row r="194" spans="1:11" x14ac:dyDescent="0.25">
      <c r="A194" s="73"/>
      <c r="B194" s="69"/>
      <c r="C194" s="71"/>
      <c r="E194" s="22"/>
      <c r="F194" s="22"/>
      <c r="G194" s="31"/>
      <c r="J194" s="23"/>
      <c r="K194" s="27"/>
    </row>
    <row r="195" spans="1:11" x14ac:dyDescent="0.25">
      <c r="A195" s="73"/>
      <c r="B195" s="69"/>
      <c r="C195" s="71"/>
      <c r="E195" s="22"/>
      <c r="F195" s="22"/>
      <c r="G195" s="31"/>
      <c r="J195" s="23"/>
      <c r="K195" s="27"/>
    </row>
    <row r="196" spans="1:11" x14ac:dyDescent="0.25">
      <c r="A196" s="73"/>
      <c r="B196" s="69"/>
      <c r="C196" s="71"/>
      <c r="E196" s="22"/>
      <c r="F196" s="22"/>
      <c r="G196" s="31"/>
      <c r="J196" s="23"/>
      <c r="K196" s="27"/>
    </row>
    <row r="197" spans="1:11" x14ac:dyDescent="0.25">
      <c r="A197" s="73"/>
      <c r="B197" s="69"/>
      <c r="C197" s="71"/>
      <c r="E197" s="22"/>
      <c r="F197" s="22"/>
      <c r="G197" s="31"/>
      <c r="J197" s="23"/>
      <c r="K197" s="27"/>
    </row>
    <row r="198" spans="1:11" x14ac:dyDescent="0.25">
      <c r="A198" s="73"/>
      <c r="B198" s="69"/>
      <c r="C198" s="71"/>
      <c r="E198" s="22"/>
      <c r="F198" s="22"/>
      <c r="G198" s="31"/>
      <c r="J198" s="23"/>
      <c r="K198" s="27"/>
    </row>
    <row r="199" spans="1:11" x14ac:dyDescent="0.25">
      <c r="A199" s="73"/>
      <c r="B199" s="69"/>
      <c r="C199" s="71"/>
      <c r="E199" s="22"/>
      <c r="F199" s="22"/>
      <c r="G199" s="31"/>
      <c r="J199" s="23"/>
      <c r="K199" s="27"/>
    </row>
    <row r="200" spans="1:11" x14ac:dyDescent="0.25">
      <c r="A200" s="73"/>
      <c r="B200" s="69"/>
      <c r="C200" s="71"/>
      <c r="E200" s="22"/>
      <c r="F200" s="22"/>
      <c r="G200" s="31"/>
      <c r="J200" s="23"/>
      <c r="K200" s="27"/>
    </row>
    <row r="201" spans="1:11" x14ac:dyDescent="0.25">
      <c r="A201" s="73"/>
      <c r="B201" s="69"/>
      <c r="C201" s="71"/>
      <c r="E201" s="22"/>
      <c r="F201" s="22"/>
      <c r="G201" s="31"/>
      <c r="J201" s="23"/>
      <c r="K201" s="27"/>
    </row>
    <row r="202" spans="1:11" x14ac:dyDescent="0.25">
      <c r="A202" s="73"/>
      <c r="B202" s="69"/>
      <c r="C202" s="71"/>
      <c r="E202" s="22"/>
      <c r="F202" s="22"/>
      <c r="G202" s="31"/>
      <c r="J202" s="23"/>
      <c r="K202" s="27"/>
    </row>
    <row r="203" spans="1:11" x14ac:dyDescent="0.25">
      <c r="A203" s="73"/>
      <c r="B203" s="69"/>
      <c r="C203" s="71"/>
      <c r="E203" s="22"/>
      <c r="F203" s="22"/>
      <c r="G203" s="31"/>
      <c r="J203" s="23"/>
      <c r="K203" s="27"/>
    </row>
    <row r="204" spans="1:11" x14ac:dyDescent="0.25">
      <c r="A204" s="73"/>
      <c r="B204" s="69"/>
      <c r="C204" s="71"/>
      <c r="E204" s="22"/>
      <c r="F204" s="22"/>
      <c r="G204" s="31"/>
      <c r="J204" s="23"/>
      <c r="K204" s="27"/>
    </row>
    <row r="205" spans="1:11" x14ac:dyDescent="0.25">
      <c r="A205" s="73"/>
      <c r="B205" s="69"/>
      <c r="C205" s="71"/>
      <c r="E205" s="22"/>
      <c r="F205" s="22"/>
      <c r="G205" s="31"/>
      <c r="J205" s="23"/>
      <c r="K205" s="27"/>
    </row>
    <row r="206" spans="1:11" x14ac:dyDescent="0.25">
      <c r="A206" s="73"/>
      <c r="B206" s="69"/>
      <c r="C206" s="71"/>
      <c r="E206" s="22"/>
      <c r="F206" s="22"/>
      <c r="G206" s="31"/>
      <c r="J206" s="23"/>
      <c r="K206" s="27"/>
    </row>
    <row r="207" spans="1:11" x14ac:dyDescent="0.25">
      <c r="A207" s="73"/>
      <c r="B207" s="69"/>
      <c r="C207" s="71"/>
      <c r="E207" s="22"/>
      <c r="F207" s="22"/>
      <c r="G207" s="31"/>
      <c r="J207" s="23"/>
      <c r="K207" s="27"/>
    </row>
    <row r="208" spans="1:11" x14ac:dyDescent="0.25">
      <c r="A208" s="73"/>
      <c r="B208" s="69"/>
      <c r="C208" s="71"/>
      <c r="E208" s="22"/>
      <c r="F208" s="22"/>
      <c r="G208" s="31"/>
      <c r="J208" s="23"/>
      <c r="K208" s="27"/>
    </row>
    <row r="209" spans="1:11" x14ac:dyDescent="0.25">
      <c r="A209" s="73"/>
      <c r="B209" s="69"/>
      <c r="C209" s="71"/>
      <c r="E209" s="22"/>
      <c r="F209" s="22"/>
      <c r="G209" s="31"/>
      <c r="J209" s="23"/>
      <c r="K209" s="27"/>
    </row>
    <row r="210" spans="1:11" x14ac:dyDescent="0.25">
      <c r="A210" s="73"/>
      <c r="B210" s="69"/>
      <c r="C210" s="71"/>
      <c r="E210" s="22"/>
      <c r="F210" s="22"/>
      <c r="G210" s="31"/>
      <c r="J210" s="23"/>
      <c r="K210" s="27"/>
    </row>
    <row r="211" spans="1:11" x14ac:dyDescent="0.25">
      <c r="A211" s="73"/>
      <c r="B211" s="69"/>
      <c r="C211" s="71"/>
      <c r="E211" s="22"/>
      <c r="F211" s="22"/>
      <c r="G211" s="31"/>
      <c r="J211" s="23"/>
      <c r="K211" s="27"/>
    </row>
    <row r="212" spans="1:11" x14ac:dyDescent="0.25">
      <c r="A212" s="73"/>
      <c r="B212" s="69"/>
      <c r="C212" s="71"/>
      <c r="E212" s="22"/>
      <c r="F212" s="22"/>
      <c r="G212" s="31"/>
      <c r="J212" s="23"/>
      <c r="K212" s="27"/>
    </row>
    <row r="213" spans="1:11" x14ac:dyDescent="0.25">
      <c r="A213" s="73"/>
      <c r="B213" s="69"/>
      <c r="C213" s="71"/>
      <c r="E213" s="22"/>
      <c r="F213" s="22"/>
      <c r="G213" s="31"/>
      <c r="J213" s="23"/>
      <c r="K213" s="27"/>
    </row>
    <row r="214" spans="1:11" x14ac:dyDescent="0.25">
      <c r="A214" s="73"/>
      <c r="B214" s="69"/>
      <c r="C214" s="71"/>
      <c r="E214" s="22"/>
      <c r="F214" s="22"/>
      <c r="G214" s="31"/>
      <c r="J214" s="23"/>
      <c r="K214" s="27"/>
    </row>
    <row r="215" spans="1:11" x14ac:dyDescent="0.25">
      <c r="A215" s="73"/>
      <c r="B215" s="69"/>
      <c r="C215" s="71"/>
      <c r="E215" s="22"/>
      <c r="F215" s="22"/>
      <c r="G215" s="31"/>
      <c r="J215" s="23"/>
      <c r="K215" s="27"/>
    </row>
    <row r="216" spans="1:11" x14ac:dyDescent="0.25">
      <c r="A216" s="73"/>
      <c r="B216" s="69"/>
      <c r="C216" s="71"/>
      <c r="E216" s="22"/>
      <c r="F216" s="22"/>
      <c r="G216" s="31"/>
      <c r="J216" s="23"/>
      <c r="K216" s="27"/>
    </row>
    <row r="217" spans="1:11" x14ac:dyDescent="0.25">
      <c r="A217" s="73"/>
      <c r="B217" s="69"/>
      <c r="C217" s="71"/>
      <c r="E217" s="22"/>
      <c r="F217" s="22"/>
      <c r="G217" s="31"/>
      <c r="J217" s="23"/>
      <c r="K217" s="27"/>
    </row>
    <row r="218" spans="1:11" x14ac:dyDescent="0.25">
      <c r="A218" s="73"/>
      <c r="B218" s="69"/>
      <c r="C218" s="71"/>
      <c r="E218" s="22"/>
      <c r="F218" s="22"/>
      <c r="G218" s="31"/>
      <c r="J218" s="23"/>
      <c r="K218" s="27"/>
    </row>
    <row r="219" spans="1:11" x14ac:dyDescent="0.25">
      <c r="A219" s="73"/>
      <c r="B219" s="69"/>
      <c r="C219" s="71"/>
      <c r="E219" s="22"/>
      <c r="F219" s="22"/>
      <c r="G219" s="31"/>
      <c r="J219" s="23"/>
      <c r="K219" s="27"/>
    </row>
    <row r="220" spans="1:11" x14ac:dyDescent="0.25">
      <c r="A220" s="73"/>
      <c r="B220" s="69"/>
      <c r="C220" s="71"/>
      <c r="E220" s="22"/>
      <c r="F220" s="22"/>
      <c r="G220" s="31"/>
      <c r="J220" s="23"/>
      <c r="K220" s="27"/>
    </row>
    <row r="221" spans="1:11" x14ac:dyDescent="0.25">
      <c r="A221" s="73"/>
      <c r="B221" s="69"/>
      <c r="C221" s="71"/>
      <c r="E221" s="22"/>
      <c r="F221" s="22"/>
      <c r="G221" s="31"/>
      <c r="J221" s="23"/>
      <c r="K221" s="27"/>
    </row>
    <row r="222" spans="1:11" x14ac:dyDescent="0.25">
      <c r="A222" s="73"/>
      <c r="B222" s="69"/>
      <c r="C222" s="71"/>
      <c r="E222" s="22"/>
      <c r="F222" s="22"/>
      <c r="G222" s="31"/>
      <c r="J222" s="23"/>
      <c r="K222" s="27"/>
    </row>
    <row r="223" spans="1:11" x14ac:dyDescent="0.25">
      <c r="A223" s="73"/>
      <c r="B223" s="69"/>
      <c r="C223" s="71"/>
      <c r="E223" s="22"/>
      <c r="F223" s="22"/>
      <c r="G223" s="31"/>
      <c r="J223" s="23"/>
      <c r="K223" s="27"/>
    </row>
    <row r="224" spans="1:11" x14ac:dyDescent="0.25">
      <c r="A224" s="73"/>
      <c r="B224" s="69"/>
      <c r="C224" s="71"/>
      <c r="E224" s="22"/>
      <c r="F224" s="22"/>
      <c r="G224" s="31"/>
      <c r="J224" s="23"/>
      <c r="K224" s="27"/>
    </row>
    <row r="225" spans="1:11" x14ac:dyDescent="0.25">
      <c r="A225" s="73"/>
      <c r="B225" s="69"/>
      <c r="C225" s="71"/>
      <c r="E225" s="22"/>
      <c r="F225" s="22"/>
      <c r="G225" s="31"/>
      <c r="J225" s="23"/>
      <c r="K225" s="27"/>
    </row>
    <row r="226" spans="1:11" x14ac:dyDescent="0.25">
      <c r="A226" s="73"/>
      <c r="B226" s="69"/>
      <c r="C226" s="71"/>
      <c r="E226" s="22"/>
      <c r="F226" s="22"/>
      <c r="G226" s="31"/>
      <c r="J226" s="23"/>
      <c r="K226" s="27"/>
    </row>
    <row r="227" spans="1:11" x14ac:dyDescent="0.25">
      <c r="A227" s="73"/>
      <c r="B227" s="69"/>
      <c r="C227" s="71"/>
      <c r="E227" s="22"/>
      <c r="F227" s="22"/>
      <c r="G227" s="31"/>
      <c r="J227" s="23"/>
      <c r="K227" s="27"/>
    </row>
    <row r="228" spans="1:11" x14ac:dyDescent="0.25">
      <c r="A228" s="73"/>
      <c r="B228" s="69"/>
      <c r="C228" s="71"/>
      <c r="E228" s="22"/>
      <c r="F228" s="22"/>
      <c r="G228" s="31"/>
      <c r="J228" s="23"/>
      <c r="K228" s="27"/>
    </row>
    <row r="229" spans="1:11" x14ac:dyDescent="0.25">
      <c r="A229" s="73"/>
      <c r="B229" s="69"/>
      <c r="C229" s="71"/>
      <c r="E229" s="22"/>
      <c r="F229" s="22"/>
      <c r="G229" s="31"/>
      <c r="J229" s="23"/>
      <c r="K229" s="27"/>
    </row>
    <row r="230" spans="1:11" x14ac:dyDescent="0.25">
      <c r="A230" s="73"/>
      <c r="B230" s="69"/>
      <c r="C230" s="71"/>
      <c r="E230" s="22"/>
      <c r="F230" s="22"/>
      <c r="G230" s="31"/>
      <c r="J230" s="23"/>
      <c r="K230" s="27"/>
    </row>
    <row r="231" spans="1:11" x14ac:dyDescent="0.25">
      <c r="A231" s="73"/>
      <c r="B231" s="69"/>
      <c r="C231" s="71"/>
      <c r="E231" s="22"/>
      <c r="F231" s="22"/>
      <c r="G231" s="31"/>
      <c r="J231" s="23"/>
      <c r="K231" s="27"/>
    </row>
    <row r="232" spans="1:11" x14ac:dyDescent="0.25">
      <c r="A232" s="73"/>
      <c r="B232" s="69"/>
      <c r="C232" s="71"/>
      <c r="E232" s="22"/>
      <c r="F232" s="22"/>
      <c r="G232" s="31"/>
      <c r="J232" s="23"/>
      <c r="K232" s="27"/>
    </row>
    <row r="233" spans="1:11" x14ac:dyDescent="0.25">
      <c r="A233" s="73"/>
      <c r="B233" s="69"/>
      <c r="C233" s="71"/>
      <c r="E233" s="22"/>
      <c r="F233" s="22"/>
      <c r="G233" s="31"/>
      <c r="J233" s="23"/>
      <c r="K233" s="27"/>
    </row>
    <row r="234" spans="1:11" x14ac:dyDescent="0.25">
      <c r="A234" s="73"/>
      <c r="B234" s="69"/>
      <c r="C234" s="71"/>
      <c r="E234" s="22"/>
      <c r="F234" s="22"/>
      <c r="G234" s="31"/>
      <c r="J234" s="23"/>
      <c r="K234" s="27"/>
    </row>
    <row r="235" spans="1:11" x14ac:dyDescent="0.25">
      <c r="A235" s="73"/>
      <c r="B235" s="69"/>
      <c r="C235" s="71"/>
      <c r="E235" s="22"/>
      <c r="F235" s="22"/>
      <c r="G235" s="31"/>
      <c r="J235" s="23"/>
      <c r="K235" s="27"/>
    </row>
    <row r="236" spans="1:11" x14ac:dyDescent="0.25">
      <c r="A236" s="73"/>
      <c r="B236" s="69"/>
      <c r="C236" s="71"/>
      <c r="E236" s="22"/>
      <c r="F236" s="22"/>
      <c r="G236" s="31"/>
      <c r="J236" s="23"/>
      <c r="K236" s="27"/>
    </row>
    <row r="237" spans="1:11" x14ac:dyDescent="0.25">
      <c r="A237" s="73"/>
      <c r="B237" s="69"/>
      <c r="C237" s="71"/>
      <c r="E237" s="22"/>
      <c r="F237" s="22"/>
      <c r="G237" s="31"/>
      <c r="J237" s="23"/>
      <c r="K237" s="27"/>
    </row>
    <row r="238" spans="1:11" x14ac:dyDescent="0.25">
      <c r="A238" s="73"/>
      <c r="B238" s="69"/>
      <c r="C238" s="71"/>
      <c r="E238" s="22"/>
      <c r="F238" s="22"/>
      <c r="G238" s="31"/>
      <c r="J238" s="23"/>
      <c r="K238" s="27"/>
    </row>
    <row r="239" spans="1:11" x14ac:dyDescent="0.25">
      <c r="A239" s="73"/>
      <c r="B239" s="69"/>
      <c r="C239" s="71"/>
      <c r="E239" s="22"/>
      <c r="F239" s="22"/>
      <c r="G239" s="31"/>
      <c r="J239" s="23"/>
      <c r="K239" s="27"/>
    </row>
    <row r="240" spans="1:11" x14ac:dyDescent="0.25">
      <c r="A240" s="73"/>
      <c r="B240" s="69"/>
      <c r="C240" s="71"/>
      <c r="E240" s="22"/>
      <c r="F240" s="22"/>
      <c r="G240" s="31"/>
      <c r="J240" s="23"/>
      <c r="K240" s="27"/>
    </row>
    <row r="241" spans="1:11" x14ac:dyDescent="0.25">
      <c r="A241" s="73"/>
      <c r="B241" s="69"/>
      <c r="C241" s="71"/>
      <c r="E241" s="22"/>
      <c r="F241" s="22"/>
      <c r="G241" s="31"/>
      <c r="J241" s="23"/>
      <c r="K241" s="27"/>
    </row>
    <row r="242" spans="1:11" x14ac:dyDescent="0.25">
      <c r="A242" s="73"/>
      <c r="B242" s="69"/>
      <c r="C242" s="71"/>
      <c r="E242" s="22"/>
      <c r="F242" s="22"/>
      <c r="G242" s="31"/>
      <c r="J242" s="23"/>
      <c r="K242" s="27"/>
    </row>
    <row r="243" spans="1:11" x14ac:dyDescent="0.25">
      <c r="A243" s="73"/>
      <c r="B243" s="69"/>
      <c r="C243" s="71"/>
      <c r="E243" s="22"/>
      <c r="F243" s="22"/>
      <c r="G243" s="31"/>
      <c r="J243" s="23"/>
      <c r="K243" s="27"/>
    </row>
    <row r="244" spans="1:11" x14ac:dyDescent="0.25">
      <c r="A244" s="73"/>
      <c r="B244" s="69"/>
      <c r="C244" s="71"/>
      <c r="E244" s="22"/>
      <c r="F244" s="22"/>
      <c r="G244" s="31"/>
      <c r="J244" s="23"/>
      <c r="K244" s="27"/>
    </row>
    <row r="245" spans="1:11" x14ac:dyDescent="0.25">
      <c r="A245" s="73"/>
      <c r="B245" s="69"/>
      <c r="C245" s="71"/>
      <c r="E245" s="22"/>
      <c r="F245" s="22"/>
      <c r="G245" s="31"/>
      <c r="J245" s="23"/>
      <c r="K245" s="27"/>
    </row>
    <row r="246" spans="1:11" x14ac:dyDescent="0.25">
      <c r="A246" s="73"/>
      <c r="B246" s="69"/>
      <c r="C246" s="71"/>
      <c r="E246" s="22"/>
      <c r="F246" s="22"/>
      <c r="G246" s="31"/>
      <c r="J246" s="23"/>
      <c r="K246" s="27"/>
    </row>
    <row r="247" spans="1:11" x14ac:dyDescent="0.25">
      <c r="A247" s="73"/>
      <c r="B247" s="69"/>
      <c r="C247" s="71"/>
      <c r="E247" s="22"/>
      <c r="F247" s="22"/>
      <c r="G247" s="31"/>
      <c r="J247" s="23"/>
      <c r="K247" s="27"/>
    </row>
    <row r="248" spans="1:11" x14ac:dyDescent="0.25">
      <c r="A248" s="73"/>
      <c r="B248" s="69"/>
      <c r="C248" s="71"/>
      <c r="E248" s="22"/>
      <c r="F248" s="22"/>
      <c r="G248" s="31"/>
      <c r="J248" s="23"/>
      <c r="K248" s="27"/>
    </row>
    <row r="249" spans="1:11" x14ac:dyDescent="0.25">
      <c r="A249" s="73"/>
      <c r="B249" s="69"/>
      <c r="C249" s="71"/>
      <c r="E249" s="22"/>
      <c r="F249" s="22"/>
      <c r="G249" s="31"/>
      <c r="J249" s="23"/>
      <c r="K249" s="27"/>
    </row>
    <row r="250" spans="1:11" x14ac:dyDescent="0.25">
      <c r="A250" s="73"/>
      <c r="B250" s="69"/>
      <c r="C250" s="71"/>
      <c r="E250" s="22"/>
      <c r="F250" s="22"/>
      <c r="G250" s="31"/>
      <c r="J250" s="23"/>
      <c r="K250" s="27"/>
    </row>
    <row r="251" spans="1:11" x14ac:dyDescent="0.25">
      <c r="A251" s="73"/>
      <c r="B251" s="69"/>
      <c r="C251" s="71"/>
      <c r="E251" s="22"/>
      <c r="F251" s="22"/>
      <c r="G251" s="31"/>
      <c r="J251" s="23"/>
      <c r="K251" s="27"/>
    </row>
    <row r="252" spans="1:11" x14ac:dyDescent="0.25">
      <c r="A252" s="73"/>
      <c r="B252" s="69"/>
      <c r="C252" s="71"/>
      <c r="E252" s="22"/>
      <c r="F252" s="22"/>
      <c r="G252" s="31"/>
      <c r="J252" s="23"/>
      <c r="K252" s="27"/>
    </row>
    <row r="253" spans="1:11" x14ac:dyDescent="0.25">
      <c r="A253" s="73"/>
      <c r="B253" s="69"/>
      <c r="C253" s="71"/>
      <c r="E253" s="22"/>
      <c r="F253" s="22"/>
      <c r="G253" s="31"/>
      <c r="J253" s="23"/>
      <c r="K253" s="27"/>
    </row>
    <row r="254" spans="1:11" x14ac:dyDescent="0.25">
      <c r="A254" s="73"/>
      <c r="B254" s="69"/>
      <c r="C254" s="71"/>
      <c r="E254" s="22"/>
      <c r="F254" s="22"/>
      <c r="G254" s="31"/>
      <c r="J254" s="23"/>
      <c r="K254" s="27"/>
    </row>
    <row r="255" spans="1:11" x14ac:dyDescent="0.25">
      <c r="A255" s="73"/>
      <c r="B255" s="69"/>
      <c r="C255" s="71"/>
      <c r="E255" s="22"/>
      <c r="F255" s="22"/>
      <c r="G255" s="31"/>
      <c r="J255" s="23"/>
      <c r="K255" s="27"/>
    </row>
    <row r="256" spans="1:11" x14ac:dyDescent="0.25">
      <c r="A256" s="73"/>
      <c r="B256" s="69"/>
      <c r="C256" s="71"/>
      <c r="E256" s="22"/>
      <c r="F256" s="22"/>
      <c r="G256" s="31"/>
      <c r="J256" s="23"/>
      <c r="K256" s="27"/>
    </row>
    <row r="257" spans="1:11" x14ac:dyDescent="0.25">
      <c r="A257" s="73"/>
      <c r="B257" s="69"/>
      <c r="C257" s="71"/>
      <c r="E257" s="22"/>
      <c r="F257" s="22"/>
      <c r="G257" s="31"/>
      <c r="J257" s="23"/>
      <c r="K257" s="27"/>
    </row>
    <row r="258" spans="1:11" x14ac:dyDescent="0.25">
      <c r="A258" s="73"/>
      <c r="B258" s="69"/>
      <c r="C258" s="71"/>
      <c r="E258" s="22"/>
      <c r="F258" s="22"/>
      <c r="G258" s="31"/>
      <c r="J258" s="23"/>
      <c r="K258" s="27"/>
    </row>
    <row r="259" spans="1:11" x14ac:dyDescent="0.25">
      <c r="A259" s="73"/>
      <c r="B259" s="69"/>
      <c r="C259" s="71"/>
      <c r="E259" s="22"/>
      <c r="F259" s="22"/>
      <c r="G259" s="31"/>
      <c r="J259" s="23"/>
      <c r="K259" s="27"/>
    </row>
    <row r="260" spans="1:11" x14ac:dyDescent="0.25">
      <c r="A260" s="73"/>
      <c r="B260" s="69"/>
      <c r="C260" s="71"/>
      <c r="E260" s="22"/>
      <c r="F260" s="22"/>
      <c r="G260" s="31"/>
      <c r="J260" s="23"/>
      <c r="K260" s="27"/>
    </row>
    <row r="261" spans="1:11" x14ac:dyDescent="0.25">
      <c r="A261" s="73"/>
      <c r="B261" s="69"/>
      <c r="C261" s="71"/>
      <c r="E261" s="22"/>
      <c r="F261" s="22"/>
      <c r="G261" s="31"/>
      <c r="J261" s="23"/>
      <c r="K261" s="27"/>
    </row>
    <row r="262" spans="1:11" x14ac:dyDescent="0.25">
      <c r="A262" s="73"/>
      <c r="B262" s="69"/>
      <c r="C262" s="71"/>
      <c r="E262" s="22"/>
      <c r="F262" s="22"/>
      <c r="G262" s="31"/>
      <c r="J262" s="23"/>
      <c r="K262" s="27"/>
    </row>
    <row r="263" spans="1:11" x14ac:dyDescent="0.25">
      <c r="A263" s="73"/>
      <c r="B263" s="69"/>
      <c r="C263" s="71"/>
      <c r="E263" s="22"/>
      <c r="F263" s="22"/>
      <c r="G263" s="31"/>
      <c r="J263" s="23"/>
      <c r="K263" s="27"/>
    </row>
    <row r="264" spans="1:11" x14ac:dyDescent="0.25">
      <c r="A264" s="73"/>
      <c r="B264" s="69"/>
      <c r="C264" s="71"/>
      <c r="E264" s="22"/>
      <c r="F264" s="22"/>
      <c r="G264" s="31"/>
      <c r="J264" s="23"/>
      <c r="K264" s="27"/>
    </row>
    <row r="265" spans="1:11" x14ac:dyDescent="0.25">
      <c r="A265" s="73"/>
      <c r="B265" s="69"/>
      <c r="C265" s="71"/>
      <c r="E265" s="22"/>
      <c r="F265" s="22"/>
      <c r="G265" s="31"/>
      <c r="J265" s="23"/>
      <c r="K265" s="27"/>
    </row>
    <row r="266" spans="1:11" x14ac:dyDescent="0.25">
      <c r="A266" s="73"/>
      <c r="B266" s="69"/>
      <c r="C266" s="71"/>
      <c r="E266" s="22"/>
      <c r="F266" s="22"/>
      <c r="G266" s="31"/>
      <c r="J266" s="23"/>
      <c r="K266" s="27"/>
    </row>
    <row r="267" spans="1:11" x14ac:dyDescent="0.25">
      <c r="A267" s="73"/>
      <c r="B267" s="69"/>
      <c r="C267" s="71"/>
      <c r="E267" s="22"/>
      <c r="F267" s="22"/>
      <c r="G267" s="31"/>
      <c r="J267" s="23"/>
      <c r="K267" s="27"/>
    </row>
    <row r="268" spans="1:11" x14ac:dyDescent="0.25">
      <c r="A268" s="73"/>
      <c r="B268" s="69"/>
      <c r="C268" s="71"/>
      <c r="E268" s="22"/>
      <c r="F268" s="22"/>
      <c r="G268" s="31"/>
      <c r="J268" s="23"/>
      <c r="K268" s="27"/>
    </row>
    <row r="269" spans="1:11" x14ac:dyDescent="0.25">
      <c r="A269" s="73"/>
      <c r="B269" s="69"/>
      <c r="C269" s="71"/>
      <c r="E269" s="22"/>
      <c r="F269" s="22"/>
      <c r="G269" s="31"/>
      <c r="J269" s="23"/>
      <c r="K269" s="27"/>
    </row>
    <row r="270" spans="1:11" x14ac:dyDescent="0.25">
      <c r="A270" s="73"/>
      <c r="B270" s="69"/>
      <c r="C270" s="71"/>
      <c r="E270" s="22"/>
      <c r="F270" s="22"/>
      <c r="G270" s="31"/>
      <c r="J270" s="23"/>
      <c r="K270" s="27"/>
    </row>
    <row r="271" spans="1:11" x14ac:dyDescent="0.25">
      <c r="A271" s="73"/>
      <c r="B271" s="69"/>
      <c r="C271" s="71"/>
      <c r="E271" s="22"/>
      <c r="F271" s="22"/>
      <c r="G271" s="31"/>
      <c r="J271" s="23"/>
      <c r="K271" s="27"/>
    </row>
    <row r="272" spans="1:11" x14ac:dyDescent="0.25">
      <c r="A272" s="73"/>
      <c r="B272" s="69"/>
      <c r="C272" s="71"/>
      <c r="E272" s="22"/>
      <c r="F272" s="22"/>
      <c r="G272" s="31"/>
      <c r="J272" s="23"/>
      <c r="K272" s="27"/>
    </row>
    <row r="273" spans="1:11" x14ac:dyDescent="0.25">
      <c r="A273" s="73"/>
      <c r="B273" s="69"/>
      <c r="C273" s="71"/>
      <c r="E273" s="22"/>
      <c r="F273" s="22"/>
      <c r="G273" s="31"/>
      <c r="J273" s="23"/>
      <c r="K273" s="27"/>
    </row>
    <row r="274" spans="1:11" x14ac:dyDescent="0.25">
      <c r="A274" s="73"/>
      <c r="B274" s="69"/>
      <c r="C274" s="71"/>
      <c r="E274" s="22"/>
      <c r="F274" s="22"/>
      <c r="G274" s="31"/>
      <c r="J274" s="23"/>
      <c r="K274" s="27"/>
    </row>
    <row r="275" spans="1:11" x14ac:dyDescent="0.25">
      <c r="A275" s="73"/>
      <c r="B275" s="69"/>
      <c r="C275" s="71"/>
      <c r="E275" s="22"/>
      <c r="F275" s="22"/>
      <c r="G275" s="31"/>
      <c r="J275" s="23"/>
      <c r="K275" s="27"/>
    </row>
    <row r="276" spans="1:11" x14ac:dyDescent="0.25">
      <c r="A276" s="73"/>
      <c r="B276" s="69"/>
      <c r="C276" s="71"/>
      <c r="E276" s="22"/>
      <c r="F276" s="22"/>
      <c r="G276" s="31"/>
      <c r="J276" s="23"/>
      <c r="K276" s="27"/>
    </row>
    <row r="277" spans="1:11" x14ac:dyDescent="0.25">
      <c r="A277" s="73"/>
      <c r="B277" s="69"/>
      <c r="C277" s="71"/>
      <c r="E277" s="22"/>
      <c r="F277" s="22"/>
      <c r="G277" s="31"/>
      <c r="J277" s="23"/>
      <c r="K277" s="27"/>
    </row>
    <row r="278" spans="1:11" x14ac:dyDescent="0.25">
      <c r="A278" s="73"/>
      <c r="B278" s="69"/>
      <c r="C278" s="71"/>
      <c r="E278" s="22"/>
      <c r="F278" s="22"/>
      <c r="G278" s="31"/>
      <c r="J278" s="23"/>
      <c r="K278" s="27"/>
    </row>
    <row r="279" spans="1:11" x14ac:dyDescent="0.25">
      <c r="A279" s="73"/>
      <c r="B279" s="69"/>
      <c r="C279" s="71"/>
      <c r="E279" s="22"/>
      <c r="F279" s="22"/>
      <c r="G279" s="31"/>
      <c r="J279" s="23"/>
      <c r="K279" s="27"/>
    </row>
    <row r="280" spans="1:11" x14ac:dyDescent="0.25">
      <c r="A280" s="73"/>
      <c r="B280" s="69"/>
      <c r="C280" s="71"/>
      <c r="E280" s="22"/>
      <c r="F280" s="22"/>
      <c r="G280" s="31"/>
      <c r="J280" s="23"/>
      <c r="K280" s="27"/>
    </row>
    <row r="281" spans="1:11" x14ac:dyDescent="0.25">
      <c r="A281" s="73"/>
      <c r="B281" s="69"/>
      <c r="C281" s="71"/>
      <c r="E281" s="22"/>
      <c r="F281" s="22"/>
      <c r="G281" s="31"/>
      <c r="J281" s="23"/>
      <c r="K281" s="27"/>
    </row>
    <row r="282" spans="1:11" x14ac:dyDescent="0.25">
      <c r="A282" s="73"/>
      <c r="B282" s="69"/>
      <c r="C282" s="71"/>
      <c r="E282" s="22"/>
      <c r="F282" s="22"/>
      <c r="G282" s="31"/>
      <c r="J282" s="23"/>
      <c r="K282" s="27"/>
    </row>
    <row r="283" spans="1:11" x14ac:dyDescent="0.25">
      <c r="A283" s="73"/>
      <c r="B283" s="69"/>
      <c r="C283" s="71"/>
      <c r="E283" s="22"/>
      <c r="F283" s="22"/>
      <c r="G283" s="31"/>
      <c r="J283" s="23"/>
      <c r="K283" s="27"/>
    </row>
    <row r="284" spans="1:11" x14ac:dyDescent="0.25">
      <c r="A284" s="73"/>
      <c r="B284" s="69"/>
      <c r="C284" s="71"/>
      <c r="E284" s="22"/>
      <c r="F284" s="22"/>
      <c r="G284" s="31"/>
      <c r="J284" s="23"/>
      <c r="K284" s="27"/>
    </row>
    <row r="285" spans="1:11" x14ac:dyDescent="0.25">
      <c r="A285" s="73"/>
      <c r="B285" s="69"/>
      <c r="C285" s="71"/>
      <c r="E285" s="22"/>
      <c r="F285" s="22"/>
      <c r="G285" s="31"/>
      <c r="J285" s="23"/>
      <c r="K285" s="27"/>
    </row>
    <row r="286" spans="1:11" x14ac:dyDescent="0.25">
      <c r="A286" s="73"/>
      <c r="B286" s="69"/>
      <c r="C286" s="71"/>
      <c r="E286" s="22"/>
      <c r="F286" s="22"/>
      <c r="G286" s="31"/>
      <c r="J286" s="23"/>
      <c r="K286" s="27"/>
    </row>
    <row r="287" spans="1:11" x14ac:dyDescent="0.25">
      <c r="A287" s="73"/>
      <c r="B287" s="69"/>
      <c r="C287" s="71"/>
      <c r="E287" s="22"/>
      <c r="F287" s="22"/>
      <c r="G287" s="31"/>
      <c r="J287" s="23"/>
      <c r="K287" s="27"/>
    </row>
    <row r="288" spans="1:11" x14ac:dyDescent="0.25">
      <c r="A288" s="73"/>
      <c r="B288" s="69"/>
      <c r="C288" s="71"/>
      <c r="E288" s="22"/>
      <c r="F288" s="22"/>
      <c r="G288" s="31"/>
      <c r="J288" s="23"/>
      <c r="K288" s="27"/>
    </row>
    <row r="289" spans="1:11" x14ac:dyDescent="0.25">
      <c r="A289" s="73"/>
      <c r="B289" s="69"/>
      <c r="C289" s="71"/>
      <c r="E289" s="22"/>
      <c r="F289" s="22"/>
      <c r="G289" s="31"/>
      <c r="J289" s="23"/>
      <c r="K289" s="27"/>
    </row>
    <row r="290" spans="1:11" x14ac:dyDescent="0.25">
      <c r="A290" s="73"/>
      <c r="B290" s="69"/>
      <c r="C290" s="71"/>
      <c r="E290" s="22"/>
      <c r="F290" s="22"/>
      <c r="G290" s="31"/>
      <c r="J290" s="23"/>
      <c r="K290" s="27"/>
    </row>
    <row r="291" spans="1:11" x14ac:dyDescent="0.25">
      <c r="A291" s="73"/>
      <c r="B291" s="69"/>
      <c r="C291" s="71"/>
      <c r="E291" s="22"/>
      <c r="F291" s="22"/>
      <c r="G291" s="31"/>
      <c r="J291" s="23"/>
      <c r="K291" s="27"/>
    </row>
    <row r="292" spans="1:11" x14ac:dyDescent="0.25">
      <c r="A292" s="73"/>
      <c r="B292" s="69"/>
      <c r="C292" s="71"/>
      <c r="E292" s="22"/>
      <c r="F292" s="22"/>
      <c r="G292" s="31"/>
      <c r="J292" s="23"/>
      <c r="K292" s="27"/>
    </row>
    <row r="293" spans="1:11" x14ac:dyDescent="0.25">
      <c r="A293" s="73"/>
      <c r="B293" s="69"/>
      <c r="C293" s="71"/>
      <c r="E293" s="22"/>
      <c r="F293" s="22"/>
      <c r="G293" s="31"/>
      <c r="J293" s="23"/>
      <c r="K293" s="27"/>
    </row>
    <row r="294" spans="1:11" x14ac:dyDescent="0.25">
      <c r="A294" s="73"/>
      <c r="B294" s="69"/>
      <c r="C294" s="71"/>
      <c r="E294" s="22"/>
      <c r="F294" s="22"/>
      <c r="G294" s="31"/>
      <c r="J294" s="23"/>
      <c r="K294" s="27"/>
    </row>
    <row r="295" spans="1:11" x14ac:dyDescent="0.25">
      <c r="A295" s="73"/>
      <c r="B295" s="69"/>
      <c r="C295" s="71"/>
      <c r="E295" s="22"/>
      <c r="F295" s="22"/>
      <c r="G295" s="31"/>
      <c r="J295" s="23"/>
      <c r="K295" s="27"/>
    </row>
    <row r="296" spans="1:11" x14ac:dyDescent="0.25">
      <c r="A296" s="73"/>
      <c r="B296" s="69"/>
      <c r="C296" s="71"/>
      <c r="E296" s="22"/>
      <c r="F296" s="22"/>
      <c r="G296" s="31"/>
      <c r="J296" s="23"/>
      <c r="K296" s="27"/>
    </row>
    <row r="297" spans="1:11" x14ac:dyDescent="0.25">
      <c r="A297" s="73"/>
      <c r="B297" s="69"/>
      <c r="C297" s="71"/>
      <c r="E297" s="22"/>
      <c r="F297" s="22"/>
      <c r="G297" s="31"/>
      <c r="J297" s="23"/>
      <c r="K297" s="27"/>
    </row>
    <row r="298" spans="1:11" x14ac:dyDescent="0.25">
      <c r="A298" s="73"/>
      <c r="B298" s="69"/>
      <c r="C298" s="71"/>
      <c r="E298" s="22"/>
      <c r="F298" s="22"/>
      <c r="G298" s="31"/>
      <c r="J298" s="23"/>
      <c r="K298" s="27"/>
    </row>
    <row r="299" spans="1:11" x14ac:dyDescent="0.25">
      <c r="A299" s="73"/>
      <c r="B299" s="69"/>
      <c r="C299" s="71"/>
      <c r="E299" s="22"/>
      <c r="F299" s="22"/>
      <c r="G299" s="31"/>
      <c r="J299" s="23"/>
      <c r="K299" s="27"/>
    </row>
    <row r="300" spans="1:11" x14ac:dyDescent="0.25">
      <c r="A300" s="73"/>
      <c r="B300" s="69"/>
      <c r="C300" s="71"/>
      <c r="E300" s="22"/>
      <c r="F300" s="22"/>
      <c r="G300" s="31"/>
      <c r="J300" s="23"/>
      <c r="K300" s="27"/>
    </row>
    <row r="301" spans="1:11" x14ac:dyDescent="0.25">
      <c r="A301" s="73"/>
      <c r="B301" s="69"/>
      <c r="C301" s="71"/>
      <c r="E301" s="22"/>
      <c r="F301" s="22"/>
      <c r="G301" s="31"/>
      <c r="J301" s="23"/>
      <c r="K301" s="27"/>
    </row>
    <row r="302" spans="1:11" x14ac:dyDescent="0.25">
      <c r="A302" s="73"/>
      <c r="B302" s="69"/>
      <c r="C302" s="71"/>
      <c r="E302" s="22"/>
      <c r="F302" s="22"/>
      <c r="G302" s="31"/>
      <c r="J302" s="23"/>
      <c r="K302" s="27"/>
    </row>
    <row r="303" spans="1:11" x14ac:dyDescent="0.25">
      <c r="A303" s="73"/>
      <c r="B303" s="69"/>
      <c r="C303" s="71"/>
      <c r="E303" s="22"/>
      <c r="F303" s="22"/>
      <c r="G303" s="31"/>
      <c r="J303" s="23"/>
      <c r="K303" s="27"/>
    </row>
    <row r="304" spans="1:11" x14ac:dyDescent="0.25">
      <c r="A304" s="73"/>
      <c r="B304" s="69"/>
      <c r="C304" s="71"/>
      <c r="E304" s="22"/>
      <c r="F304" s="22"/>
      <c r="G304" s="31"/>
      <c r="J304" s="23"/>
      <c r="K304" s="27"/>
    </row>
    <row r="305" spans="1:11" x14ac:dyDescent="0.25">
      <c r="A305" s="73"/>
      <c r="B305" s="69"/>
      <c r="C305" s="71"/>
      <c r="E305" s="22"/>
      <c r="F305" s="22"/>
      <c r="G305" s="31"/>
      <c r="J305" s="23"/>
      <c r="K305" s="27"/>
    </row>
    <row r="306" spans="1:11" x14ac:dyDescent="0.25">
      <c r="A306" s="73"/>
      <c r="B306" s="69"/>
      <c r="C306" s="71"/>
      <c r="E306" s="22"/>
      <c r="F306" s="22"/>
      <c r="G306" s="31"/>
      <c r="J306" s="23"/>
      <c r="K306" s="27"/>
    </row>
    <row r="307" spans="1:11" x14ac:dyDescent="0.25">
      <c r="A307" s="73"/>
      <c r="B307" s="69"/>
      <c r="C307" s="71"/>
      <c r="E307" s="22"/>
      <c r="F307" s="22"/>
      <c r="G307" s="31"/>
      <c r="J307" s="23"/>
      <c r="K307" s="27"/>
    </row>
    <row r="308" spans="1:11" x14ac:dyDescent="0.25">
      <c r="A308" s="73"/>
      <c r="B308" s="69"/>
      <c r="C308" s="71"/>
      <c r="E308" s="22"/>
      <c r="F308" s="22"/>
      <c r="G308" s="31"/>
      <c r="J308" s="23"/>
      <c r="K308" s="27"/>
    </row>
    <row r="309" spans="1:11" x14ac:dyDescent="0.25">
      <c r="A309" s="73"/>
      <c r="B309" s="69"/>
      <c r="C309" s="71"/>
      <c r="E309" s="22"/>
      <c r="F309" s="22"/>
      <c r="G309" s="31"/>
      <c r="J309" s="23"/>
      <c r="K309" s="27"/>
    </row>
    <row r="310" spans="1:11" x14ac:dyDescent="0.25">
      <c r="A310" s="73"/>
      <c r="B310" s="69"/>
      <c r="C310" s="71"/>
      <c r="E310" s="22"/>
      <c r="F310" s="22"/>
      <c r="G310" s="31"/>
      <c r="J310" s="23"/>
      <c r="K310" s="27"/>
    </row>
    <row r="311" spans="1:11" x14ac:dyDescent="0.25">
      <c r="A311" s="73"/>
      <c r="B311" s="69"/>
      <c r="C311" s="71"/>
      <c r="E311" s="22"/>
      <c r="F311" s="22"/>
      <c r="G311" s="31"/>
      <c r="J311" s="23"/>
      <c r="K311" s="27"/>
    </row>
    <row r="312" spans="1:11" x14ac:dyDescent="0.25">
      <c r="A312" s="73"/>
      <c r="B312" s="69"/>
      <c r="C312" s="71"/>
      <c r="E312" s="22"/>
      <c r="F312" s="22"/>
      <c r="G312" s="31"/>
      <c r="J312" s="23"/>
      <c r="K312" s="27"/>
    </row>
    <row r="313" spans="1:11" x14ac:dyDescent="0.25">
      <c r="A313" s="73"/>
      <c r="B313" s="69"/>
      <c r="C313" s="71"/>
      <c r="E313" s="22"/>
      <c r="F313" s="22"/>
      <c r="G313" s="31"/>
      <c r="J313" s="23"/>
      <c r="K313" s="27"/>
    </row>
    <row r="314" spans="1:11" x14ac:dyDescent="0.25">
      <c r="A314" s="73"/>
      <c r="B314" s="69"/>
      <c r="C314" s="71"/>
      <c r="E314" s="22"/>
      <c r="F314" s="22"/>
      <c r="G314" s="31"/>
      <c r="J314" s="23"/>
      <c r="K314" s="27"/>
    </row>
    <row r="315" spans="1:11" x14ac:dyDescent="0.25">
      <c r="A315" s="73"/>
      <c r="B315" s="69"/>
      <c r="C315" s="71"/>
      <c r="E315" s="22"/>
      <c r="F315" s="22"/>
      <c r="G315" s="31"/>
      <c r="J315" s="23"/>
      <c r="K315" s="27"/>
    </row>
    <row r="316" spans="1:11" x14ac:dyDescent="0.25">
      <c r="A316" s="73"/>
      <c r="B316" s="69"/>
      <c r="C316" s="71"/>
      <c r="E316" s="22"/>
      <c r="F316" s="22"/>
      <c r="G316" s="31"/>
      <c r="J316" s="23"/>
      <c r="K316" s="27"/>
    </row>
    <row r="317" spans="1:11" x14ac:dyDescent="0.25">
      <c r="A317" s="73"/>
      <c r="B317" s="69"/>
      <c r="C317" s="71"/>
      <c r="E317" s="22"/>
      <c r="F317" s="22"/>
      <c r="G317" s="31"/>
      <c r="J317" s="23"/>
      <c r="K317" s="27"/>
    </row>
    <row r="318" spans="1:11" x14ac:dyDescent="0.25">
      <c r="A318" s="73"/>
      <c r="B318" s="69"/>
      <c r="C318" s="71"/>
      <c r="E318" s="22"/>
      <c r="F318" s="22"/>
      <c r="G318" s="31"/>
      <c r="J318" s="23"/>
      <c r="K318" s="27"/>
    </row>
    <row r="319" spans="1:11" x14ac:dyDescent="0.25">
      <c r="A319" s="73"/>
      <c r="B319" s="69"/>
      <c r="C319" s="71"/>
      <c r="E319" s="22"/>
      <c r="F319" s="22"/>
      <c r="G319" s="31"/>
      <c r="J319" s="23"/>
      <c r="K319" s="27"/>
    </row>
    <row r="320" spans="1:11" x14ac:dyDescent="0.25">
      <c r="A320" s="73"/>
      <c r="B320" s="69"/>
      <c r="C320" s="71"/>
      <c r="E320" s="22"/>
      <c r="F320" s="22"/>
      <c r="G320" s="31"/>
      <c r="J320" s="23"/>
      <c r="K320" s="27"/>
    </row>
    <row r="321" spans="1:11" x14ac:dyDescent="0.25">
      <c r="A321" s="73"/>
      <c r="B321" s="69"/>
      <c r="C321" s="71"/>
      <c r="E321" s="22"/>
      <c r="F321" s="22"/>
      <c r="G321" s="31"/>
      <c r="J321" s="23"/>
      <c r="K321" s="27"/>
    </row>
    <row r="322" spans="1:11" x14ac:dyDescent="0.25">
      <c r="A322" s="73"/>
      <c r="B322" s="69"/>
      <c r="C322" s="71"/>
      <c r="E322" s="22"/>
      <c r="F322" s="22"/>
      <c r="G322" s="31"/>
      <c r="J322" s="23"/>
      <c r="K322" s="27"/>
    </row>
    <row r="323" spans="1:11" x14ac:dyDescent="0.25">
      <c r="A323" s="73"/>
      <c r="B323" s="69"/>
      <c r="C323" s="71"/>
      <c r="E323" s="22"/>
      <c r="F323" s="22"/>
      <c r="G323" s="31"/>
      <c r="J323" s="23"/>
      <c r="K323" s="27"/>
    </row>
    <row r="324" spans="1:11" x14ac:dyDescent="0.25">
      <c r="A324" s="73"/>
      <c r="B324" s="69"/>
      <c r="C324" s="71"/>
      <c r="E324" s="22"/>
      <c r="F324" s="22"/>
      <c r="G324" s="31"/>
      <c r="J324" s="23"/>
      <c r="K324" s="27"/>
    </row>
    <row r="325" spans="1:11" x14ac:dyDescent="0.25">
      <c r="A325" s="73"/>
      <c r="B325" s="69"/>
      <c r="C325" s="71"/>
      <c r="E325" s="22"/>
      <c r="F325" s="22"/>
      <c r="G325" s="31"/>
      <c r="J325" s="23"/>
      <c r="K325" s="27"/>
    </row>
    <row r="326" spans="1:11" x14ac:dyDescent="0.25">
      <c r="A326" s="73"/>
      <c r="B326" s="69"/>
      <c r="C326" s="71"/>
      <c r="E326" s="22"/>
      <c r="F326" s="22"/>
      <c r="G326" s="31"/>
      <c r="J326" s="23"/>
      <c r="K326" s="27"/>
    </row>
    <row r="327" spans="1:11" x14ac:dyDescent="0.25">
      <c r="A327" s="73"/>
      <c r="B327" s="69"/>
      <c r="C327" s="71"/>
      <c r="E327" s="22"/>
      <c r="F327" s="22"/>
      <c r="G327" s="31"/>
      <c r="J327" s="23"/>
      <c r="K327" s="27"/>
    </row>
    <row r="328" spans="1:11" x14ac:dyDescent="0.25">
      <c r="A328" s="73"/>
      <c r="B328" s="69"/>
      <c r="C328" s="71"/>
      <c r="E328" s="22"/>
      <c r="F328" s="22"/>
      <c r="G328" s="31"/>
      <c r="J328" s="23"/>
      <c r="K328" s="27"/>
    </row>
    <row r="329" spans="1:11" x14ac:dyDescent="0.25">
      <c r="A329" s="73"/>
      <c r="B329" s="69"/>
      <c r="C329" s="71"/>
      <c r="E329" s="22"/>
      <c r="F329" s="22"/>
      <c r="G329" s="31"/>
      <c r="J329" s="23"/>
      <c r="K329" s="27"/>
    </row>
    <row r="330" spans="1:11" x14ac:dyDescent="0.25">
      <c r="A330" s="73"/>
      <c r="B330" s="69"/>
      <c r="C330" s="71"/>
      <c r="E330" s="22"/>
      <c r="F330" s="22"/>
      <c r="G330" s="31"/>
      <c r="J330" s="23"/>
      <c r="K330" s="27"/>
    </row>
    <row r="331" spans="1:11" x14ac:dyDescent="0.25">
      <c r="A331" s="73"/>
      <c r="B331" s="69"/>
      <c r="C331" s="71"/>
      <c r="E331" s="22"/>
      <c r="F331" s="22"/>
      <c r="G331" s="31"/>
      <c r="J331" s="23"/>
      <c r="K331" s="27"/>
    </row>
    <row r="332" spans="1:11" x14ac:dyDescent="0.25">
      <c r="A332" s="73"/>
      <c r="B332" s="69"/>
      <c r="C332" s="71"/>
      <c r="E332" s="22"/>
      <c r="F332" s="22"/>
      <c r="G332" s="31"/>
      <c r="J332" s="23"/>
      <c r="K332" s="27"/>
    </row>
    <row r="333" spans="1:11" x14ac:dyDescent="0.25">
      <c r="A333" s="73"/>
      <c r="B333" s="69"/>
      <c r="C333" s="71"/>
      <c r="E333" s="22"/>
      <c r="F333" s="22"/>
      <c r="G333" s="31"/>
      <c r="J333" s="23"/>
      <c r="K333" s="27"/>
    </row>
    <row r="334" spans="1:11" x14ac:dyDescent="0.25">
      <c r="A334" s="73"/>
      <c r="B334" s="69"/>
      <c r="C334" s="71"/>
      <c r="E334" s="22"/>
      <c r="F334" s="22"/>
      <c r="G334" s="31"/>
      <c r="J334" s="23"/>
      <c r="K334" s="27"/>
    </row>
    <row r="335" spans="1:11" x14ac:dyDescent="0.25">
      <c r="A335" s="73"/>
      <c r="B335" s="69"/>
      <c r="C335" s="71"/>
      <c r="E335" s="22"/>
      <c r="F335" s="22"/>
      <c r="G335" s="31"/>
      <c r="J335" s="23"/>
      <c r="K335" s="27"/>
    </row>
    <row r="336" spans="1:11" x14ac:dyDescent="0.25">
      <c r="A336" s="73"/>
      <c r="B336" s="69"/>
      <c r="C336" s="71"/>
      <c r="E336" s="22"/>
      <c r="F336" s="22"/>
      <c r="G336" s="31"/>
      <c r="J336" s="23"/>
      <c r="K336" s="27"/>
    </row>
    <row r="337" spans="1:11" x14ac:dyDescent="0.25">
      <c r="A337" s="73"/>
      <c r="B337" s="69"/>
      <c r="C337" s="71"/>
      <c r="E337" s="22"/>
      <c r="F337" s="22"/>
      <c r="G337" s="31"/>
      <c r="J337" s="23"/>
      <c r="K337" s="27"/>
    </row>
    <row r="338" spans="1:11" x14ac:dyDescent="0.25">
      <c r="A338" s="73"/>
      <c r="B338" s="69"/>
      <c r="C338" s="71"/>
      <c r="E338" s="22"/>
      <c r="F338" s="22"/>
      <c r="G338" s="31"/>
      <c r="J338" s="23"/>
      <c r="K338" s="27"/>
    </row>
    <row r="339" spans="1:11" x14ac:dyDescent="0.25">
      <c r="A339" s="73"/>
      <c r="B339" s="69"/>
      <c r="C339" s="71"/>
      <c r="E339" s="22"/>
      <c r="F339" s="22"/>
      <c r="G339" s="31"/>
      <c r="J339" s="23"/>
      <c r="K339" s="27"/>
    </row>
    <row r="340" spans="1:11" x14ac:dyDescent="0.25">
      <c r="A340" s="73"/>
      <c r="B340" s="69"/>
      <c r="C340" s="71"/>
      <c r="E340" s="22"/>
      <c r="F340" s="22"/>
      <c r="G340" s="31"/>
      <c r="J340" s="23"/>
      <c r="K340" s="27"/>
    </row>
    <row r="341" spans="1:11" x14ac:dyDescent="0.25">
      <c r="A341" s="73"/>
      <c r="B341" s="69"/>
      <c r="C341" s="71"/>
      <c r="E341" s="22"/>
      <c r="F341" s="22"/>
      <c r="G341" s="31"/>
      <c r="J341" s="23"/>
      <c r="K341" s="27"/>
    </row>
    <row r="342" spans="1:11" x14ac:dyDescent="0.25">
      <c r="A342" s="73"/>
      <c r="B342" s="69"/>
      <c r="C342" s="71"/>
      <c r="E342" s="22"/>
      <c r="F342" s="22"/>
      <c r="G342" s="31"/>
      <c r="J342" s="23"/>
      <c r="K342" s="27"/>
    </row>
    <row r="343" spans="1:11" x14ac:dyDescent="0.25">
      <c r="A343" s="73"/>
      <c r="B343" s="69"/>
      <c r="C343" s="71"/>
      <c r="E343" s="22"/>
      <c r="F343" s="22"/>
      <c r="G343" s="31"/>
      <c r="J343" s="23"/>
      <c r="K343" s="27"/>
    </row>
    <row r="344" spans="1:11" x14ac:dyDescent="0.25">
      <c r="A344" s="73"/>
      <c r="B344" s="69"/>
      <c r="C344" s="71"/>
      <c r="E344" s="22"/>
      <c r="F344" s="22"/>
      <c r="G344" s="31"/>
      <c r="J344" s="23"/>
      <c r="K344" s="27"/>
    </row>
    <row r="345" spans="1:11" x14ac:dyDescent="0.25">
      <c r="A345" s="73"/>
      <c r="B345" s="69"/>
      <c r="C345" s="71"/>
      <c r="E345" s="22"/>
      <c r="F345" s="22"/>
      <c r="G345" s="31"/>
      <c r="J345" s="23"/>
      <c r="K345" s="27"/>
    </row>
    <row r="346" spans="1:11" x14ac:dyDescent="0.25">
      <c r="A346" s="73"/>
      <c r="B346" s="69"/>
      <c r="C346" s="71"/>
      <c r="E346" s="22"/>
      <c r="F346" s="22"/>
      <c r="G346" s="31"/>
      <c r="J346" s="23"/>
      <c r="K346" s="27"/>
    </row>
    <row r="347" spans="1:11" x14ac:dyDescent="0.25">
      <c r="A347" s="73"/>
      <c r="B347" s="69"/>
      <c r="C347" s="71"/>
      <c r="E347" s="22"/>
      <c r="F347" s="22"/>
      <c r="G347" s="31"/>
      <c r="J347" s="23"/>
      <c r="K347" s="27"/>
    </row>
    <row r="348" spans="1:11" x14ac:dyDescent="0.25">
      <c r="A348" s="73"/>
      <c r="B348" s="69"/>
      <c r="C348" s="71"/>
      <c r="E348" s="22"/>
      <c r="F348" s="22"/>
      <c r="G348" s="31"/>
      <c r="J348" s="23"/>
      <c r="K348" s="27"/>
    </row>
    <row r="349" spans="1:11" x14ac:dyDescent="0.25">
      <c r="A349" s="73"/>
      <c r="B349" s="69"/>
      <c r="C349" s="71"/>
      <c r="E349" s="22"/>
      <c r="F349" s="22"/>
      <c r="G349" s="31"/>
      <c r="J349" s="23"/>
      <c r="K349" s="27"/>
    </row>
    <row r="350" spans="1:11" x14ac:dyDescent="0.25">
      <c r="A350" s="73"/>
      <c r="B350" s="69"/>
      <c r="C350" s="71"/>
      <c r="E350" s="22"/>
      <c r="F350" s="22"/>
      <c r="G350" s="31"/>
      <c r="J350" s="23"/>
      <c r="K350" s="27"/>
    </row>
    <row r="351" spans="1:11" x14ac:dyDescent="0.25">
      <c r="A351" s="73"/>
      <c r="B351" s="69"/>
      <c r="C351" s="71"/>
      <c r="E351" s="22"/>
      <c r="F351" s="22"/>
      <c r="G351" s="31"/>
      <c r="J351" s="23"/>
      <c r="K351" s="27"/>
    </row>
    <row r="352" spans="1:11" x14ac:dyDescent="0.25">
      <c r="A352" s="73"/>
      <c r="B352" s="69"/>
      <c r="C352" s="71"/>
      <c r="E352" s="22"/>
      <c r="F352" s="22"/>
      <c r="G352" s="31"/>
      <c r="J352" s="23"/>
      <c r="K352" s="27"/>
    </row>
    <row r="353" spans="1:11" x14ac:dyDescent="0.25">
      <c r="A353" s="73"/>
      <c r="B353" s="69"/>
      <c r="C353" s="71"/>
      <c r="E353" s="22"/>
      <c r="F353" s="22"/>
      <c r="G353" s="31"/>
      <c r="J353" s="23"/>
      <c r="K353" s="27"/>
    </row>
    <row r="354" spans="1:11" x14ac:dyDescent="0.25">
      <c r="A354" s="73"/>
      <c r="B354" s="69"/>
      <c r="C354" s="71"/>
      <c r="E354" s="22"/>
      <c r="F354" s="22"/>
      <c r="G354" s="31"/>
      <c r="J354" s="23"/>
      <c r="K354" s="27"/>
    </row>
    <row r="355" spans="1:11" x14ac:dyDescent="0.25">
      <c r="A355" s="73"/>
      <c r="B355" s="69"/>
      <c r="C355" s="71"/>
      <c r="E355" s="22"/>
      <c r="F355" s="22"/>
      <c r="G355" s="31"/>
      <c r="J355" s="23"/>
      <c r="K355" s="27"/>
    </row>
    <row r="356" spans="1:11" x14ac:dyDescent="0.25">
      <c r="A356" s="73"/>
      <c r="B356" s="69"/>
      <c r="C356" s="71"/>
      <c r="E356" s="22"/>
      <c r="F356" s="22"/>
      <c r="G356" s="31"/>
      <c r="J356" s="23"/>
      <c r="K356" s="27"/>
    </row>
    <row r="357" spans="1:11" x14ac:dyDescent="0.25">
      <c r="A357" s="73"/>
      <c r="B357" s="69"/>
      <c r="C357" s="71"/>
      <c r="E357" s="22"/>
      <c r="F357" s="22"/>
      <c r="G357" s="31"/>
      <c r="J357" s="23"/>
      <c r="K357" s="27"/>
    </row>
    <row r="358" spans="1:11" x14ac:dyDescent="0.25">
      <c r="A358" s="73"/>
      <c r="B358" s="69"/>
      <c r="C358" s="71"/>
      <c r="E358" s="22"/>
      <c r="F358" s="22"/>
      <c r="G358" s="31"/>
      <c r="J358" s="23"/>
      <c r="K358" s="27"/>
    </row>
    <row r="359" spans="1:11" x14ac:dyDescent="0.25">
      <c r="A359" s="73"/>
      <c r="B359" s="69"/>
      <c r="C359" s="71"/>
      <c r="E359" s="22"/>
      <c r="F359" s="22"/>
      <c r="G359" s="31"/>
      <c r="J359" s="23"/>
      <c r="K359" s="27"/>
    </row>
    <row r="360" spans="1:11" x14ac:dyDescent="0.25">
      <c r="A360" s="73"/>
      <c r="B360" s="69"/>
      <c r="C360" s="71"/>
      <c r="E360" s="22"/>
      <c r="F360" s="22"/>
      <c r="G360" s="31"/>
      <c r="J360" s="23"/>
      <c r="K360" s="27"/>
    </row>
    <row r="361" spans="1:11" x14ac:dyDescent="0.25">
      <c r="A361" s="73"/>
      <c r="B361" s="69"/>
      <c r="C361" s="71"/>
      <c r="E361" s="22"/>
      <c r="F361" s="22"/>
      <c r="G361" s="31"/>
      <c r="J361" s="23"/>
      <c r="K361" s="27"/>
    </row>
    <row r="362" spans="1:11" x14ac:dyDescent="0.25">
      <c r="A362" s="73"/>
      <c r="B362" s="69"/>
      <c r="C362" s="71"/>
      <c r="E362" s="22"/>
      <c r="F362" s="22"/>
      <c r="G362" s="31"/>
      <c r="J362" s="23"/>
      <c r="K362" s="27"/>
    </row>
    <row r="363" spans="1:11" x14ac:dyDescent="0.25">
      <c r="A363" s="73"/>
      <c r="B363" s="69"/>
      <c r="C363" s="71"/>
      <c r="E363" s="22"/>
      <c r="F363" s="22"/>
      <c r="G363" s="31"/>
      <c r="J363" s="23"/>
      <c r="K363" s="27"/>
    </row>
    <row r="364" spans="1:11" x14ac:dyDescent="0.25">
      <c r="A364" s="73"/>
      <c r="B364" s="69"/>
      <c r="C364" s="71"/>
      <c r="E364" s="22"/>
      <c r="F364" s="22"/>
      <c r="G364" s="31"/>
      <c r="J364" s="23"/>
      <c r="K364" s="27"/>
    </row>
    <row r="365" spans="1:11" x14ac:dyDescent="0.25">
      <c r="A365" s="73"/>
      <c r="B365" s="69"/>
      <c r="C365" s="71"/>
      <c r="E365" s="22"/>
      <c r="F365" s="22"/>
      <c r="G365" s="31"/>
      <c r="J365" s="23"/>
      <c r="K365" s="27"/>
    </row>
    <row r="366" spans="1:11" x14ac:dyDescent="0.25">
      <c r="A366" s="73"/>
      <c r="B366" s="69"/>
      <c r="C366" s="71"/>
      <c r="E366" s="22"/>
      <c r="F366" s="22"/>
      <c r="G366" s="31"/>
      <c r="J366" s="23"/>
      <c r="K366" s="27"/>
    </row>
    <row r="367" spans="1:11" x14ac:dyDescent="0.25">
      <c r="A367" s="73"/>
      <c r="B367" s="69"/>
      <c r="C367" s="71"/>
      <c r="E367" s="22"/>
      <c r="F367" s="22"/>
      <c r="G367" s="31"/>
      <c r="J367" s="23"/>
      <c r="K367" s="27"/>
    </row>
    <row r="368" spans="1:11" x14ac:dyDescent="0.25">
      <c r="A368" s="73"/>
      <c r="B368" s="69"/>
      <c r="C368" s="71"/>
      <c r="E368" s="22"/>
      <c r="F368" s="22"/>
      <c r="G368" s="31"/>
      <c r="J368" s="23"/>
      <c r="K368" s="27"/>
    </row>
    <row r="369" spans="1:11" x14ac:dyDescent="0.25">
      <c r="A369" s="73"/>
      <c r="B369" s="69"/>
      <c r="C369" s="71"/>
      <c r="E369" s="22"/>
      <c r="F369" s="22"/>
      <c r="G369" s="31"/>
      <c r="J369" s="23"/>
      <c r="K369" s="27"/>
    </row>
    <row r="370" spans="1:11" x14ac:dyDescent="0.25">
      <c r="A370" s="73"/>
      <c r="B370" s="69"/>
      <c r="C370" s="71"/>
      <c r="E370" s="22"/>
      <c r="F370" s="22"/>
      <c r="G370" s="31"/>
      <c r="J370" s="23"/>
      <c r="K370" s="27"/>
    </row>
    <row r="371" spans="1:11" x14ac:dyDescent="0.25">
      <c r="A371" s="73"/>
      <c r="B371" s="69"/>
      <c r="C371" s="71"/>
      <c r="E371" s="22"/>
      <c r="F371" s="22"/>
      <c r="G371" s="31"/>
      <c r="J371" s="23"/>
      <c r="K371" s="27"/>
    </row>
    <row r="372" spans="1:11" x14ac:dyDescent="0.25">
      <c r="A372" s="73"/>
      <c r="B372" s="69"/>
      <c r="C372" s="71"/>
      <c r="E372" s="22"/>
      <c r="F372" s="22"/>
      <c r="G372" s="31"/>
      <c r="J372" s="23"/>
      <c r="K372" s="27"/>
    </row>
    <row r="373" spans="1:11" x14ac:dyDescent="0.25">
      <c r="A373" s="73"/>
      <c r="B373" s="69"/>
      <c r="C373" s="71"/>
      <c r="E373" s="22"/>
      <c r="F373" s="22"/>
      <c r="G373" s="31"/>
      <c r="J373" s="23"/>
      <c r="K373" s="27"/>
    </row>
    <row r="374" spans="1:11" x14ac:dyDescent="0.25">
      <c r="A374" s="73"/>
      <c r="B374" s="69"/>
      <c r="C374" s="71"/>
      <c r="E374" s="22"/>
      <c r="F374" s="22"/>
      <c r="G374" s="31"/>
      <c r="J374" s="23"/>
      <c r="K374" s="27"/>
    </row>
    <row r="375" spans="1:11" x14ac:dyDescent="0.25">
      <c r="A375" s="73"/>
      <c r="B375" s="69"/>
      <c r="C375" s="71"/>
      <c r="E375" s="22"/>
      <c r="F375" s="22"/>
      <c r="G375" s="31"/>
      <c r="J375" s="23"/>
      <c r="K375" s="27"/>
    </row>
    <row r="376" spans="1:11" x14ac:dyDescent="0.25">
      <c r="A376" s="73"/>
      <c r="B376" s="69"/>
      <c r="C376" s="71"/>
      <c r="E376" s="22"/>
      <c r="F376" s="22"/>
      <c r="G376" s="31"/>
      <c r="J376" s="23"/>
      <c r="K376" s="27"/>
    </row>
    <row r="377" spans="1:11" x14ac:dyDescent="0.25">
      <c r="A377" s="73"/>
      <c r="B377" s="69"/>
      <c r="C377" s="71"/>
      <c r="E377" s="22"/>
      <c r="F377" s="22"/>
      <c r="G377" s="31"/>
      <c r="J377" s="23"/>
      <c r="K377" s="27"/>
    </row>
    <row r="378" spans="1:11" x14ac:dyDescent="0.25">
      <c r="A378" s="73"/>
      <c r="B378" s="69"/>
      <c r="C378" s="71"/>
      <c r="E378" s="22"/>
      <c r="F378" s="22"/>
      <c r="G378" s="31"/>
      <c r="J378" s="23"/>
      <c r="K378" s="27"/>
    </row>
    <row r="379" spans="1:11" x14ac:dyDescent="0.25">
      <c r="A379" s="73"/>
      <c r="B379" s="69"/>
      <c r="C379" s="71"/>
      <c r="E379" s="22"/>
      <c r="F379" s="22"/>
      <c r="G379" s="31"/>
      <c r="J379" s="23"/>
      <c r="K379" s="27"/>
    </row>
    <row r="380" spans="1:11" x14ac:dyDescent="0.25">
      <c r="A380" s="73"/>
      <c r="B380" s="69"/>
      <c r="C380" s="71"/>
      <c r="E380" s="22"/>
      <c r="F380" s="22"/>
      <c r="G380" s="31"/>
      <c r="J380" s="23"/>
      <c r="K380" s="27"/>
    </row>
    <row r="381" spans="1:11" x14ac:dyDescent="0.25">
      <c r="A381" s="73"/>
      <c r="B381" s="69"/>
      <c r="C381" s="71"/>
      <c r="E381" s="22"/>
      <c r="F381" s="22"/>
      <c r="G381" s="31"/>
      <c r="J381" s="23"/>
      <c r="K381" s="27"/>
    </row>
    <row r="382" spans="1:11" x14ac:dyDescent="0.25">
      <c r="A382" s="73"/>
      <c r="B382" s="69"/>
      <c r="C382" s="71"/>
      <c r="E382" s="22"/>
      <c r="F382" s="22"/>
      <c r="G382" s="31"/>
      <c r="J382" s="23"/>
      <c r="K382" s="27"/>
    </row>
    <row r="383" spans="1:11" x14ac:dyDescent="0.25">
      <c r="A383" s="73"/>
      <c r="B383" s="69"/>
      <c r="C383" s="71"/>
      <c r="E383" s="22"/>
      <c r="F383" s="22"/>
      <c r="G383" s="31"/>
      <c r="J383" s="23"/>
      <c r="K383" s="27"/>
    </row>
    <row r="384" spans="1:11" x14ac:dyDescent="0.25">
      <c r="A384" s="73"/>
      <c r="B384" s="69"/>
      <c r="C384" s="71"/>
      <c r="E384" s="22"/>
      <c r="F384" s="22"/>
      <c r="G384" s="31"/>
      <c r="J384" s="23"/>
      <c r="K384" s="27"/>
    </row>
    <row r="385" spans="1:11" x14ac:dyDescent="0.25">
      <c r="A385" s="73"/>
      <c r="B385" s="69"/>
      <c r="C385" s="71"/>
      <c r="E385" s="22"/>
      <c r="F385" s="22"/>
      <c r="G385" s="31"/>
      <c r="J385" s="23"/>
      <c r="K385" s="27"/>
    </row>
    <row r="386" spans="1:11" x14ac:dyDescent="0.25">
      <c r="A386" s="73"/>
      <c r="B386" s="69"/>
      <c r="C386" s="71"/>
      <c r="E386" s="22"/>
      <c r="F386" s="22"/>
      <c r="G386" s="31"/>
      <c r="J386" s="23"/>
      <c r="K386" s="27"/>
    </row>
    <row r="387" spans="1:11" x14ac:dyDescent="0.25">
      <c r="A387" s="73"/>
      <c r="B387" s="69"/>
      <c r="C387" s="71"/>
      <c r="E387" s="22"/>
      <c r="F387" s="22"/>
      <c r="G387" s="31"/>
      <c r="J387" s="23"/>
      <c r="K387" s="27"/>
    </row>
    <row r="388" spans="1:11" x14ac:dyDescent="0.25">
      <c r="A388" s="74"/>
      <c r="B388" s="69"/>
      <c r="C388" s="71"/>
      <c r="E388" s="22"/>
      <c r="F388" s="22"/>
      <c r="G388" s="31"/>
      <c r="J388" s="23"/>
      <c r="K388" s="27"/>
    </row>
    <row r="389" spans="1:11" x14ac:dyDescent="0.25">
      <c r="A389" s="74"/>
      <c r="B389" s="69"/>
      <c r="C389" s="71"/>
      <c r="E389" s="22"/>
      <c r="F389" s="22"/>
      <c r="G389" s="31"/>
      <c r="J389" s="23"/>
      <c r="K389" s="27"/>
    </row>
    <row r="390" spans="1:11" x14ac:dyDescent="0.25">
      <c r="A390" s="74"/>
      <c r="B390" s="69"/>
      <c r="C390" s="71"/>
      <c r="E390" s="22"/>
      <c r="F390" s="22"/>
      <c r="G390" s="31"/>
      <c r="J390" s="23"/>
      <c r="K390" s="27"/>
    </row>
    <row r="391" spans="1:11" x14ac:dyDescent="0.25">
      <c r="A391" s="74"/>
      <c r="B391" s="69"/>
      <c r="C391" s="71"/>
      <c r="E391" s="22"/>
      <c r="F391" s="22"/>
      <c r="G391" s="31"/>
      <c r="J391" s="23"/>
      <c r="K391" s="27"/>
    </row>
    <row r="392" spans="1:11" x14ac:dyDescent="0.25">
      <c r="A392" s="74"/>
      <c r="B392" s="69"/>
      <c r="C392" s="71"/>
      <c r="E392" s="22"/>
      <c r="F392" s="22"/>
      <c r="G392" s="31"/>
      <c r="J392" s="23"/>
      <c r="K392" s="27"/>
    </row>
    <row r="393" spans="1:11" x14ac:dyDescent="0.25">
      <c r="A393" s="74"/>
      <c r="B393" s="69"/>
      <c r="C393" s="71"/>
      <c r="E393" s="22"/>
      <c r="F393" s="22"/>
      <c r="G393" s="31"/>
      <c r="J393" s="23"/>
      <c r="K393" s="27"/>
    </row>
    <row r="394" spans="1:11" x14ac:dyDescent="0.25">
      <c r="A394" s="74"/>
      <c r="B394" s="69"/>
      <c r="C394" s="71"/>
      <c r="E394" s="22"/>
      <c r="F394" s="22"/>
      <c r="G394" s="31"/>
      <c r="J394" s="23"/>
      <c r="K394" s="27"/>
    </row>
    <row r="395" spans="1:11" x14ac:dyDescent="0.25">
      <c r="A395" s="74"/>
      <c r="B395" s="69"/>
      <c r="C395" s="71"/>
      <c r="E395" s="22"/>
      <c r="F395" s="22"/>
      <c r="G395" s="31"/>
      <c r="J395" s="23"/>
      <c r="K395" s="27"/>
    </row>
    <row r="396" spans="1:11" x14ac:dyDescent="0.25">
      <c r="A396" s="74"/>
      <c r="B396" s="69"/>
      <c r="C396" s="71"/>
      <c r="E396" s="22"/>
      <c r="F396" s="22"/>
      <c r="G396" s="31"/>
      <c r="J396" s="23"/>
      <c r="K396" s="27"/>
    </row>
    <row r="397" spans="1:11" x14ac:dyDescent="0.25">
      <c r="A397" s="74"/>
      <c r="B397" s="69"/>
      <c r="C397" s="71"/>
      <c r="E397" s="22"/>
      <c r="F397" s="22"/>
      <c r="G397" s="31"/>
      <c r="J397" s="23"/>
      <c r="K397" s="27"/>
    </row>
    <row r="398" spans="1:11" x14ac:dyDescent="0.25">
      <c r="A398" s="74"/>
      <c r="B398" s="69"/>
      <c r="C398" s="71"/>
      <c r="E398" s="22"/>
      <c r="F398" s="22"/>
      <c r="G398" s="31"/>
      <c r="J398" s="23"/>
      <c r="K398" s="27"/>
    </row>
    <row r="399" spans="1:11" x14ac:dyDescent="0.25">
      <c r="A399" s="74"/>
      <c r="B399" s="69"/>
      <c r="C399" s="71"/>
      <c r="E399" s="22"/>
      <c r="F399" s="22"/>
      <c r="G399" s="31"/>
      <c r="J399" s="23"/>
      <c r="K399" s="27"/>
    </row>
    <row r="400" spans="1:11" x14ac:dyDescent="0.25">
      <c r="A400" s="74"/>
      <c r="B400" s="69"/>
      <c r="C400" s="71"/>
      <c r="E400" s="22"/>
      <c r="F400" s="22"/>
      <c r="G400" s="31"/>
      <c r="J400" s="23"/>
      <c r="K400" s="27"/>
    </row>
    <row r="401" spans="1:11" x14ac:dyDescent="0.25">
      <c r="A401" s="74"/>
      <c r="B401" s="69"/>
      <c r="C401" s="71"/>
      <c r="E401" s="22"/>
      <c r="F401" s="22"/>
      <c r="G401" s="31"/>
      <c r="J401" s="23"/>
      <c r="K401" s="27"/>
    </row>
    <row r="402" spans="1:11" x14ac:dyDescent="0.25">
      <c r="A402" s="74"/>
      <c r="B402" s="69"/>
      <c r="C402" s="71"/>
      <c r="E402" s="22"/>
      <c r="F402" s="22"/>
      <c r="G402" s="31"/>
      <c r="J402" s="23"/>
      <c r="K402" s="27"/>
    </row>
    <row r="403" spans="1:11" x14ac:dyDescent="0.25">
      <c r="A403" s="74"/>
      <c r="B403" s="69"/>
      <c r="C403" s="71"/>
      <c r="E403" s="22"/>
      <c r="F403" s="22"/>
      <c r="G403" s="31"/>
      <c r="J403" s="23"/>
      <c r="K403" s="27"/>
    </row>
    <row r="404" spans="1:11" x14ac:dyDescent="0.25">
      <c r="A404" s="74"/>
      <c r="B404" s="69"/>
      <c r="C404" s="71"/>
      <c r="E404" s="22"/>
      <c r="F404" s="22"/>
      <c r="G404" s="31"/>
      <c r="J404" s="23"/>
      <c r="K404" s="27"/>
    </row>
    <row r="405" spans="1:11" x14ac:dyDescent="0.25">
      <c r="A405" s="74"/>
      <c r="B405" s="69"/>
      <c r="C405" s="71"/>
      <c r="E405" s="22"/>
      <c r="F405" s="22"/>
      <c r="G405" s="31"/>
      <c r="J405" s="23"/>
      <c r="K405" s="27"/>
    </row>
    <row r="406" spans="1:11" x14ac:dyDescent="0.25">
      <c r="A406" s="74"/>
      <c r="B406" s="69"/>
      <c r="C406" s="71"/>
      <c r="E406" s="22"/>
      <c r="F406" s="22"/>
      <c r="G406" s="31"/>
      <c r="J406" s="23"/>
      <c r="K406" s="27"/>
    </row>
    <row r="407" spans="1:11" x14ac:dyDescent="0.25">
      <c r="A407" s="74"/>
      <c r="B407" s="69"/>
      <c r="C407" s="71"/>
      <c r="E407" s="22"/>
      <c r="F407" s="22"/>
      <c r="G407" s="31"/>
      <c r="J407" s="23"/>
      <c r="K407" s="27"/>
    </row>
    <row r="408" spans="1:11" x14ac:dyDescent="0.25">
      <c r="A408" s="74"/>
      <c r="B408" s="69"/>
      <c r="C408" s="71"/>
      <c r="E408" s="22"/>
      <c r="F408" s="22"/>
      <c r="G408" s="31"/>
      <c r="J408" s="23"/>
      <c r="K408" s="27"/>
    </row>
    <row r="409" spans="1:11" x14ac:dyDescent="0.25">
      <c r="A409" s="74"/>
      <c r="B409" s="69"/>
      <c r="C409" s="71"/>
      <c r="E409" s="22"/>
      <c r="F409" s="22"/>
      <c r="G409" s="31"/>
      <c r="J409" s="23"/>
      <c r="K409" s="27"/>
    </row>
    <row r="410" spans="1:11" x14ac:dyDescent="0.25">
      <c r="A410" s="74"/>
      <c r="B410" s="69"/>
      <c r="C410" s="71"/>
      <c r="E410" s="22"/>
      <c r="F410" s="22"/>
      <c r="G410" s="31"/>
      <c r="J410" s="23"/>
      <c r="K410" s="27"/>
    </row>
    <row r="411" spans="1:11" x14ac:dyDescent="0.25">
      <c r="A411" s="74"/>
      <c r="B411" s="69"/>
      <c r="C411" s="71"/>
      <c r="E411" s="22"/>
      <c r="F411" s="22"/>
      <c r="G411" s="31"/>
      <c r="J411" s="23"/>
      <c r="K411" s="27"/>
    </row>
    <row r="412" spans="1:11" x14ac:dyDescent="0.25">
      <c r="A412" s="74"/>
      <c r="B412" s="69"/>
      <c r="C412" s="71"/>
      <c r="E412" s="22"/>
      <c r="F412" s="22"/>
      <c r="G412" s="31"/>
      <c r="J412" s="23"/>
      <c r="K412" s="27"/>
    </row>
    <row r="413" spans="1:11" x14ac:dyDescent="0.25">
      <c r="A413" s="74"/>
      <c r="B413" s="69"/>
      <c r="C413" s="71"/>
      <c r="E413" s="22"/>
      <c r="F413" s="22"/>
      <c r="G413" s="31"/>
      <c r="J413" s="23"/>
      <c r="K413" s="27"/>
    </row>
    <row r="414" spans="1:11" x14ac:dyDescent="0.25">
      <c r="A414" s="74"/>
      <c r="B414" s="69"/>
      <c r="C414" s="71"/>
      <c r="E414" s="22"/>
      <c r="F414" s="22"/>
      <c r="G414" s="31"/>
      <c r="J414" s="23"/>
      <c r="K414" s="27"/>
    </row>
    <row r="415" spans="1:11" x14ac:dyDescent="0.25">
      <c r="A415" s="74"/>
      <c r="B415" s="69"/>
      <c r="C415" s="71"/>
      <c r="E415" s="22"/>
      <c r="F415" s="22"/>
      <c r="G415" s="31"/>
      <c r="J415" s="23"/>
      <c r="K415" s="27"/>
    </row>
    <row r="416" spans="1:11" x14ac:dyDescent="0.25">
      <c r="A416" s="74"/>
      <c r="B416" s="69"/>
      <c r="C416" s="71"/>
      <c r="E416" s="22"/>
      <c r="F416" s="22"/>
      <c r="G416" s="31"/>
      <c r="J416" s="23"/>
      <c r="K416" s="27"/>
    </row>
    <row r="417" spans="1:11" x14ac:dyDescent="0.25">
      <c r="A417" s="74"/>
      <c r="B417" s="69"/>
      <c r="C417" s="71"/>
      <c r="E417" s="22"/>
      <c r="F417" s="22"/>
      <c r="G417" s="31"/>
      <c r="J417" s="23"/>
      <c r="K417" s="27"/>
    </row>
    <row r="418" spans="1:11" x14ac:dyDescent="0.25">
      <c r="A418" s="74"/>
      <c r="B418" s="69"/>
      <c r="C418" s="71"/>
      <c r="E418" s="22"/>
      <c r="F418" s="22"/>
      <c r="G418" s="31"/>
      <c r="J418" s="23"/>
      <c r="K418" s="27"/>
    </row>
    <row r="419" spans="1:11" x14ac:dyDescent="0.25">
      <c r="A419" s="74"/>
      <c r="B419" s="69"/>
      <c r="C419" s="71"/>
      <c r="E419" s="22"/>
      <c r="F419" s="22"/>
      <c r="G419" s="31"/>
      <c r="J419" s="23"/>
      <c r="K419" s="27"/>
    </row>
    <row r="420" spans="1:11" x14ac:dyDescent="0.25">
      <c r="A420" s="74"/>
      <c r="B420" s="69"/>
      <c r="C420" s="71"/>
      <c r="E420" s="22"/>
      <c r="F420" s="22"/>
      <c r="G420" s="31"/>
      <c r="J420" s="23"/>
      <c r="K420" s="27"/>
    </row>
    <row r="421" spans="1:11" x14ac:dyDescent="0.25">
      <c r="A421" s="74"/>
      <c r="B421" s="69"/>
      <c r="C421" s="71"/>
      <c r="E421" s="22"/>
      <c r="F421" s="22"/>
      <c r="G421" s="31"/>
      <c r="J421" s="23"/>
      <c r="K421" s="27"/>
    </row>
    <row r="422" spans="1:11" x14ac:dyDescent="0.25">
      <c r="A422" s="74"/>
      <c r="B422" s="69"/>
      <c r="C422" s="71"/>
      <c r="E422" s="22"/>
      <c r="F422" s="22"/>
      <c r="G422" s="31"/>
      <c r="J422" s="23"/>
      <c r="K422" s="27"/>
    </row>
    <row r="423" spans="1:11" x14ac:dyDescent="0.25">
      <c r="A423" s="74"/>
      <c r="B423" s="69"/>
      <c r="C423" s="71"/>
      <c r="E423" s="22"/>
      <c r="F423" s="22"/>
      <c r="G423" s="31"/>
      <c r="J423" s="23"/>
      <c r="K423" s="27"/>
    </row>
    <row r="424" spans="1:11" x14ac:dyDescent="0.25">
      <c r="A424" s="74"/>
      <c r="B424" s="69"/>
      <c r="C424" s="71"/>
      <c r="E424" s="22"/>
      <c r="F424" s="22"/>
      <c r="G424" s="31"/>
      <c r="J424" s="23"/>
      <c r="K424" s="27"/>
    </row>
    <row r="425" spans="1:11" x14ac:dyDescent="0.25">
      <c r="A425" s="74"/>
      <c r="B425" s="69"/>
      <c r="C425" s="71"/>
      <c r="E425" s="22"/>
      <c r="F425" s="22"/>
      <c r="G425" s="31"/>
      <c r="J425" s="23"/>
      <c r="K425" s="27"/>
    </row>
    <row r="426" spans="1:11" x14ac:dyDescent="0.25">
      <c r="A426" s="74"/>
      <c r="B426" s="69"/>
      <c r="C426" s="71"/>
      <c r="E426" s="22"/>
      <c r="F426" s="22"/>
      <c r="G426" s="31"/>
      <c r="J426" s="23"/>
      <c r="K426" s="27"/>
    </row>
    <row r="427" spans="1:11" x14ac:dyDescent="0.25">
      <c r="A427" s="74"/>
      <c r="B427" s="69"/>
      <c r="C427" s="71"/>
      <c r="E427" s="22"/>
      <c r="F427" s="22"/>
      <c r="G427" s="31"/>
      <c r="J427" s="23"/>
      <c r="K427" s="27"/>
    </row>
    <row r="428" spans="1:11" x14ac:dyDescent="0.25">
      <c r="A428" s="74"/>
      <c r="B428" s="69"/>
      <c r="C428" s="71"/>
      <c r="E428" s="22"/>
      <c r="F428" s="22"/>
      <c r="G428" s="31"/>
      <c r="J428" s="23"/>
      <c r="K428" s="27"/>
    </row>
    <row r="429" spans="1:11" x14ac:dyDescent="0.25">
      <c r="A429" s="74"/>
      <c r="B429" s="69"/>
      <c r="C429" s="71"/>
      <c r="E429" s="22"/>
      <c r="F429" s="22"/>
      <c r="G429" s="31"/>
      <c r="J429" s="23"/>
      <c r="K429" s="27"/>
    </row>
    <row r="430" spans="1:11" x14ac:dyDescent="0.25">
      <c r="A430" s="74"/>
      <c r="B430" s="69"/>
      <c r="C430" s="71"/>
      <c r="E430" s="22"/>
      <c r="F430" s="22"/>
      <c r="G430" s="31"/>
      <c r="J430" s="23"/>
      <c r="K430" s="27"/>
    </row>
    <row r="431" spans="1:11" x14ac:dyDescent="0.25">
      <c r="A431" s="74"/>
      <c r="B431" s="69"/>
      <c r="C431" s="71"/>
      <c r="E431" s="22"/>
      <c r="F431" s="22"/>
      <c r="G431" s="31"/>
      <c r="J431" s="23"/>
      <c r="K431" s="27"/>
    </row>
    <row r="432" spans="1:11" x14ac:dyDescent="0.25">
      <c r="A432" s="74"/>
      <c r="B432" s="69"/>
      <c r="C432" s="71"/>
      <c r="E432" s="22"/>
      <c r="F432" s="22"/>
      <c r="G432" s="31"/>
      <c r="J432" s="23"/>
      <c r="K432" s="27"/>
    </row>
    <row r="433" spans="1:11" x14ac:dyDescent="0.25">
      <c r="A433" s="74"/>
      <c r="B433" s="69"/>
      <c r="C433" s="71"/>
      <c r="E433" s="22"/>
      <c r="F433" s="22"/>
      <c r="G433" s="31"/>
      <c r="J433" s="23"/>
      <c r="K433" s="27"/>
    </row>
    <row r="434" spans="1:11" x14ac:dyDescent="0.25">
      <c r="A434" s="74"/>
      <c r="B434" s="69"/>
      <c r="C434" s="71"/>
      <c r="E434" s="22"/>
      <c r="F434" s="22"/>
      <c r="G434" s="31"/>
      <c r="J434" s="23"/>
      <c r="K434" s="27"/>
    </row>
    <row r="435" spans="1:11" x14ac:dyDescent="0.25">
      <c r="A435" s="74"/>
      <c r="B435" s="69"/>
      <c r="C435" s="71"/>
      <c r="E435" s="22"/>
      <c r="F435" s="22"/>
      <c r="G435" s="31"/>
      <c r="J435" s="23"/>
      <c r="K435" s="27"/>
    </row>
    <row r="436" spans="1:11" x14ac:dyDescent="0.25">
      <c r="A436" s="74"/>
      <c r="B436" s="69"/>
      <c r="C436" s="71"/>
      <c r="E436" s="22"/>
      <c r="F436" s="22"/>
      <c r="G436" s="31"/>
      <c r="J436" s="23"/>
      <c r="K436" s="27"/>
    </row>
    <row r="437" spans="1:11" x14ac:dyDescent="0.25">
      <c r="A437" s="74"/>
      <c r="B437" s="69"/>
      <c r="C437" s="71"/>
      <c r="E437" s="22"/>
      <c r="F437" s="22"/>
      <c r="G437" s="31"/>
      <c r="J437" s="23"/>
      <c r="K437" s="27"/>
    </row>
    <row r="438" spans="1:11" x14ac:dyDescent="0.25">
      <c r="A438" s="74"/>
      <c r="B438" s="69"/>
      <c r="C438" s="71"/>
      <c r="E438" s="22"/>
      <c r="F438" s="22"/>
      <c r="G438" s="31"/>
      <c r="J438" s="23"/>
      <c r="K438" s="27"/>
    </row>
    <row r="439" spans="1:11" x14ac:dyDescent="0.25">
      <c r="A439" s="74"/>
      <c r="B439" s="69"/>
      <c r="C439" s="71"/>
      <c r="E439" s="22"/>
      <c r="F439" s="22"/>
      <c r="G439" s="31"/>
      <c r="J439" s="23"/>
      <c r="K439" s="27"/>
    </row>
    <row r="440" spans="1:11" x14ac:dyDescent="0.25">
      <c r="A440" s="74"/>
      <c r="B440" s="69"/>
      <c r="C440" s="71"/>
      <c r="E440" s="22"/>
      <c r="F440" s="22"/>
      <c r="G440" s="31"/>
      <c r="J440" s="23"/>
      <c r="K440" s="27"/>
    </row>
    <row r="441" spans="1:11" x14ac:dyDescent="0.25">
      <c r="A441" s="74"/>
      <c r="B441" s="69"/>
      <c r="C441" s="71"/>
      <c r="E441" s="22"/>
      <c r="F441" s="22"/>
      <c r="G441" s="31"/>
      <c r="J441" s="23"/>
      <c r="K441" s="27"/>
    </row>
    <row r="442" spans="1:11" x14ac:dyDescent="0.25">
      <c r="A442" s="74"/>
      <c r="B442" s="69"/>
      <c r="C442" s="71"/>
      <c r="E442" s="22"/>
      <c r="F442" s="22"/>
      <c r="G442" s="31"/>
      <c r="J442" s="23"/>
      <c r="K442" s="27"/>
    </row>
    <row r="443" spans="1:11" x14ac:dyDescent="0.25">
      <c r="A443" s="74"/>
      <c r="B443" s="69"/>
      <c r="C443" s="71"/>
      <c r="E443" s="22"/>
      <c r="F443" s="22"/>
      <c r="G443" s="31"/>
      <c r="J443" s="23"/>
      <c r="K443" s="27"/>
    </row>
    <row r="444" spans="1:11" x14ac:dyDescent="0.25">
      <c r="A444" s="74"/>
      <c r="B444" s="69"/>
      <c r="C444" s="71"/>
      <c r="E444" s="22"/>
      <c r="F444" s="22"/>
      <c r="G444" s="31"/>
      <c r="J444" s="23"/>
      <c r="K444" s="27"/>
    </row>
    <row r="445" spans="1:11" x14ac:dyDescent="0.25">
      <c r="A445" s="74"/>
      <c r="B445" s="69"/>
      <c r="C445" s="71"/>
      <c r="E445" s="22"/>
      <c r="F445" s="22"/>
      <c r="G445" s="31"/>
      <c r="J445" s="23"/>
      <c r="K445" s="27"/>
    </row>
    <row r="446" spans="1:11" x14ac:dyDescent="0.25">
      <c r="A446" s="74"/>
      <c r="B446" s="69"/>
      <c r="C446" s="71"/>
      <c r="E446" s="22"/>
      <c r="F446" s="22"/>
      <c r="G446" s="31"/>
      <c r="J446" s="23"/>
      <c r="K446" s="27"/>
    </row>
    <row r="447" spans="1:11" x14ac:dyDescent="0.25">
      <c r="A447" s="74"/>
      <c r="B447" s="69"/>
      <c r="C447" s="71"/>
      <c r="E447" s="22"/>
      <c r="F447" s="22"/>
      <c r="G447" s="31"/>
      <c r="J447" s="23"/>
      <c r="K447" s="27"/>
    </row>
    <row r="448" spans="1:11" x14ac:dyDescent="0.25">
      <c r="A448" s="74"/>
      <c r="B448" s="69"/>
      <c r="C448" s="71"/>
      <c r="E448" s="22"/>
      <c r="F448" s="22"/>
      <c r="G448" s="31"/>
      <c r="J448" s="23"/>
      <c r="K448" s="27"/>
    </row>
    <row r="449" spans="1:11" x14ac:dyDescent="0.25">
      <c r="A449" s="74"/>
      <c r="B449" s="69"/>
      <c r="C449" s="71"/>
      <c r="E449" s="22"/>
      <c r="F449" s="22"/>
      <c r="G449" s="31"/>
      <c r="J449" s="23"/>
      <c r="K449" s="27"/>
    </row>
    <row r="450" spans="1:11" x14ac:dyDescent="0.25">
      <c r="A450" s="74"/>
      <c r="B450" s="69"/>
      <c r="C450" s="71"/>
      <c r="E450" s="22"/>
      <c r="F450" s="22"/>
      <c r="G450" s="31"/>
      <c r="J450" s="23"/>
      <c r="K450" s="27"/>
    </row>
    <row r="451" spans="1:11" x14ac:dyDescent="0.25">
      <c r="A451" s="74"/>
      <c r="B451" s="69"/>
      <c r="C451" s="71"/>
      <c r="E451" s="22"/>
      <c r="F451" s="22"/>
      <c r="G451" s="31"/>
      <c r="J451" s="23"/>
      <c r="K451" s="27"/>
    </row>
    <row r="452" spans="1:11" x14ac:dyDescent="0.25">
      <c r="A452" s="74"/>
      <c r="B452" s="69"/>
      <c r="C452" s="71"/>
      <c r="E452" s="22"/>
      <c r="F452" s="22"/>
      <c r="G452" s="31"/>
      <c r="J452" s="23"/>
      <c r="K452" s="27"/>
    </row>
    <row r="453" spans="1:11" x14ac:dyDescent="0.25">
      <c r="A453" s="74"/>
      <c r="B453" s="69"/>
      <c r="C453" s="71"/>
      <c r="E453" s="22"/>
      <c r="F453" s="22"/>
      <c r="G453" s="31"/>
      <c r="J453" s="23"/>
      <c r="K453" s="27"/>
    </row>
    <row r="454" spans="1:11" x14ac:dyDescent="0.25">
      <c r="A454" s="74"/>
      <c r="B454" s="69"/>
      <c r="C454" s="71"/>
      <c r="E454" s="22"/>
      <c r="F454" s="22"/>
      <c r="G454" s="31"/>
      <c r="J454" s="23"/>
      <c r="K454" s="27"/>
    </row>
    <row r="455" spans="1:11" x14ac:dyDescent="0.25">
      <c r="A455" s="74"/>
      <c r="B455" s="69"/>
      <c r="C455" s="71"/>
      <c r="E455" s="22"/>
      <c r="F455" s="22"/>
      <c r="G455" s="31"/>
      <c r="J455" s="23"/>
      <c r="K455" s="27"/>
    </row>
    <row r="456" spans="1:11" x14ac:dyDescent="0.25">
      <c r="A456" s="74"/>
      <c r="B456" s="69"/>
      <c r="C456" s="71"/>
      <c r="E456" s="22"/>
      <c r="F456" s="22"/>
      <c r="G456" s="31"/>
      <c r="J456" s="23"/>
      <c r="K456" s="27"/>
    </row>
    <row r="457" spans="1:11" x14ac:dyDescent="0.25">
      <c r="A457" s="74"/>
      <c r="B457" s="69"/>
      <c r="C457" s="71"/>
      <c r="E457" s="22"/>
      <c r="F457" s="22"/>
      <c r="G457" s="31"/>
      <c r="J457" s="23"/>
      <c r="K457" s="27"/>
    </row>
    <row r="458" spans="1:11" x14ac:dyDescent="0.25">
      <c r="A458" s="74"/>
      <c r="B458" s="69"/>
      <c r="C458" s="71"/>
      <c r="E458" s="22"/>
      <c r="F458" s="22"/>
      <c r="G458" s="31"/>
      <c r="J458" s="23"/>
      <c r="K458" s="27"/>
    </row>
    <row r="459" spans="1:11" x14ac:dyDescent="0.25">
      <c r="A459" s="74"/>
      <c r="B459" s="69"/>
      <c r="C459" s="71"/>
      <c r="E459" s="22"/>
      <c r="F459" s="22"/>
      <c r="G459" s="31"/>
      <c r="J459" s="23"/>
      <c r="K459" s="27"/>
    </row>
    <row r="460" spans="1:11" x14ac:dyDescent="0.25">
      <c r="A460" s="74"/>
      <c r="B460" s="69"/>
      <c r="C460" s="71"/>
      <c r="E460" s="22"/>
      <c r="F460" s="22"/>
      <c r="G460" s="31"/>
      <c r="J460" s="23"/>
      <c r="K460" s="27"/>
    </row>
    <row r="461" spans="1:11" x14ac:dyDescent="0.25">
      <c r="A461" s="74"/>
      <c r="B461" s="69"/>
      <c r="C461" s="71"/>
      <c r="E461" s="22"/>
      <c r="F461" s="22"/>
      <c r="G461" s="31"/>
      <c r="J461" s="23"/>
      <c r="K461" s="27"/>
    </row>
    <row r="462" spans="1:11" x14ac:dyDescent="0.25">
      <c r="A462" s="74"/>
      <c r="B462" s="69"/>
      <c r="C462" s="71"/>
      <c r="E462" s="22"/>
      <c r="F462" s="22"/>
      <c r="G462" s="31"/>
      <c r="J462" s="23"/>
      <c r="K462" s="27"/>
    </row>
    <row r="463" spans="1:11" x14ac:dyDescent="0.25">
      <c r="A463" s="74"/>
      <c r="B463" s="69"/>
      <c r="C463" s="71"/>
      <c r="E463" s="22"/>
      <c r="F463" s="22"/>
      <c r="G463" s="31"/>
      <c r="J463" s="23"/>
      <c r="K463" s="27"/>
    </row>
    <row r="464" spans="1:11" x14ac:dyDescent="0.25">
      <c r="A464" s="74"/>
      <c r="B464" s="69"/>
      <c r="C464" s="71"/>
      <c r="E464" s="22"/>
      <c r="F464" s="22"/>
      <c r="G464" s="31"/>
      <c r="J464" s="23"/>
      <c r="K464" s="27"/>
    </row>
    <row r="465" spans="1:11" x14ac:dyDescent="0.25">
      <c r="A465" s="74"/>
      <c r="B465" s="69"/>
      <c r="C465" s="71"/>
      <c r="E465" s="22"/>
      <c r="F465" s="22"/>
      <c r="G465" s="31"/>
      <c r="J465" s="23"/>
      <c r="K465" s="27"/>
    </row>
    <row r="466" spans="1:11" x14ac:dyDescent="0.25">
      <c r="A466" s="74"/>
      <c r="B466" s="69"/>
      <c r="C466" s="71"/>
      <c r="E466" s="22"/>
      <c r="F466" s="22"/>
      <c r="G466" s="31"/>
      <c r="J466" s="23"/>
      <c r="K466" s="27"/>
    </row>
    <row r="467" spans="1:11" x14ac:dyDescent="0.25">
      <c r="A467" s="74"/>
      <c r="B467" s="69"/>
      <c r="C467" s="71"/>
      <c r="E467" s="22"/>
      <c r="F467" s="22"/>
      <c r="G467" s="31"/>
      <c r="J467" s="23"/>
      <c r="K467" s="27"/>
    </row>
    <row r="468" spans="1:11" x14ac:dyDescent="0.25">
      <c r="A468" s="74"/>
      <c r="B468" s="69"/>
      <c r="C468" s="71"/>
      <c r="E468" s="22"/>
      <c r="F468" s="22"/>
      <c r="G468" s="31"/>
      <c r="J468" s="23"/>
      <c r="K468" s="27"/>
    </row>
    <row r="469" spans="1:11" x14ac:dyDescent="0.25">
      <c r="A469" s="74"/>
      <c r="B469" s="69"/>
      <c r="C469" s="71"/>
      <c r="E469" s="22"/>
      <c r="F469" s="22"/>
      <c r="G469" s="31"/>
      <c r="J469" s="23"/>
      <c r="K469" s="27"/>
    </row>
    <row r="470" spans="1:11" x14ac:dyDescent="0.25">
      <c r="A470" s="74"/>
      <c r="B470" s="69"/>
      <c r="C470" s="71"/>
      <c r="E470" s="22"/>
      <c r="F470" s="22"/>
      <c r="G470" s="31"/>
      <c r="J470" s="23"/>
      <c r="K470" s="27"/>
    </row>
    <row r="471" spans="1:11" x14ac:dyDescent="0.25">
      <c r="A471" s="74"/>
      <c r="B471" s="69"/>
      <c r="C471" s="71"/>
      <c r="E471" s="22"/>
      <c r="F471" s="22"/>
      <c r="G471" s="31"/>
      <c r="J471" s="23"/>
      <c r="K471" s="27"/>
    </row>
    <row r="472" spans="1:11" x14ac:dyDescent="0.25">
      <c r="A472" s="74"/>
      <c r="B472" s="69"/>
      <c r="C472" s="71"/>
      <c r="E472" s="22"/>
      <c r="F472" s="22"/>
      <c r="G472" s="31"/>
      <c r="J472" s="23"/>
      <c r="K472" s="27"/>
    </row>
    <row r="473" spans="1:11" x14ac:dyDescent="0.25">
      <c r="A473" s="74"/>
      <c r="B473" s="69"/>
      <c r="C473" s="71"/>
      <c r="E473" s="22"/>
      <c r="F473" s="22"/>
      <c r="G473" s="31"/>
      <c r="J473" s="23"/>
      <c r="K473" s="27"/>
    </row>
    <row r="474" spans="1:11" x14ac:dyDescent="0.25">
      <c r="A474" s="75"/>
      <c r="B474" s="69"/>
      <c r="C474" s="71"/>
      <c r="E474" s="22"/>
      <c r="F474" s="22"/>
      <c r="G474" s="31"/>
      <c r="J474" s="23"/>
      <c r="K474" s="27"/>
    </row>
    <row r="475" spans="1:11" x14ac:dyDescent="0.25">
      <c r="A475" s="75"/>
      <c r="B475" s="69"/>
      <c r="C475" s="71"/>
      <c r="E475" s="22"/>
      <c r="F475" s="22"/>
      <c r="G475" s="31"/>
      <c r="J475" s="23"/>
      <c r="K475" s="27"/>
    </row>
    <row r="476" spans="1:11" x14ac:dyDescent="0.25">
      <c r="A476" s="75"/>
      <c r="B476" s="69"/>
      <c r="C476" s="71"/>
      <c r="E476" s="22"/>
      <c r="F476" s="22"/>
      <c r="G476" s="31"/>
      <c r="J476" s="23"/>
      <c r="K476" s="27"/>
    </row>
    <row r="477" spans="1:11" x14ac:dyDescent="0.25">
      <c r="A477" s="75"/>
      <c r="B477" s="69"/>
      <c r="C477" s="71"/>
      <c r="E477" s="22"/>
      <c r="F477" s="22"/>
      <c r="G477" s="31"/>
      <c r="J477" s="23"/>
      <c r="K477" s="27"/>
    </row>
    <row r="478" spans="1:11" x14ac:dyDescent="0.25">
      <c r="A478" s="76"/>
      <c r="B478" s="69"/>
      <c r="C478" s="71"/>
      <c r="E478" s="22"/>
      <c r="F478" s="22"/>
      <c r="G478" s="31"/>
      <c r="J478" s="23"/>
      <c r="K478" s="27"/>
    </row>
    <row r="479" spans="1:11" x14ac:dyDescent="0.25">
      <c r="A479" s="75"/>
      <c r="B479" s="69"/>
      <c r="C479" s="71"/>
      <c r="E479" s="22"/>
      <c r="F479" s="22"/>
      <c r="G479" s="31"/>
      <c r="J479" s="23"/>
      <c r="K479" s="27"/>
    </row>
    <row r="480" spans="1:11" x14ac:dyDescent="0.25">
      <c r="A480" s="75"/>
      <c r="B480" s="69"/>
      <c r="C480" s="71"/>
      <c r="E480" s="22"/>
      <c r="F480" s="22"/>
      <c r="G480" s="31"/>
      <c r="J480" s="23"/>
      <c r="K480" s="27"/>
    </row>
    <row r="481" spans="1:11" x14ac:dyDescent="0.25">
      <c r="A481" s="77"/>
      <c r="B481" s="69"/>
      <c r="C481" s="71"/>
      <c r="E481" s="22"/>
      <c r="F481" s="22"/>
      <c r="G481" s="31"/>
      <c r="J481" s="23"/>
      <c r="K481" s="27"/>
    </row>
    <row r="482" spans="1:11" x14ac:dyDescent="0.25">
      <c r="A482" s="77"/>
      <c r="B482" s="69"/>
      <c r="C482" s="71"/>
      <c r="E482" s="22"/>
      <c r="F482" s="22"/>
      <c r="G482" s="31"/>
      <c r="J482" s="23"/>
      <c r="K482" s="27"/>
    </row>
    <row r="483" spans="1:11" x14ac:dyDescent="0.25">
      <c r="A483" s="77"/>
      <c r="B483" s="69"/>
      <c r="C483" s="71"/>
      <c r="E483" s="22"/>
      <c r="F483" s="22"/>
      <c r="G483" s="31"/>
      <c r="J483" s="23"/>
      <c r="K483" s="27"/>
    </row>
    <row r="484" spans="1:11" x14ac:dyDescent="0.25">
      <c r="A484" s="77"/>
      <c r="B484" s="69"/>
      <c r="C484" s="71"/>
      <c r="E484" s="22"/>
      <c r="F484" s="22"/>
      <c r="G484" s="31"/>
      <c r="J484" s="23"/>
      <c r="K484" s="27"/>
    </row>
    <row r="485" spans="1:11" x14ac:dyDescent="0.25">
      <c r="A485" s="77"/>
      <c r="B485" s="69"/>
      <c r="C485" s="71"/>
      <c r="E485" s="22"/>
      <c r="F485" s="22"/>
      <c r="G485" s="31"/>
      <c r="J485" s="23"/>
      <c r="K485" s="27"/>
    </row>
    <row r="486" spans="1:11" x14ac:dyDescent="0.25">
      <c r="A486" s="77"/>
      <c r="B486" s="69"/>
      <c r="C486" s="71"/>
      <c r="E486" s="22"/>
      <c r="F486" s="22"/>
      <c r="G486" s="31"/>
      <c r="J486" s="23"/>
      <c r="K486" s="27"/>
    </row>
    <row r="487" spans="1:11" x14ac:dyDescent="0.25">
      <c r="A487" s="77"/>
      <c r="B487" s="69"/>
      <c r="C487" s="71"/>
      <c r="E487" s="22"/>
      <c r="F487" s="22"/>
      <c r="G487" s="31"/>
      <c r="J487" s="23"/>
      <c r="K487" s="27"/>
    </row>
    <row r="488" spans="1:11" x14ac:dyDescent="0.25">
      <c r="A488" s="77"/>
      <c r="B488" s="69"/>
      <c r="C488" s="71"/>
      <c r="E488" s="22"/>
      <c r="F488" s="22"/>
      <c r="G488" s="31"/>
      <c r="J488" s="23"/>
      <c r="K488" s="27"/>
    </row>
    <row r="489" spans="1:11" x14ac:dyDescent="0.25">
      <c r="A489" s="77"/>
      <c r="B489" s="69"/>
      <c r="C489" s="71"/>
      <c r="E489" s="22"/>
      <c r="F489" s="22"/>
      <c r="G489" s="31"/>
      <c r="J489" s="23"/>
      <c r="K489" s="27"/>
    </row>
    <row r="490" spans="1:11" x14ac:dyDescent="0.25">
      <c r="A490" s="77"/>
      <c r="B490" s="69"/>
      <c r="C490" s="71"/>
      <c r="E490" s="22"/>
      <c r="F490" s="22"/>
      <c r="G490" s="31"/>
      <c r="J490" s="23"/>
      <c r="K490" s="27"/>
    </row>
    <row r="491" spans="1:11" x14ac:dyDescent="0.25">
      <c r="A491" s="77"/>
      <c r="B491" s="69"/>
      <c r="C491" s="71"/>
      <c r="E491" s="22"/>
      <c r="F491" s="22"/>
      <c r="G491" s="31"/>
      <c r="J491" s="23"/>
      <c r="K491" s="27"/>
    </row>
    <row r="492" spans="1:11" x14ac:dyDescent="0.25">
      <c r="A492" s="77"/>
      <c r="B492" s="69"/>
      <c r="C492" s="71"/>
      <c r="E492" s="22"/>
      <c r="F492" s="22"/>
      <c r="G492" s="31"/>
      <c r="J492" s="23"/>
      <c r="K492" s="27"/>
    </row>
    <row r="493" spans="1:11" x14ac:dyDescent="0.25">
      <c r="A493" s="77"/>
      <c r="B493" s="69"/>
      <c r="C493" s="71"/>
      <c r="E493" s="22"/>
      <c r="F493" s="22"/>
      <c r="G493" s="31"/>
      <c r="J493" s="23"/>
      <c r="K493" s="27"/>
    </row>
    <row r="494" spans="1:11" x14ac:dyDescent="0.25">
      <c r="A494" s="77"/>
      <c r="B494" s="69"/>
      <c r="C494" s="71"/>
      <c r="E494" s="22"/>
      <c r="F494" s="22"/>
      <c r="G494" s="31"/>
      <c r="J494" s="23"/>
      <c r="K494" s="27"/>
    </row>
    <row r="495" spans="1:11" x14ac:dyDescent="0.25">
      <c r="A495" s="77"/>
      <c r="B495" s="69"/>
      <c r="C495" s="71"/>
      <c r="E495" s="22"/>
      <c r="F495" s="22"/>
      <c r="G495" s="31"/>
      <c r="J495" s="23"/>
      <c r="K495" s="27"/>
    </row>
    <row r="496" spans="1:11" x14ac:dyDescent="0.25">
      <c r="A496" s="77"/>
      <c r="B496" s="69"/>
      <c r="C496" s="71"/>
      <c r="E496" s="22"/>
      <c r="F496" s="22"/>
      <c r="G496" s="31"/>
      <c r="J496" s="23"/>
      <c r="K496" s="27"/>
    </row>
    <row r="497" spans="1:11" x14ac:dyDescent="0.25">
      <c r="A497" s="77"/>
      <c r="B497" s="69"/>
      <c r="C497" s="71"/>
      <c r="E497" s="22"/>
      <c r="F497" s="22"/>
      <c r="G497" s="31"/>
      <c r="J497" s="23"/>
      <c r="K497" s="27"/>
    </row>
    <row r="498" spans="1:11" x14ac:dyDescent="0.25">
      <c r="A498" s="77"/>
      <c r="B498" s="69"/>
      <c r="C498" s="71"/>
      <c r="E498" s="22"/>
      <c r="F498" s="22"/>
      <c r="G498" s="31"/>
      <c r="J498" s="23"/>
      <c r="K498" s="27"/>
    </row>
    <row r="499" spans="1:11" x14ac:dyDescent="0.25">
      <c r="A499" s="77"/>
      <c r="B499" s="69"/>
      <c r="C499" s="71"/>
      <c r="E499" s="22"/>
      <c r="F499" s="22"/>
      <c r="G499" s="31"/>
      <c r="J499" s="23"/>
      <c r="K499" s="27"/>
    </row>
    <row r="500" spans="1:11" x14ac:dyDescent="0.25">
      <c r="A500" s="77"/>
      <c r="B500" s="69"/>
      <c r="C500" s="71"/>
      <c r="E500" s="22"/>
      <c r="F500" s="22"/>
      <c r="G500" s="31"/>
      <c r="J500" s="23"/>
      <c r="K500" s="27"/>
    </row>
    <row r="501" spans="1:11" x14ac:dyDescent="0.25">
      <c r="A501" s="77"/>
      <c r="B501" s="69"/>
      <c r="C501" s="71"/>
      <c r="E501" s="22"/>
      <c r="F501" s="22"/>
      <c r="G501" s="31"/>
      <c r="J501" s="23"/>
      <c r="K501" s="27"/>
    </row>
    <row r="502" spans="1:11" x14ac:dyDescent="0.25">
      <c r="A502" s="77"/>
      <c r="B502" s="69"/>
      <c r="C502" s="71"/>
      <c r="E502" s="22"/>
      <c r="F502" s="22"/>
      <c r="G502" s="31"/>
      <c r="J502" s="23"/>
      <c r="K502" s="27"/>
    </row>
    <row r="503" spans="1:11" x14ac:dyDescent="0.25">
      <c r="A503" s="77"/>
      <c r="B503" s="69"/>
      <c r="C503" s="71"/>
      <c r="E503" s="22"/>
      <c r="F503" s="22"/>
      <c r="G503" s="31"/>
      <c r="J503" s="23"/>
      <c r="K503" s="27"/>
    </row>
    <row r="504" spans="1:11" x14ac:dyDescent="0.25">
      <c r="A504" s="77"/>
      <c r="B504" s="69"/>
      <c r="C504" s="71"/>
      <c r="E504" s="22"/>
      <c r="F504" s="22"/>
      <c r="G504" s="31"/>
      <c r="J504" s="23"/>
      <c r="K504" s="27"/>
    </row>
    <row r="505" spans="1:11" x14ac:dyDescent="0.25">
      <c r="A505" s="77"/>
      <c r="B505" s="69"/>
      <c r="C505" s="71"/>
      <c r="E505" s="22"/>
      <c r="F505" s="22"/>
      <c r="G505" s="31"/>
      <c r="J505" s="23"/>
      <c r="K505" s="27"/>
    </row>
    <row r="506" spans="1:11" x14ac:dyDescent="0.25">
      <c r="A506" s="77"/>
      <c r="B506" s="69"/>
      <c r="C506" s="71"/>
      <c r="E506" s="22"/>
      <c r="F506" s="22"/>
      <c r="G506" s="31"/>
      <c r="J506" s="23"/>
      <c r="K506" s="27"/>
    </row>
    <row r="507" spans="1:11" x14ac:dyDescent="0.25">
      <c r="A507" s="77"/>
      <c r="B507" s="69"/>
      <c r="C507" s="71"/>
      <c r="E507" s="22"/>
      <c r="F507" s="22"/>
      <c r="G507" s="31"/>
      <c r="J507" s="23"/>
      <c r="K507" s="27"/>
    </row>
    <row r="508" spans="1:11" x14ac:dyDescent="0.25">
      <c r="A508" s="77"/>
      <c r="B508" s="69"/>
      <c r="C508" s="71"/>
      <c r="E508" s="22"/>
      <c r="F508" s="22"/>
      <c r="G508" s="31"/>
      <c r="J508" s="23"/>
      <c r="K508" s="27"/>
    </row>
    <row r="509" spans="1:11" x14ac:dyDescent="0.25">
      <c r="A509" s="77"/>
      <c r="B509" s="69"/>
      <c r="C509" s="71"/>
      <c r="E509" s="22"/>
      <c r="F509" s="22"/>
      <c r="G509" s="31"/>
      <c r="J509" s="23"/>
      <c r="K509" s="27"/>
    </row>
    <row r="510" spans="1:11" x14ac:dyDescent="0.25">
      <c r="A510" s="77"/>
      <c r="B510" s="69"/>
      <c r="C510" s="71"/>
      <c r="E510" s="22"/>
      <c r="F510" s="22"/>
      <c r="G510" s="31"/>
      <c r="J510" s="23"/>
      <c r="K510" s="27"/>
    </row>
    <row r="511" spans="1:11" x14ac:dyDescent="0.25">
      <c r="A511" s="77"/>
      <c r="B511" s="69"/>
      <c r="C511" s="71"/>
      <c r="E511" s="22"/>
      <c r="F511" s="22"/>
      <c r="G511" s="31"/>
      <c r="J511" s="23"/>
      <c r="K511" s="27"/>
    </row>
    <row r="512" spans="1:11" x14ac:dyDescent="0.25">
      <c r="A512" s="77"/>
      <c r="B512" s="69"/>
      <c r="C512" s="71"/>
      <c r="E512" s="22"/>
      <c r="F512" s="22"/>
      <c r="G512" s="31"/>
      <c r="J512" s="23"/>
      <c r="K512" s="27"/>
    </row>
    <row r="513" spans="1:11" x14ac:dyDescent="0.25">
      <c r="A513" s="77"/>
      <c r="B513" s="69"/>
      <c r="C513" s="71"/>
      <c r="E513" s="22"/>
      <c r="F513" s="22"/>
      <c r="G513" s="31"/>
      <c r="J513" s="23"/>
      <c r="K513" s="27"/>
    </row>
    <row r="514" spans="1:11" x14ac:dyDescent="0.25">
      <c r="A514" s="77"/>
      <c r="B514" s="69"/>
      <c r="C514" s="71"/>
      <c r="E514" s="22"/>
      <c r="F514" s="22"/>
      <c r="G514" s="31"/>
      <c r="J514" s="23"/>
      <c r="K514" s="27"/>
    </row>
    <row r="515" spans="1:11" x14ac:dyDescent="0.25">
      <c r="A515" s="77"/>
      <c r="B515" s="69"/>
      <c r="C515" s="71"/>
      <c r="E515" s="22"/>
      <c r="F515" s="22"/>
      <c r="G515" s="31"/>
      <c r="J515" s="23"/>
      <c r="K515" s="27"/>
    </row>
    <row r="516" spans="1:11" x14ac:dyDescent="0.25">
      <c r="A516" s="77"/>
      <c r="B516" s="69"/>
      <c r="C516" s="71"/>
      <c r="E516" s="22"/>
      <c r="F516" s="22"/>
      <c r="G516" s="31"/>
      <c r="J516" s="23"/>
      <c r="K516" s="27"/>
    </row>
    <row r="517" spans="1:11" x14ac:dyDescent="0.25">
      <c r="A517" s="77"/>
      <c r="B517" s="69"/>
      <c r="C517" s="71"/>
      <c r="E517" s="22"/>
      <c r="F517" s="22"/>
      <c r="G517" s="31"/>
      <c r="J517" s="23"/>
      <c r="K517" s="27"/>
    </row>
    <row r="518" spans="1:11" x14ac:dyDescent="0.25">
      <c r="A518" s="77"/>
      <c r="B518" s="69"/>
      <c r="C518" s="71"/>
      <c r="E518" s="22"/>
      <c r="F518" s="22"/>
      <c r="G518" s="31"/>
      <c r="J518" s="23"/>
      <c r="K518" s="27"/>
    </row>
    <row r="519" spans="1:11" x14ac:dyDescent="0.25">
      <c r="A519" s="77"/>
      <c r="B519" s="69"/>
      <c r="C519" s="71"/>
      <c r="E519" s="22"/>
      <c r="F519" s="22"/>
      <c r="G519" s="31"/>
      <c r="J519" s="23"/>
      <c r="K519" s="27"/>
    </row>
    <row r="520" spans="1:11" x14ac:dyDescent="0.25">
      <c r="A520" s="77"/>
      <c r="B520" s="69"/>
      <c r="C520" s="71"/>
      <c r="E520" s="22"/>
      <c r="F520" s="22"/>
      <c r="G520" s="31"/>
      <c r="J520" s="23"/>
      <c r="K520" s="27"/>
    </row>
    <row r="521" spans="1:11" x14ac:dyDescent="0.25">
      <c r="A521" s="77"/>
      <c r="B521" s="69"/>
      <c r="C521" s="71"/>
      <c r="E521" s="22"/>
      <c r="F521" s="22"/>
      <c r="G521" s="31"/>
      <c r="J521" s="23"/>
      <c r="K521" s="27"/>
    </row>
    <row r="522" spans="1:11" x14ac:dyDescent="0.25">
      <c r="A522" s="77"/>
      <c r="B522" s="69"/>
      <c r="C522" s="71"/>
      <c r="E522" s="22"/>
      <c r="F522" s="22"/>
      <c r="G522" s="31"/>
      <c r="J522" s="23"/>
      <c r="K522" s="27"/>
    </row>
    <row r="523" spans="1:11" x14ac:dyDescent="0.25">
      <c r="A523" s="77"/>
      <c r="B523" s="69"/>
      <c r="C523" s="71"/>
      <c r="E523" s="22"/>
      <c r="F523" s="22"/>
      <c r="G523" s="31"/>
      <c r="J523" s="23"/>
      <c r="K523" s="27"/>
    </row>
    <row r="524" spans="1:11" x14ac:dyDescent="0.25">
      <c r="A524" s="77"/>
      <c r="B524" s="69"/>
      <c r="C524" s="71"/>
      <c r="E524" s="22"/>
      <c r="F524" s="22"/>
      <c r="G524" s="31"/>
      <c r="J524" s="23"/>
      <c r="K524" s="27"/>
    </row>
    <row r="525" spans="1:11" x14ac:dyDescent="0.25">
      <c r="A525" s="77"/>
      <c r="B525" s="69"/>
      <c r="C525" s="71"/>
      <c r="E525" s="22"/>
      <c r="F525" s="22"/>
      <c r="G525" s="31"/>
      <c r="J525" s="23"/>
      <c r="K525" s="27"/>
    </row>
    <row r="526" spans="1:11" x14ac:dyDescent="0.25">
      <c r="A526" s="77"/>
      <c r="B526" s="69"/>
      <c r="C526" s="71"/>
      <c r="E526" s="22"/>
      <c r="F526" s="22"/>
      <c r="G526" s="31"/>
      <c r="J526" s="23"/>
      <c r="K526" s="27"/>
    </row>
    <row r="527" spans="1:11" x14ac:dyDescent="0.25">
      <c r="A527" s="77"/>
      <c r="B527" s="69"/>
      <c r="C527" s="71"/>
      <c r="E527" s="22"/>
      <c r="F527" s="22"/>
      <c r="G527" s="31"/>
      <c r="J527" s="23"/>
      <c r="K527" s="27"/>
    </row>
    <row r="528" spans="1:11" x14ac:dyDescent="0.25">
      <c r="A528" s="77"/>
      <c r="B528" s="69"/>
      <c r="C528" s="71"/>
      <c r="E528" s="22"/>
      <c r="F528" s="22"/>
      <c r="G528" s="31"/>
      <c r="J528" s="23"/>
      <c r="K528" s="27"/>
    </row>
    <row r="529" spans="1:11" x14ac:dyDescent="0.25">
      <c r="A529" s="77"/>
      <c r="B529" s="69"/>
      <c r="C529" s="71"/>
      <c r="E529" s="22"/>
      <c r="F529" s="22"/>
      <c r="G529" s="31"/>
      <c r="J529" s="23"/>
      <c r="K529" s="27"/>
    </row>
    <row r="530" spans="1:11" x14ac:dyDescent="0.25">
      <c r="A530" s="77"/>
      <c r="B530" s="69"/>
      <c r="C530" s="71"/>
      <c r="E530" s="22"/>
      <c r="F530" s="22"/>
      <c r="G530" s="31"/>
      <c r="J530" s="23"/>
      <c r="K530" s="27"/>
    </row>
    <row r="531" spans="1:11" x14ac:dyDescent="0.25">
      <c r="A531" s="77"/>
      <c r="B531" s="69"/>
      <c r="C531" s="71"/>
      <c r="E531" s="22"/>
      <c r="F531" s="22"/>
      <c r="G531" s="31"/>
      <c r="J531" s="23"/>
      <c r="K531" s="27"/>
    </row>
    <row r="532" spans="1:11" x14ac:dyDescent="0.25">
      <c r="A532" s="77"/>
      <c r="B532" s="69"/>
      <c r="C532" s="71"/>
      <c r="E532" s="22"/>
      <c r="F532" s="22"/>
      <c r="G532" s="31"/>
      <c r="J532" s="23"/>
      <c r="K532" s="27"/>
    </row>
    <row r="533" spans="1:11" x14ac:dyDescent="0.25">
      <c r="A533" s="77"/>
      <c r="B533" s="69"/>
      <c r="C533" s="71"/>
      <c r="E533" s="22"/>
      <c r="F533" s="22"/>
      <c r="G533" s="31"/>
      <c r="J533" s="23"/>
      <c r="K533" s="27"/>
    </row>
    <row r="534" spans="1:11" x14ac:dyDescent="0.25">
      <c r="A534" s="77"/>
      <c r="B534" s="69"/>
      <c r="C534" s="71"/>
      <c r="E534" s="22"/>
      <c r="F534" s="22"/>
      <c r="G534" s="31"/>
      <c r="J534" s="23"/>
      <c r="K534" s="27"/>
    </row>
    <row r="535" spans="1:11" x14ac:dyDescent="0.25">
      <c r="A535" s="77"/>
      <c r="B535" s="69"/>
      <c r="C535" s="71"/>
      <c r="E535" s="22"/>
      <c r="F535" s="22"/>
      <c r="G535" s="31"/>
      <c r="J535" s="23"/>
      <c r="K535" s="27"/>
    </row>
    <row r="536" spans="1:11" x14ac:dyDescent="0.25">
      <c r="A536" s="77"/>
      <c r="B536" s="69"/>
      <c r="C536" s="71"/>
      <c r="E536" s="22"/>
      <c r="F536" s="22"/>
      <c r="G536" s="31"/>
      <c r="J536" s="23"/>
      <c r="K536" s="27"/>
    </row>
    <row r="537" spans="1:11" x14ac:dyDescent="0.25">
      <c r="A537" s="77"/>
      <c r="B537" s="69"/>
      <c r="C537" s="71"/>
      <c r="E537" s="22"/>
      <c r="F537" s="22"/>
      <c r="G537" s="31"/>
      <c r="J537" s="23"/>
      <c r="K537" s="27"/>
    </row>
    <row r="538" spans="1:11" x14ac:dyDescent="0.25">
      <c r="A538" s="77"/>
      <c r="B538" s="69"/>
      <c r="C538" s="71"/>
      <c r="E538" s="22"/>
      <c r="F538" s="22"/>
      <c r="G538" s="31"/>
      <c r="J538" s="23"/>
      <c r="K538" s="27"/>
    </row>
    <row r="539" spans="1:11" x14ac:dyDescent="0.25">
      <c r="A539" s="77"/>
      <c r="B539" s="69"/>
      <c r="C539" s="71"/>
      <c r="E539" s="22"/>
      <c r="F539" s="22"/>
      <c r="G539" s="31"/>
      <c r="J539" s="23"/>
      <c r="K539" s="27"/>
    </row>
    <row r="540" spans="1:11" x14ac:dyDescent="0.25">
      <c r="A540" s="77"/>
      <c r="B540" s="69"/>
      <c r="C540" s="71"/>
      <c r="E540" s="22"/>
      <c r="F540" s="22"/>
      <c r="G540" s="31"/>
      <c r="J540" s="23"/>
      <c r="K540" s="27"/>
    </row>
    <row r="541" spans="1:11" x14ac:dyDescent="0.25">
      <c r="A541" s="77"/>
      <c r="B541" s="69"/>
      <c r="C541" s="71"/>
      <c r="E541" s="22"/>
      <c r="F541" s="22"/>
      <c r="G541" s="31"/>
      <c r="J541" s="23"/>
      <c r="K541" s="27"/>
    </row>
    <row r="542" spans="1:11" x14ac:dyDescent="0.25">
      <c r="A542" s="77"/>
      <c r="B542" s="69"/>
      <c r="C542" s="71"/>
      <c r="E542" s="22"/>
      <c r="F542" s="22"/>
      <c r="G542" s="31"/>
      <c r="J542" s="23"/>
      <c r="K542" s="27"/>
    </row>
    <row r="543" spans="1:11" x14ac:dyDescent="0.25">
      <c r="A543" s="77"/>
      <c r="B543" s="69"/>
      <c r="C543" s="71"/>
      <c r="E543" s="22"/>
      <c r="F543" s="22"/>
      <c r="G543" s="31"/>
      <c r="J543" s="23"/>
      <c r="K543" s="27"/>
    </row>
    <row r="544" spans="1:11" x14ac:dyDescent="0.25">
      <c r="A544" s="77"/>
      <c r="B544" s="69"/>
      <c r="C544" s="71"/>
      <c r="E544" s="22"/>
      <c r="F544" s="22"/>
      <c r="G544" s="31"/>
      <c r="J544" s="23"/>
      <c r="K544" s="27"/>
    </row>
    <row r="545" spans="1:11" x14ac:dyDescent="0.25">
      <c r="A545" s="77"/>
      <c r="B545" s="69"/>
      <c r="C545" s="71"/>
      <c r="E545" s="22"/>
      <c r="F545" s="22"/>
      <c r="G545" s="31"/>
      <c r="J545" s="23"/>
      <c r="K545" s="27"/>
    </row>
    <row r="546" spans="1:11" x14ac:dyDescent="0.25">
      <c r="A546" s="77"/>
      <c r="B546" s="69"/>
      <c r="C546" s="71"/>
      <c r="E546" s="22"/>
      <c r="F546" s="22"/>
      <c r="G546" s="31"/>
      <c r="J546" s="23"/>
      <c r="K546" s="27"/>
    </row>
    <row r="547" spans="1:11" x14ac:dyDescent="0.25">
      <c r="A547" s="77"/>
      <c r="B547" s="69"/>
      <c r="C547" s="71"/>
      <c r="E547" s="22"/>
      <c r="F547" s="22"/>
      <c r="G547" s="31"/>
      <c r="J547" s="23"/>
      <c r="K547" s="27"/>
    </row>
    <row r="548" spans="1:11" x14ac:dyDescent="0.25">
      <c r="A548" s="77"/>
      <c r="B548" s="69"/>
      <c r="C548" s="71"/>
      <c r="E548" s="22"/>
      <c r="F548" s="22"/>
      <c r="G548" s="31"/>
      <c r="J548" s="23"/>
      <c r="K548" s="27"/>
    </row>
    <row r="549" spans="1:11" x14ac:dyDescent="0.25">
      <c r="A549" s="77"/>
      <c r="B549" s="69"/>
      <c r="C549" s="71"/>
      <c r="E549" s="22"/>
      <c r="F549" s="22"/>
      <c r="G549" s="31"/>
      <c r="J549" s="23"/>
      <c r="K549" s="27"/>
    </row>
    <row r="550" spans="1:11" x14ac:dyDescent="0.25">
      <c r="A550" s="77"/>
      <c r="B550" s="69"/>
      <c r="C550" s="71"/>
      <c r="E550" s="22"/>
      <c r="F550" s="22"/>
      <c r="G550" s="31"/>
      <c r="J550" s="23"/>
      <c r="K550" s="27"/>
    </row>
    <row r="551" spans="1:11" x14ac:dyDescent="0.25">
      <c r="A551" s="77"/>
      <c r="B551" s="69"/>
      <c r="C551" s="71"/>
      <c r="E551" s="22"/>
      <c r="F551" s="22"/>
      <c r="G551" s="31"/>
      <c r="J551" s="23"/>
      <c r="K551" s="27"/>
    </row>
    <row r="552" spans="1:11" x14ac:dyDescent="0.25">
      <c r="A552" s="77"/>
      <c r="B552" s="69"/>
      <c r="C552" s="71"/>
      <c r="E552" s="22"/>
      <c r="F552" s="22"/>
      <c r="G552" s="31"/>
      <c r="J552" s="23"/>
      <c r="K552" s="27"/>
    </row>
    <row r="553" spans="1:11" x14ac:dyDescent="0.25">
      <c r="A553" s="77"/>
      <c r="B553" s="69"/>
      <c r="C553" s="71"/>
      <c r="E553" s="22"/>
      <c r="F553" s="22"/>
      <c r="G553" s="31"/>
      <c r="J553" s="23"/>
      <c r="K553" s="27"/>
    </row>
    <row r="554" spans="1:11" x14ac:dyDescent="0.25">
      <c r="A554" s="77"/>
      <c r="B554" s="69"/>
      <c r="C554" s="71"/>
      <c r="E554" s="22"/>
      <c r="F554" s="22"/>
      <c r="G554" s="31"/>
      <c r="J554" s="23"/>
      <c r="K554" s="27"/>
    </row>
    <row r="555" spans="1:11" x14ac:dyDescent="0.25">
      <c r="A555" s="77"/>
      <c r="B555" s="69"/>
      <c r="C555" s="71"/>
      <c r="E555" s="22"/>
      <c r="F555" s="22"/>
      <c r="G555" s="31"/>
      <c r="J555" s="23"/>
      <c r="K555" s="27"/>
    </row>
    <row r="556" spans="1:11" x14ac:dyDescent="0.25">
      <c r="A556" s="77"/>
      <c r="B556" s="69"/>
      <c r="C556" s="71"/>
      <c r="E556" s="22"/>
      <c r="F556" s="22"/>
      <c r="G556" s="31"/>
      <c r="J556" s="23"/>
      <c r="K556" s="27"/>
    </row>
    <row r="557" spans="1:11" x14ac:dyDescent="0.25">
      <c r="A557" s="77"/>
      <c r="B557" s="69"/>
      <c r="C557" s="71"/>
      <c r="E557" s="22"/>
      <c r="F557" s="22"/>
      <c r="G557" s="31"/>
      <c r="J557" s="23"/>
      <c r="K557" s="27"/>
    </row>
    <row r="558" spans="1:11" x14ac:dyDescent="0.25">
      <c r="A558" s="77"/>
      <c r="B558" s="69"/>
      <c r="C558" s="71"/>
      <c r="E558" s="22"/>
      <c r="F558" s="22"/>
      <c r="G558" s="31"/>
      <c r="J558" s="23"/>
      <c r="K558" s="27"/>
    </row>
    <row r="559" spans="1:11" x14ac:dyDescent="0.25">
      <c r="A559" s="77"/>
      <c r="B559" s="69"/>
      <c r="C559" s="71"/>
      <c r="E559" s="22"/>
      <c r="F559" s="22"/>
      <c r="G559" s="31"/>
      <c r="J559" s="23"/>
      <c r="K559" s="27"/>
    </row>
    <row r="560" spans="1:11" x14ac:dyDescent="0.25">
      <c r="A560" s="77"/>
      <c r="B560" s="69"/>
      <c r="C560" s="71"/>
      <c r="E560" s="22"/>
      <c r="F560" s="22"/>
      <c r="G560" s="31"/>
      <c r="J560" s="23"/>
      <c r="K560" s="27"/>
    </row>
    <row r="561" spans="1:11" x14ac:dyDescent="0.25">
      <c r="A561" s="77"/>
      <c r="B561" s="69"/>
      <c r="C561" s="71"/>
      <c r="E561" s="22"/>
      <c r="F561" s="22"/>
      <c r="G561" s="31"/>
      <c r="J561" s="23"/>
      <c r="K561" s="27"/>
    </row>
    <row r="562" spans="1:11" x14ac:dyDescent="0.25">
      <c r="A562" s="77"/>
      <c r="B562" s="69"/>
      <c r="C562" s="71"/>
      <c r="E562" s="22"/>
      <c r="F562" s="22"/>
      <c r="G562" s="31"/>
      <c r="J562" s="23"/>
      <c r="K562" s="27"/>
    </row>
    <row r="563" spans="1:11" x14ac:dyDescent="0.25">
      <c r="A563" s="77"/>
      <c r="B563" s="69"/>
      <c r="C563" s="71"/>
      <c r="E563" s="22"/>
      <c r="F563" s="22"/>
      <c r="G563" s="31"/>
      <c r="J563" s="23"/>
      <c r="K563" s="27"/>
    </row>
    <row r="564" spans="1:11" x14ac:dyDescent="0.25">
      <c r="A564" s="77"/>
      <c r="B564" s="69"/>
      <c r="C564" s="71"/>
      <c r="E564" s="22"/>
      <c r="F564" s="22"/>
      <c r="G564" s="31"/>
      <c r="J564" s="23"/>
      <c r="K564" s="27"/>
    </row>
    <row r="565" spans="1:11" x14ac:dyDescent="0.25">
      <c r="A565" s="77"/>
      <c r="B565" s="69"/>
      <c r="C565" s="71"/>
      <c r="E565" s="22"/>
      <c r="F565" s="22"/>
      <c r="G565" s="31"/>
      <c r="J565" s="23"/>
      <c r="K565" s="27"/>
    </row>
    <row r="566" spans="1:11" x14ac:dyDescent="0.25">
      <c r="A566" s="77"/>
      <c r="B566" s="69"/>
      <c r="C566" s="71"/>
      <c r="E566" s="22"/>
      <c r="F566" s="22"/>
      <c r="G566" s="31"/>
      <c r="J566" s="23"/>
      <c r="K566" s="27"/>
    </row>
    <row r="567" spans="1:11" x14ac:dyDescent="0.25">
      <c r="A567" s="77"/>
      <c r="B567" s="69"/>
      <c r="C567" s="71"/>
      <c r="E567" s="22"/>
      <c r="F567" s="22"/>
      <c r="G567" s="31"/>
      <c r="J567" s="23"/>
      <c r="K567" s="27"/>
    </row>
    <row r="568" spans="1:11" x14ac:dyDescent="0.25">
      <c r="A568" s="77"/>
      <c r="B568" s="69"/>
      <c r="C568" s="71"/>
      <c r="E568" s="22"/>
      <c r="F568" s="22"/>
      <c r="G568" s="31"/>
      <c r="J568" s="23"/>
      <c r="K568" s="27"/>
    </row>
    <row r="569" spans="1:11" x14ac:dyDescent="0.25">
      <c r="A569" s="77"/>
      <c r="B569" s="69"/>
      <c r="C569" s="71"/>
      <c r="E569" s="22"/>
      <c r="F569" s="22"/>
      <c r="G569" s="31"/>
      <c r="J569" s="23"/>
      <c r="K569" s="27"/>
    </row>
    <row r="570" spans="1:11" x14ac:dyDescent="0.25">
      <c r="A570" s="77"/>
      <c r="B570" s="69"/>
      <c r="C570" s="71"/>
      <c r="E570" s="22"/>
      <c r="F570" s="22"/>
      <c r="G570" s="31"/>
      <c r="J570" s="23"/>
      <c r="K570" s="27"/>
    </row>
    <row r="571" spans="1:11" x14ac:dyDescent="0.25">
      <c r="A571" s="77"/>
      <c r="B571" s="69"/>
      <c r="C571" s="71"/>
      <c r="E571" s="22"/>
      <c r="F571" s="22"/>
      <c r="G571" s="31"/>
      <c r="J571" s="23"/>
      <c r="K571" s="27"/>
    </row>
    <row r="572" spans="1:11" x14ac:dyDescent="0.25">
      <c r="A572" s="77"/>
      <c r="B572" s="69"/>
      <c r="C572" s="71"/>
      <c r="E572" s="22"/>
      <c r="F572" s="22"/>
      <c r="G572" s="31"/>
      <c r="J572" s="23"/>
      <c r="K572" s="27"/>
    </row>
    <row r="573" spans="1:11" x14ac:dyDescent="0.25">
      <c r="A573" s="77"/>
      <c r="B573" s="69"/>
      <c r="C573" s="71"/>
      <c r="E573" s="22"/>
      <c r="F573" s="22"/>
      <c r="G573" s="31"/>
      <c r="J573" s="23"/>
      <c r="K573" s="27"/>
    </row>
    <row r="574" spans="1:11" x14ac:dyDescent="0.25">
      <c r="A574" s="77"/>
      <c r="B574" s="69"/>
      <c r="C574" s="71"/>
      <c r="E574" s="22"/>
      <c r="F574" s="22"/>
      <c r="G574" s="31"/>
      <c r="J574" s="23"/>
      <c r="K574" s="27"/>
    </row>
    <row r="575" spans="1:11" x14ac:dyDescent="0.25">
      <c r="A575" s="77"/>
      <c r="B575" s="69"/>
      <c r="C575" s="71"/>
      <c r="E575" s="22"/>
      <c r="F575" s="22"/>
      <c r="G575" s="31"/>
      <c r="J575" s="23"/>
      <c r="K575" s="27"/>
    </row>
    <row r="576" spans="1:11" x14ac:dyDescent="0.25">
      <c r="A576" s="77"/>
      <c r="B576" s="69"/>
      <c r="C576" s="71"/>
      <c r="E576" s="22"/>
      <c r="F576" s="22"/>
      <c r="G576" s="31"/>
      <c r="J576" s="23"/>
      <c r="K576" s="27"/>
    </row>
    <row r="577" spans="1:11" x14ac:dyDescent="0.25">
      <c r="A577" s="77"/>
      <c r="B577" s="69"/>
      <c r="C577" s="71"/>
      <c r="E577" s="22"/>
      <c r="F577" s="22"/>
      <c r="G577" s="31"/>
      <c r="J577" s="23"/>
      <c r="K577" s="27"/>
    </row>
    <row r="578" spans="1:11" x14ac:dyDescent="0.25">
      <c r="A578" s="77"/>
      <c r="B578" s="69"/>
      <c r="C578" s="71"/>
      <c r="E578" s="22"/>
      <c r="F578" s="22"/>
      <c r="G578" s="31"/>
      <c r="J578" s="23"/>
      <c r="K578" s="27"/>
    </row>
    <row r="579" spans="1:11" x14ac:dyDescent="0.25">
      <c r="A579" s="77"/>
      <c r="B579" s="69"/>
      <c r="C579" s="71"/>
      <c r="E579" s="22"/>
      <c r="F579" s="22"/>
      <c r="G579" s="31"/>
      <c r="J579" s="23"/>
      <c r="K579" s="27"/>
    </row>
    <row r="580" spans="1:11" x14ac:dyDescent="0.25">
      <c r="A580" s="77"/>
      <c r="B580" s="69"/>
      <c r="C580" s="71"/>
      <c r="E580" s="22"/>
      <c r="F580" s="22"/>
      <c r="G580" s="31"/>
      <c r="J580" s="23"/>
      <c r="K580" s="27"/>
    </row>
    <row r="581" spans="1:11" x14ac:dyDescent="0.25">
      <c r="A581" s="77"/>
      <c r="B581" s="69"/>
      <c r="C581" s="71"/>
      <c r="E581" s="22"/>
      <c r="F581" s="22"/>
      <c r="G581" s="31"/>
      <c r="J581" s="23"/>
      <c r="K581" s="27"/>
    </row>
    <row r="582" spans="1:11" x14ac:dyDescent="0.25">
      <c r="A582" s="77"/>
      <c r="B582" s="69"/>
      <c r="C582" s="71"/>
      <c r="E582" s="22"/>
      <c r="F582" s="22"/>
      <c r="G582" s="31"/>
      <c r="J582" s="23"/>
      <c r="K582" s="27"/>
    </row>
    <row r="583" spans="1:11" x14ac:dyDescent="0.25">
      <c r="A583" s="77"/>
      <c r="B583" s="69"/>
      <c r="C583" s="71"/>
      <c r="E583" s="22"/>
      <c r="F583" s="22"/>
      <c r="G583" s="31"/>
      <c r="J583" s="23"/>
      <c r="K583" s="27"/>
    </row>
    <row r="584" spans="1:11" x14ac:dyDescent="0.25">
      <c r="A584" s="77"/>
      <c r="B584" s="69"/>
      <c r="C584" s="71"/>
      <c r="E584" s="22"/>
      <c r="F584" s="22"/>
      <c r="G584" s="31"/>
      <c r="J584" s="23"/>
      <c r="K584" s="27"/>
    </row>
    <row r="585" spans="1:11" x14ac:dyDescent="0.25">
      <c r="A585" s="77"/>
      <c r="B585" s="69"/>
      <c r="C585" s="71"/>
      <c r="E585" s="22"/>
      <c r="F585" s="22"/>
      <c r="G585" s="31"/>
      <c r="J585" s="23"/>
      <c r="K585" s="27"/>
    </row>
    <row r="586" spans="1:11" x14ac:dyDescent="0.25">
      <c r="A586" s="77"/>
      <c r="B586" s="69"/>
      <c r="C586" s="71"/>
      <c r="E586" s="22"/>
      <c r="F586" s="22"/>
      <c r="G586" s="31"/>
      <c r="J586" s="23"/>
      <c r="K586" s="27"/>
    </row>
    <row r="587" spans="1:11" x14ac:dyDescent="0.25">
      <c r="A587" s="77"/>
      <c r="B587" s="69"/>
      <c r="C587" s="71"/>
      <c r="E587" s="22"/>
      <c r="F587" s="22"/>
      <c r="G587" s="31"/>
      <c r="J587" s="23"/>
      <c r="K587" s="27"/>
    </row>
    <row r="588" spans="1:11" x14ac:dyDescent="0.25">
      <c r="A588" s="77"/>
      <c r="B588" s="69"/>
      <c r="C588" s="71"/>
      <c r="E588" s="22"/>
      <c r="F588" s="22"/>
      <c r="G588" s="31"/>
      <c r="J588" s="23"/>
      <c r="K588" s="27"/>
    </row>
    <row r="589" spans="1:11" x14ac:dyDescent="0.25">
      <c r="A589" s="77"/>
      <c r="B589" s="69"/>
      <c r="C589" s="71"/>
      <c r="E589" s="22"/>
      <c r="F589" s="22"/>
      <c r="G589" s="31"/>
      <c r="J589" s="23"/>
      <c r="K589" s="27"/>
    </row>
    <row r="590" spans="1:11" x14ac:dyDescent="0.25">
      <c r="A590" s="77"/>
      <c r="B590" s="69"/>
      <c r="C590" s="71"/>
      <c r="E590" s="22"/>
      <c r="F590" s="22"/>
      <c r="G590" s="31"/>
      <c r="J590" s="23"/>
      <c r="K590" s="27"/>
    </row>
    <row r="591" spans="1:11" x14ac:dyDescent="0.25">
      <c r="A591" s="77"/>
      <c r="B591" s="69"/>
      <c r="C591" s="71"/>
      <c r="E591" s="22"/>
      <c r="F591" s="22"/>
      <c r="G591" s="31"/>
      <c r="J591" s="23"/>
      <c r="K591" s="27"/>
    </row>
    <row r="592" spans="1:11" x14ac:dyDescent="0.25">
      <c r="A592" s="77"/>
      <c r="B592" s="69"/>
      <c r="C592" s="71"/>
      <c r="E592" s="22"/>
      <c r="F592" s="22"/>
      <c r="G592" s="31"/>
      <c r="J592" s="23"/>
      <c r="K592" s="27"/>
    </row>
    <row r="593" spans="1:11" x14ac:dyDescent="0.25">
      <c r="A593" s="77"/>
      <c r="B593" s="69"/>
      <c r="C593" s="71"/>
      <c r="E593" s="22"/>
      <c r="F593" s="22"/>
      <c r="G593" s="31"/>
      <c r="J593" s="23"/>
      <c r="K593" s="27"/>
    </row>
    <row r="594" spans="1:11" x14ac:dyDescent="0.25">
      <c r="A594" s="77"/>
      <c r="B594" s="69"/>
      <c r="C594" s="71"/>
      <c r="E594" s="22"/>
      <c r="F594" s="22"/>
      <c r="G594" s="31"/>
      <c r="J594" s="23"/>
      <c r="K594" s="27"/>
    </row>
    <row r="595" spans="1:11" x14ac:dyDescent="0.25">
      <c r="A595" s="77"/>
      <c r="B595" s="69"/>
      <c r="C595" s="71"/>
      <c r="E595" s="22"/>
      <c r="F595" s="22"/>
      <c r="G595" s="31"/>
      <c r="J595" s="23"/>
      <c r="K595" s="27"/>
    </row>
    <row r="596" spans="1:11" x14ac:dyDescent="0.25">
      <c r="A596" s="77"/>
      <c r="B596" s="69"/>
      <c r="C596" s="71"/>
      <c r="E596" s="22"/>
      <c r="F596" s="22"/>
      <c r="G596" s="31"/>
      <c r="J596" s="23"/>
      <c r="K596" s="27"/>
    </row>
    <row r="597" spans="1:11" x14ac:dyDescent="0.25">
      <c r="A597" s="77"/>
      <c r="B597" s="69"/>
      <c r="C597" s="71"/>
      <c r="E597" s="22"/>
      <c r="F597" s="22"/>
      <c r="G597" s="31"/>
      <c r="J597" s="23"/>
      <c r="K597" s="27"/>
    </row>
    <row r="598" spans="1:11" x14ac:dyDescent="0.25">
      <c r="A598" s="77"/>
      <c r="B598" s="69"/>
      <c r="C598" s="71"/>
      <c r="E598" s="22"/>
      <c r="F598" s="22"/>
      <c r="G598" s="31"/>
      <c r="J598" s="23"/>
      <c r="K598" s="27"/>
    </row>
    <row r="599" spans="1:11" x14ac:dyDescent="0.25">
      <c r="A599" s="77"/>
      <c r="B599" s="69"/>
      <c r="C599" s="71"/>
      <c r="E599" s="22"/>
      <c r="F599" s="22"/>
      <c r="G599" s="31"/>
      <c r="J599" s="23"/>
      <c r="K599" s="27"/>
    </row>
    <row r="600" spans="1:11" x14ac:dyDescent="0.25">
      <c r="A600" s="77"/>
      <c r="B600" s="69"/>
      <c r="C600" s="71"/>
      <c r="E600" s="22"/>
      <c r="F600" s="22"/>
      <c r="G600" s="31"/>
      <c r="J600" s="23"/>
      <c r="K600" s="27"/>
    </row>
    <row r="601" spans="1:11" x14ac:dyDescent="0.25">
      <c r="A601" s="77"/>
      <c r="B601" s="69"/>
      <c r="C601" s="71"/>
      <c r="E601" s="22"/>
      <c r="F601" s="22"/>
      <c r="G601" s="31"/>
      <c r="J601" s="23"/>
      <c r="K601" s="27"/>
    </row>
    <row r="602" spans="1:11" x14ac:dyDescent="0.25">
      <c r="A602" s="77"/>
      <c r="B602" s="69"/>
      <c r="C602" s="71"/>
      <c r="E602" s="22"/>
      <c r="F602" s="22"/>
      <c r="G602" s="31"/>
      <c r="J602" s="23"/>
      <c r="K602" s="27"/>
    </row>
    <row r="603" spans="1:11" x14ac:dyDescent="0.25">
      <c r="A603" s="77"/>
      <c r="B603" s="69"/>
      <c r="C603" s="71"/>
      <c r="E603" s="22"/>
      <c r="F603" s="22"/>
      <c r="G603" s="31"/>
      <c r="J603" s="23"/>
      <c r="K603" s="27"/>
    </row>
    <row r="604" spans="1:11" x14ac:dyDescent="0.25">
      <c r="A604" s="77"/>
      <c r="B604" s="69"/>
      <c r="C604" s="71"/>
      <c r="E604" s="22"/>
      <c r="F604" s="22"/>
      <c r="G604" s="31"/>
      <c r="J604" s="23"/>
      <c r="K604" s="27"/>
    </row>
    <row r="605" spans="1:11" x14ac:dyDescent="0.25">
      <c r="A605" s="77"/>
      <c r="B605" s="69"/>
      <c r="C605" s="71"/>
      <c r="E605" s="22"/>
      <c r="F605" s="22"/>
      <c r="G605" s="31"/>
      <c r="J605" s="23"/>
      <c r="K605" s="27"/>
    </row>
    <row r="606" spans="1:11" x14ac:dyDescent="0.25">
      <c r="A606" s="77"/>
      <c r="B606" s="69"/>
      <c r="C606" s="71"/>
      <c r="E606" s="22"/>
      <c r="F606" s="22"/>
      <c r="G606" s="31"/>
      <c r="J606" s="23"/>
      <c r="K606" s="27"/>
    </row>
    <row r="607" spans="1:11" x14ac:dyDescent="0.25">
      <c r="A607" s="77"/>
      <c r="B607" s="69"/>
      <c r="C607" s="71"/>
      <c r="E607" s="22"/>
      <c r="F607" s="22"/>
      <c r="G607" s="31"/>
      <c r="J607" s="23"/>
      <c r="K607" s="27"/>
    </row>
    <row r="608" spans="1:11" x14ac:dyDescent="0.25">
      <c r="A608" s="77"/>
      <c r="B608" s="69"/>
      <c r="C608" s="71"/>
      <c r="E608" s="22"/>
      <c r="F608" s="22"/>
      <c r="G608" s="31"/>
      <c r="J608" s="23"/>
      <c r="K608" s="27"/>
    </row>
    <row r="609" spans="1:11" x14ac:dyDescent="0.25">
      <c r="A609" s="77"/>
      <c r="B609" s="69"/>
      <c r="C609" s="71"/>
      <c r="E609" s="22"/>
      <c r="F609" s="22"/>
      <c r="G609" s="31"/>
      <c r="J609" s="23"/>
      <c r="K609" s="27"/>
    </row>
    <row r="610" spans="1:11" x14ac:dyDescent="0.25">
      <c r="A610" s="77"/>
      <c r="B610" s="69"/>
      <c r="C610" s="71"/>
      <c r="E610" s="22"/>
      <c r="F610" s="22"/>
      <c r="G610" s="31"/>
      <c r="J610" s="23"/>
      <c r="K610" s="27"/>
    </row>
    <row r="611" spans="1:11" x14ac:dyDescent="0.25">
      <c r="A611" s="77"/>
      <c r="B611" s="69"/>
      <c r="C611" s="71"/>
      <c r="E611" s="22"/>
      <c r="F611" s="22"/>
      <c r="G611" s="31"/>
      <c r="J611" s="23"/>
      <c r="K611" s="27"/>
    </row>
    <row r="612" spans="1:11" x14ac:dyDescent="0.25">
      <c r="A612" s="77"/>
      <c r="B612" s="69"/>
      <c r="C612" s="71"/>
      <c r="E612" s="22"/>
      <c r="F612" s="22"/>
      <c r="G612" s="31"/>
      <c r="J612" s="23"/>
      <c r="K612" s="27"/>
    </row>
    <row r="613" spans="1:11" x14ac:dyDescent="0.25">
      <c r="A613" s="77"/>
      <c r="B613" s="69"/>
      <c r="C613" s="71"/>
      <c r="E613" s="22"/>
      <c r="F613" s="22"/>
      <c r="G613" s="31"/>
      <c r="J613" s="23"/>
      <c r="K613" s="27"/>
    </row>
    <row r="614" spans="1:11" x14ac:dyDescent="0.25">
      <c r="A614" s="77"/>
      <c r="B614" s="69"/>
      <c r="C614" s="71"/>
      <c r="E614" s="22"/>
      <c r="F614" s="22"/>
      <c r="G614" s="31"/>
      <c r="J614" s="23"/>
      <c r="K614" s="27"/>
    </row>
    <row r="615" spans="1:11" x14ac:dyDescent="0.25">
      <c r="A615" s="77"/>
      <c r="B615" s="69"/>
      <c r="C615" s="71"/>
      <c r="E615" s="22"/>
      <c r="F615" s="22"/>
      <c r="G615" s="31"/>
      <c r="J615" s="23"/>
      <c r="K615" s="27"/>
    </row>
    <row r="616" spans="1:11" x14ac:dyDescent="0.25">
      <c r="A616" s="77"/>
      <c r="B616" s="69"/>
      <c r="C616" s="71"/>
      <c r="E616" s="22"/>
      <c r="F616" s="22"/>
      <c r="G616" s="31"/>
      <c r="J616" s="23"/>
      <c r="K616" s="27"/>
    </row>
    <row r="617" spans="1:11" x14ac:dyDescent="0.25">
      <c r="A617" s="77"/>
      <c r="B617" s="69"/>
      <c r="C617" s="71"/>
      <c r="E617" s="22"/>
      <c r="F617" s="22"/>
      <c r="G617" s="31"/>
      <c r="J617" s="23"/>
      <c r="K617" s="27"/>
    </row>
    <row r="618" spans="1:11" x14ac:dyDescent="0.25">
      <c r="A618" s="77"/>
      <c r="B618" s="69"/>
      <c r="C618" s="71"/>
      <c r="E618" s="22"/>
      <c r="F618" s="22"/>
      <c r="G618" s="31"/>
      <c r="J618" s="23"/>
      <c r="K618" s="27"/>
    </row>
    <row r="619" spans="1:11" x14ac:dyDescent="0.25">
      <c r="A619" s="77"/>
      <c r="B619" s="69"/>
      <c r="C619" s="71"/>
      <c r="E619" s="22"/>
      <c r="F619" s="22"/>
      <c r="G619" s="31"/>
      <c r="J619" s="23"/>
      <c r="K619" s="27"/>
    </row>
    <row r="620" spans="1:11" x14ac:dyDescent="0.25">
      <c r="A620" s="77"/>
      <c r="B620" s="69"/>
      <c r="C620" s="71"/>
      <c r="E620" s="22"/>
      <c r="F620" s="22"/>
      <c r="G620" s="31"/>
      <c r="J620" s="23"/>
      <c r="K620" s="27"/>
    </row>
    <row r="621" spans="1:11" x14ac:dyDescent="0.25">
      <c r="A621" s="77"/>
      <c r="B621" s="69"/>
      <c r="C621" s="71"/>
      <c r="E621" s="22"/>
      <c r="F621" s="22"/>
      <c r="G621" s="31"/>
      <c r="J621" s="23"/>
      <c r="K621" s="27"/>
    </row>
    <row r="622" spans="1:11" x14ac:dyDescent="0.25">
      <c r="A622" s="77"/>
      <c r="B622" s="69"/>
      <c r="C622" s="71"/>
      <c r="E622" s="22"/>
      <c r="F622" s="22"/>
      <c r="G622" s="31"/>
      <c r="J622" s="23"/>
      <c r="K622" s="27"/>
    </row>
    <row r="623" spans="1:11" x14ac:dyDescent="0.25">
      <c r="A623" s="77"/>
      <c r="B623" s="69"/>
      <c r="C623" s="71"/>
      <c r="E623" s="22"/>
      <c r="F623" s="22"/>
      <c r="G623" s="31"/>
      <c r="J623" s="23"/>
      <c r="K623" s="27"/>
    </row>
    <row r="624" spans="1:11" x14ac:dyDescent="0.25">
      <c r="A624" s="77"/>
      <c r="B624" s="69"/>
      <c r="C624" s="71"/>
      <c r="E624" s="22"/>
      <c r="F624" s="22"/>
      <c r="G624" s="31"/>
      <c r="J624" s="23"/>
      <c r="K624" s="27"/>
    </row>
    <row r="625" spans="1:11" x14ac:dyDescent="0.25">
      <c r="A625" s="77"/>
      <c r="B625" s="69"/>
      <c r="C625" s="71"/>
      <c r="E625" s="22"/>
      <c r="F625" s="22"/>
      <c r="G625" s="31"/>
      <c r="J625" s="23"/>
      <c r="K625" s="27"/>
    </row>
    <row r="626" spans="1:11" x14ac:dyDescent="0.25">
      <c r="A626" s="77"/>
      <c r="B626" s="69"/>
      <c r="C626" s="71"/>
      <c r="E626" s="22"/>
      <c r="F626" s="22"/>
      <c r="G626" s="31"/>
      <c r="J626" s="23"/>
      <c r="K626" s="27"/>
    </row>
    <row r="627" spans="1:11" x14ac:dyDescent="0.25">
      <c r="A627" s="77"/>
      <c r="B627" s="69"/>
      <c r="C627" s="71"/>
      <c r="E627" s="22"/>
      <c r="F627" s="22"/>
      <c r="G627" s="31"/>
      <c r="J627" s="23"/>
      <c r="K627" s="27"/>
    </row>
    <row r="628" spans="1:11" x14ac:dyDescent="0.25">
      <c r="A628" s="77"/>
      <c r="B628" s="69"/>
      <c r="C628" s="71"/>
      <c r="E628" s="22"/>
      <c r="F628" s="22"/>
      <c r="G628" s="31"/>
      <c r="J628" s="23"/>
      <c r="K628" s="27"/>
    </row>
    <row r="629" spans="1:11" x14ac:dyDescent="0.25">
      <c r="A629" s="77"/>
      <c r="B629" s="69"/>
      <c r="C629" s="71"/>
      <c r="E629" s="22"/>
      <c r="F629" s="22"/>
      <c r="G629" s="31"/>
      <c r="J629" s="23"/>
      <c r="K629" s="27"/>
    </row>
    <row r="630" spans="1:11" x14ac:dyDescent="0.25">
      <c r="A630" s="77"/>
      <c r="B630" s="69"/>
      <c r="C630" s="71"/>
      <c r="E630" s="22"/>
      <c r="F630" s="22"/>
      <c r="G630" s="31"/>
      <c r="J630" s="23"/>
      <c r="K630" s="27"/>
    </row>
    <row r="631" spans="1:11" x14ac:dyDescent="0.25">
      <c r="A631" s="77"/>
      <c r="B631" s="69"/>
      <c r="C631" s="71"/>
      <c r="E631" s="22"/>
      <c r="F631" s="22"/>
      <c r="G631" s="31"/>
      <c r="J631" s="23"/>
      <c r="K631" s="27"/>
    </row>
    <row r="632" spans="1:11" x14ac:dyDescent="0.25">
      <c r="A632" s="77"/>
      <c r="B632" s="69"/>
      <c r="C632" s="71"/>
      <c r="E632" s="22"/>
      <c r="F632" s="22"/>
      <c r="G632" s="31"/>
      <c r="J632" s="23"/>
      <c r="K632" s="27"/>
    </row>
    <row r="633" spans="1:11" x14ac:dyDescent="0.25">
      <c r="A633" s="77"/>
      <c r="B633" s="69"/>
      <c r="C633" s="71"/>
      <c r="E633" s="22"/>
      <c r="F633" s="22"/>
      <c r="G633" s="31"/>
      <c r="J633" s="23"/>
      <c r="K633" s="27"/>
    </row>
    <row r="634" spans="1:11" x14ac:dyDescent="0.25">
      <c r="A634" s="77"/>
      <c r="B634" s="69"/>
      <c r="C634" s="71"/>
      <c r="E634" s="22"/>
      <c r="F634" s="22"/>
      <c r="G634" s="31"/>
      <c r="J634" s="23"/>
      <c r="K634" s="27"/>
    </row>
    <row r="635" spans="1:11" x14ac:dyDescent="0.25">
      <c r="A635" s="77"/>
      <c r="B635" s="69"/>
      <c r="C635" s="71"/>
      <c r="E635" s="22"/>
      <c r="F635" s="22"/>
      <c r="G635" s="31"/>
      <c r="J635" s="23"/>
      <c r="K635" s="27"/>
    </row>
    <row r="636" spans="1:11" x14ac:dyDescent="0.25">
      <c r="A636" s="77"/>
      <c r="B636" s="69"/>
      <c r="C636" s="71"/>
      <c r="E636" s="22"/>
      <c r="F636" s="22"/>
      <c r="G636" s="31"/>
      <c r="J636" s="23"/>
      <c r="K636" s="27"/>
    </row>
    <row r="637" spans="1:11" x14ac:dyDescent="0.25">
      <c r="A637" s="77"/>
      <c r="B637" s="69"/>
      <c r="C637" s="71"/>
      <c r="E637" s="22"/>
      <c r="F637" s="22"/>
      <c r="G637" s="31"/>
      <c r="J637" s="23"/>
      <c r="K637" s="27"/>
    </row>
    <row r="638" spans="1:11" x14ac:dyDescent="0.25">
      <c r="A638" s="77"/>
      <c r="B638" s="69"/>
      <c r="C638" s="71"/>
      <c r="E638" s="22"/>
      <c r="F638" s="22"/>
      <c r="G638" s="31"/>
      <c r="J638" s="23"/>
      <c r="K638" s="27"/>
    </row>
    <row r="639" spans="1:11" x14ac:dyDescent="0.25">
      <c r="A639" s="77"/>
      <c r="B639" s="69"/>
      <c r="C639" s="71"/>
      <c r="E639" s="22"/>
      <c r="F639" s="22"/>
      <c r="G639" s="31"/>
      <c r="J639" s="23"/>
      <c r="K639" s="27"/>
    </row>
    <row r="640" spans="1:11" x14ac:dyDescent="0.25">
      <c r="A640" s="77"/>
      <c r="B640" s="69"/>
      <c r="C640" s="71"/>
      <c r="E640" s="22"/>
      <c r="F640" s="22"/>
      <c r="G640" s="31"/>
      <c r="J640" s="23"/>
      <c r="K640" s="27"/>
    </row>
    <row r="641" spans="1:11" x14ac:dyDescent="0.25">
      <c r="A641" s="77"/>
      <c r="B641" s="69"/>
      <c r="C641" s="71"/>
      <c r="E641" s="22"/>
      <c r="F641" s="22"/>
      <c r="G641" s="31"/>
      <c r="J641" s="23"/>
      <c r="K641" s="27"/>
    </row>
    <row r="642" spans="1:11" x14ac:dyDescent="0.25">
      <c r="A642" s="77"/>
      <c r="B642" s="69"/>
      <c r="C642" s="71"/>
      <c r="E642" s="22"/>
      <c r="F642" s="22"/>
      <c r="G642" s="31"/>
      <c r="J642" s="23"/>
      <c r="K642" s="27"/>
    </row>
    <row r="643" spans="1:11" x14ac:dyDescent="0.25">
      <c r="A643" s="77"/>
      <c r="B643" s="69"/>
      <c r="C643" s="71"/>
      <c r="E643" s="22"/>
      <c r="F643" s="22"/>
      <c r="G643" s="31"/>
      <c r="J643" s="23"/>
      <c r="K643" s="27"/>
    </row>
    <row r="644" spans="1:11" x14ac:dyDescent="0.25">
      <c r="A644" s="77"/>
      <c r="B644" s="69"/>
      <c r="C644" s="71"/>
      <c r="E644" s="22"/>
      <c r="F644" s="22"/>
      <c r="G644" s="31"/>
      <c r="J644" s="23"/>
      <c r="K644" s="27"/>
    </row>
    <row r="645" spans="1:11" x14ac:dyDescent="0.25">
      <c r="A645" s="77"/>
      <c r="B645" s="69"/>
      <c r="C645" s="71"/>
      <c r="E645" s="22"/>
      <c r="F645" s="22"/>
      <c r="G645" s="31"/>
      <c r="J645" s="23"/>
      <c r="K645" s="27"/>
    </row>
    <row r="646" spans="1:11" x14ac:dyDescent="0.25">
      <c r="A646" s="77"/>
      <c r="B646" s="69"/>
      <c r="C646" s="71"/>
      <c r="E646" s="22"/>
      <c r="F646" s="22"/>
      <c r="G646" s="31"/>
      <c r="J646" s="23"/>
      <c r="K646" s="27"/>
    </row>
    <row r="647" spans="1:11" x14ac:dyDescent="0.25">
      <c r="A647" s="77"/>
      <c r="B647" s="69"/>
      <c r="C647" s="71"/>
      <c r="E647" s="22"/>
      <c r="F647" s="22"/>
      <c r="G647" s="31"/>
      <c r="J647" s="23"/>
      <c r="K647" s="27"/>
    </row>
    <row r="648" spans="1:11" x14ac:dyDescent="0.25">
      <c r="A648" s="77"/>
      <c r="B648" s="69"/>
      <c r="C648" s="71"/>
      <c r="E648" s="22"/>
      <c r="F648" s="22"/>
      <c r="G648" s="31"/>
      <c r="J648" s="23"/>
      <c r="K648" s="27"/>
    </row>
    <row r="649" spans="1:11" x14ac:dyDescent="0.25">
      <c r="A649" s="77"/>
      <c r="B649" s="69"/>
      <c r="C649" s="71"/>
      <c r="E649" s="22"/>
      <c r="F649" s="22"/>
      <c r="G649" s="31"/>
      <c r="J649" s="23"/>
      <c r="K649" s="27"/>
    </row>
    <row r="650" spans="1:11" x14ac:dyDescent="0.25">
      <c r="A650" s="77"/>
      <c r="B650" s="69"/>
      <c r="C650" s="71"/>
      <c r="E650" s="22"/>
      <c r="F650" s="22"/>
      <c r="G650" s="31"/>
      <c r="J650" s="23"/>
      <c r="K650" s="27"/>
    </row>
    <row r="651" spans="1:11" x14ac:dyDescent="0.25">
      <c r="A651" s="77"/>
      <c r="B651" s="69"/>
      <c r="C651" s="71"/>
      <c r="E651" s="22"/>
      <c r="F651" s="22"/>
      <c r="G651" s="31"/>
      <c r="J651" s="23"/>
      <c r="K651" s="27"/>
    </row>
    <row r="652" spans="1:11" x14ac:dyDescent="0.25">
      <c r="A652" s="77"/>
      <c r="B652" s="69"/>
      <c r="C652" s="71"/>
      <c r="E652" s="22"/>
      <c r="F652" s="22"/>
      <c r="G652" s="31"/>
      <c r="J652" s="23"/>
      <c r="K652" s="27"/>
    </row>
    <row r="653" spans="1:11" x14ac:dyDescent="0.25">
      <c r="A653" s="77"/>
      <c r="B653" s="69"/>
      <c r="C653" s="71"/>
      <c r="E653" s="22"/>
      <c r="F653" s="22"/>
      <c r="G653" s="31"/>
      <c r="J653" s="23"/>
      <c r="K653" s="27"/>
    </row>
    <row r="654" spans="1:11" x14ac:dyDescent="0.25">
      <c r="A654" s="77"/>
      <c r="B654" s="69"/>
      <c r="C654" s="71"/>
      <c r="E654" s="22"/>
      <c r="F654" s="22"/>
      <c r="G654" s="31"/>
      <c r="J654" s="23"/>
      <c r="K654" s="27"/>
    </row>
    <row r="655" spans="1:11" x14ac:dyDescent="0.25">
      <c r="A655" s="77"/>
      <c r="B655" s="69"/>
      <c r="C655" s="71"/>
      <c r="E655" s="22"/>
      <c r="F655" s="22"/>
      <c r="G655" s="31"/>
      <c r="J655" s="23"/>
      <c r="K655" s="27"/>
    </row>
    <row r="656" spans="1:11" x14ac:dyDescent="0.25">
      <c r="A656" s="77"/>
      <c r="B656" s="69"/>
      <c r="C656" s="71"/>
      <c r="E656" s="22"/>
      <c r="F656" s="22"/>
      <c r="G656" s="31"/>
      <c r="J656" s="23"/>
      <c r="K656" s="27"/>
    </row>
    <row r="657" spans="1:11" x14ac:dyDescent="0.25">
      <c r="A657" s="77"/>
      <c r="B657" s="69"/>
      <c r="C657" s="71"/>
      <c r="E657" s="22"/>
      <c r="F657" s="22"/>
      <c r="G657" s="31"/>
      <c r="J657" s="23"/>
      <c r="K657" s="27"/>
    </row>
    <row r="658" spans="1:11" x14ac:dyDescent="0.25">
      <c r="A658" s="77"/>
      <c r="B658" s="69"/>
      <c r="C658" s="71"/>
      <c r="E658" s="22"/>
      <c r="F658" s="22"/>
      <c r="G658" s="31"/>
      <c r="J658" s="23"/>
      <c r="K658" s="27"/>
    </row>
    <row r="659" spans="1:11" x14ac:dyDescent="0.25">
      <c r="A659" s="77"/>
      <c r="B659" s="69"/>
      <c r="C659" s="71"/>
      <c r="E659" s="22"/>
      <c r="F659" s="22"/>
      <c r="G659" s="31"/>
      <c r="J659" s="23"/>
      <c r="K659" s="27"/>
    </row>
    <row r="660" spans="1:11" x14ac:dyDescent="0.25">
      <c r="A660" s="77"/>
      <c r="B660" s="69"/>
      <c r="C660" s="71"/>
      <c r="E660" s="22"/>
      <c r="F660" s="22"/>
      <c r="G660" s="31"/>
      <c r="J660" s="23"/>
      <c r="K660" s="27"/>
    </row>
    <row r="661" spans="1:11" x14ac:dyDescent="0.25">
      <c r="A661" s="77"/>
      <c r="B661" s="69"/>
      <c r="C661" s="71"/>
      <c r="E661" s="22"/>
      <c r="F661" s="22"/>
      <c r="G661" s="31"/>
      <c r="J661" s="23"/>
      <c r="K661" s="27"/>
    </row>
    <row r="662" spans="1:11" x14ac:dyDescent="0.25">
      <c r="A662" s="77"/>
      <c r="B662" s="69"/>
      <c r="C662" s="71"/>
      <c r="E662" s="22"/>
      <c r="F662" s="22"/>
      <c r="G662" s="31"/>
      <c r="J662" s="23"/>
      <c r="K662" s="27"/>
    </row>
    <row r="663" spans="1:11" x14ac:dyDescent="0.25">
      <c r="A663" s="77"/>
      <c r="B663" s="69"/>
      <c r="C663" s="71"/>
      <c r="E663" s="22"/>
      <c r="F663" s="22"/>
      <c r="G663" s="31"/>
      <c r="J663" s="23"/>
      <c r="K663" s="27"/>
    </row>
    <row r="664" spans="1:11" x14ac:dyDescent="0.25">
      <c r="A664" s="77"/>
      <c r="B664" s="69"/>
      <c r="C664" s="71"/>
      <c r="E664" s="22"/>
      <c r="F664" s="22"/>
      <c r="G664" s="31"/>
      <c r="J664" s="23"/>
      <c r="K664" s="27"/>
    </row>
    <row r="665" spans="1:11" x14ac:dyDescent="0.25">
      <c r="A665" s="77"/>
      <c r="B665" s="69"/>
      <c r="C665" s="71"/>
      <c r="E665" s="22"/>
      <c r="F665" s="22"/>
      <c r="G665" s="31"/>
      <c r="J665" s="23"/>
      <c r="K665" s="27"/>
    </row>
    <row r="666" spans="1:11" x14ac:dyDescent="0.25">
      <c r="A666" s="77"/>
      <c r="B666" s="69"/>
      <c r="C666" s="71"/>
      <c r="E666" s="22"/>
      <c r="F666" s="22"/>
      <c r="G666" s="31"/>
      <c r="J666" s="23"/>
      <c r="K666" s="27"/>
    </row>
    <row r="667" spans="1:11" x14ac:dyDescent="0.25">
      <c r="A667" s="77"/>
      <c r="B667" s="69"/>
      <c r="C667" s="71"/>
      <c r="E667" s="22"/>
      <c r="F667" s="22"/>
      <c r="G667" s="31"/>
      <c r="J667" s="23"/>
      <c r="K667" s="27"/>
    </row>
    <row r="668" spans="1:11" x14ac:dyDescent="0.25">
      <c r="A668" s="77"/>
      <c r="B668" s="69"/>
      <c r="C668" s="71"/>
      <c r="E668" s="22"/>
      <c r="F668" s="22"/>
      <c r="G668" s="31"/>
      <c r="J668" s="23"/>
      <c r="K668" s="27"/>
    </row>
    <row r="669" spans="1:11" x14ac:dyDescent="0.25">
      <c r="A669" s="77"/>
      <c r="B669" s="69"/>
      <c r="C669" s="71"/>
      <c r="E669" s="22"/>
      <c r="F669" s="22"/>
      <c r="G669" s="31"/>
      <c r="J669" s="23"/>
      <c r="K669" s="27"/>
    </row>
    <row r="670" spans="1:11" x14ac:dyDescent="0.25">
      <c r="A670" s="77"/>
      <c r="B670" s="69"/>
      <c r="C670" s="71"/>
      <c r="E670" s="22"/>
      <c r="F670" s="22"/>
      <c r="G670" s="31"/>
      <c r="J670" s="23"/>
      <c r="K670" s="27"/>
    </row>
    <row r="671" spans="1:11" x14ac:dyDescent="0.25">
      <c r="A671" s="77"/>
      <c r="B671" s="69"/>
      <c r="C671" s="71"/>
      <c r="E671" s="22"/>
      <c r="F671" s="22"/>
      <c r="G671" s="31"/>
      <c r="J671" s="23"/>
      <c r="K671" s="27"/>
    </row>
    <row r="672" spans="1:11" x14ac:dyDescent="0.25">
      <c r="A672" s="77"/>
      <c r="B672" s="69"/>
      <c r="C672" s="71"/>
      <c r="E672" s="22"/>
      <c r="F672" s="22"/>
      <c r="G672" s="31"/>
      <c r="J672" s="23"/>
      <c r="K672" s="27"/>
    </row>
    <row r="673" spans="1:11" x14ac:dyDescent="0.25">
      <c r="A673" s="77"/>
      <c r="B673" s="69"/>
      <c r="C673" s="71"/>
      <c r="E673" s="22"/>
      <c r="F673" s="22"/>
      <c r="G673" s="31"/>
      <c r="J673" s="23"/>
      <c r="K673" s="27"/>
    </row>
    <row r="674" spans="1:11" x14ac:dyDescent="0.25">
      <c r="A674" s="77"/>
      <c r="B674" s="69"/>
      <c r="C674" s="71"/>
      <c r="E674" s="22"/>
      <c r="F674" s="22"/>
      <c r="G674" s="31"/>
      <c r="J674" s="23"/>
      <c r="K674" s="27"/>
    </row>
    <row r="675" spans="1:11" x14ac:dyDescent="0.25">
      <c r="A675" s="77"/>
      <c r="B675" s="69"/>
      <c r="C675" s="71"/>
      <c r="E675" s="22"/>
      <c r="F675" s="22"/>
      <c r="G675" s="31"/>
      <c r="J675" s="23"/>
      <c r="K675" s="27"/>
    </row>
    <row r="676" spans="1:11" x14ac:dyDescent="0.25">
      <c r="A676" s="77"/>
      <c r="B676" s="69"/>
      <c r="C676" s="71"/>
      <c r="E676" s="22"/>
      <c r="F676" s="22"/>
      <c r="G676" s="31"/>
      <c r="J676" s="23"/>
      <c r="K676" s="27"/>
    </row>
    <row r="677" spans="1:11" x14ac:dyDescent="0.25">
      <c r="A677" s="77"/>
      <c r="B677" s="69"/>
      <c r="C677" s="71"/>
      <c r="E677" s="22"/>
      <c r="F677" s="22"/>
      <c r="G677" s="31"/>
      <c r="J677" s="23"/>
      <c r="K677" s="27"/>
    </row>
    <row r="678" spans="1:11" x14ac:dyDescent="0.25">
      <c r="A678" s="77"/>
      <c r="B678" s="69"/>
      <c r="C678" s="71"/>
      <c r="E678" s="22"/>
      <c r="F678" s="22"/>
      <c r="G678" s="31"/>
      <c r="J678" s="23"/>
      <c r="K678" s="27"/>
    </row>
    <row r="679" spans="1:11" x14ac:dyDescent="0.25">
      <c r="A679" s="77"/>
      <c r="B679" s="69"/>
      <c r="C679" s="71"/>
      <c r="E679" s="22"/>
      <c r="F679" s="22"/>
      <c r="G679" s="31"/>
      <c r="J679" s="23"/>
      <c r="K679" s="27"/>
    </row>
    <row r="680" spans="1:11" x14ac:dyDescent="0.25">
      <c r="A680" s="77"/>
      <c r="B680" s="69"/>
      <c r="C680" s="71"/>
      <c r="E680" s="22"/>
      <c r="F680" s="22"/>
      <c r="G680" s="31"/>
      <c r="J680" s="23"/>
      <c r="K680" s="27"/>
    </row>
    <row r="681" spans="1:11" x14ac:dyDescent="0.25">
      <c r="A681" s="77"/>
      <c r="B681" s="69"/>
      <c r="C681" s="71"/>
      <c r="E681" s="22"/>
      <c r="F681" s="22"/>
      <c r="G681" s="31"/>
      <c r="J681" s="23"/>
      <c r="K681" s="27"/>
    </row>
    <row r="682" spans="1:11" x14ac:dyDescent="0.25">
      <c r="A682" s="77"/>
      <c r="B682" s="69"/>
      <c r="C682" s="71"/>
      <c r="E682" s="22"/>
      <c r="F682" s="22"/>
      <c r="G682" s="31"/>
      <c r="J682" s="23"/>
      <c r="K682" s="27"/>
    </row>
    <row r="683" spans="1:11" x14ac:dyDescent="0.25">
      <c r="A683" s="77"/>
      <c r="B683" s="69"/>
      <c r="C683" s="71"/>
      <c r="E683" s="22"/>
      <c r="F683" s="22"/>
      <c r="G683" s="31"/>
      <c r="J683" s="23"/>
      <c r="K683" s="27"/>
    </row>
    <row r="684" spans="1:11" x14ac:dyDescent="0.25">
      <c r="A684" s="77"/>
      <c r="B684" s="69"/>
      <c r="C684" s="71"/>
      <c r="E684" s="22"/>
      <c r="F684" s="22"/>
      <c r="G684" s="31"/>
      <c r="J684" s="23"/>
      <c r="K684" s="27"/>
    </row>
    <row r="685" spans="1:11" x14ac:dyDescent="0.25">
      <c r="A685" s="77"/>
      <c r="B685" s="69"/>
      <c r="C685" s="71"/>
      <c r="E685" s="22"/>
      <c r="F685" s="22"/>
      <c r="G685" s="31"/>
      <c r="J685" s="23"/>
      <c r="K685" s="27"/>
    </row>
    <row r="686" spans="1:11" x14ac:dyDescent="0.25">
      <c r="A686" s="77"/>
      <c r="B686" s="69"/>
      <c r="C686" s="71"/>
      <c r="E686" s="22"/>
      <c r="F686" s="22"/>
      <c r="G686" s="31"/>
      <c r="J686" s="23"/>
      <c r="K686" s="27"/>
    </row>
    <row r="687" spans="1:11" x14ac:dyDescent="0.25">
      <c r="A687" s="77"/>
      <c r="B687" s="69"/>
      <c r="C687" s="71"/>
      <c r="E687" s="22"/>
      <c r="F687" s="22"/>
      <c r="G687" s="31"/>
      <c r="J687" s="23"/>
      <c r="K687" s="27"/>
    </row>
    <row r="688" spans="1:11" x14ac:dyDescent="0.25">
      <c r="A688" s="77"/>
      <c r="B688" s="69"/>
      <c r="C688" s="71"/>
      <c r="E688" s="22"/>
      <c r="F688" s="22"/>
      <c r="G688" s="31"/>
      <c r="J688" s="23"/>
      <c r="K688" s="27"/>
    </row>
    <row r="689" spans="1:11" x14ac:dyDescent="0.25">
      <c r="A689" s="77"/>
      <c r="B689" s="69"/>
      <c r="C689" s="71"/>
      <c r="E689" s="22"/>
      <c r="F689" s="22"/>
      <c r="G689" s="31"/>
      <c r="J689" s="23"/>
      <c r="K689" s="27"/>
    </row>
    <row r="690" spans="1:11" x14ac:dyDescent="0.25">
      <c r="A690" s="77"/>
      <c r="B690" s="69"/>
      <c r="C690" s="71"/>
      <c r="E690" s="22"/>
      <c r="F690" s="22"/>
      <c r="G690" s="31"/>
      <c r="J690" s="23"/>
      <c r="K690" s="27"/>
    </row>
    <row r="691" spans="1:11" x14ac:dyDescent="0.25">
      <c r="A691" s="77"/>
      <c r="B691" s="69"/>
      <c r="C691" s="71"/>
      <c r="E691" s="22"/>
      <c r="F691" s="22"/>
      <c r="G691" s="31"/>
      <c r="J691" s="23"/>
      <c r="K691" s="27"/>
    </row>
    <row r="692" spans="1:11" x14ac:dyDescent="0.25">
      <c r="A692" s="77"/>
      <c r="B692" s="69"/>
      <c r="C692" s="71"/>
      <c r="E692" s="22"/>
      <c r="F692" s="22"/>
      <c r="G692" s="31"/>
      <c r="J692" s="23"/>
      <c r="K692" s="27"/>
    </row>
    <row r="693" spans="1:11" x14ac:dyDescent="0.25">
      <c r="A693" s="77"/>
      <c r="B693" s="69"/>
      <c r="C693" s="71"/>
      <c r="E693" s="22"/>
      <c r="F693" s="22"/>
      <c r="G693" s="31"/>
      <c r="J693" s="23"/>
      <c r="K693" s="27"/>
    </row>
    <row r="694" spans="1:11" x14ac:dyDescent="0.25">
      <c r="A694" s="77"/>
      <c r="B694" s="69"/>
      <c r="C694" s="71"/>
      <c r="E694" s="22"/>
      <c r="F694" s="22"/>
      <c r="G694" s="31"/>
      <c r="J694" s="23"/>
      <c r="K694" s="27"/>
    </row>
    <row r="695" spans="1:11" x14ac:dyDescent="0.25">
      <c r="A695" s="77"/>
      <c r="B695" s="69"/>
      <c r="C695" s="71"/>
      <c r="E695" s="22"/>
      <c r="F695" s="22"/>
      <c r="G695" s="31"/>
      <c r="J695" s="23"/>
      <c r="K695" s="27"/>
    </row>
    <row r="696" spans="1:11" x14ac:dyDescent="0.25">
      <c r="A696" s="77"/>
      <c r="B696" s="69"/>
      <c r="C696" s="71"/>
      <c r="E696" s="22"/>
      <c r="F696" s="22"/>
      <c r="G696" s="31"/>
      <c r="J696" s="23"/>
      <c r="K696" s="27"/>
    </row>
    <row r="697" spans="1:11" x14ac:dyDescent="0.25">
      <c r="A697" s="77"/>
      <c r="B697" s="69"/>
      <c r="C697" s="71"/>
      <c r="E697" s="22"/>
      <c r="F697" s="22"/>
      <c r="G697" s="31"/>
      <c r="J697" s="23"/>
      <c r="K697" s="27"/>
    </row>
    <row r="698" spans="1:11" x14ac:dyDescent="0.25">
      <c r="A698" s="77"/>
      <c r="B698" s="69"/>
      <c r="C698" s="71"/>
      <c r="E698" s="22"/>
      <c r="F698" s="22"/>
      <c r="G698" s="31"/>
      <c r="J698" s="23"/>
      <c r="K698" s="27"/>
    </row>
    <row r="699" spans="1:11" x14ac:dyDescent="0.25">
      <c r="A699" s="77"/>
      <c r="B699" s="69"/>
      <c r="C699" s="71"/>
      <c r="E699" s="22"/>
      <c r="F699" s="22"/>
      <c r="G699" s="31"/>
      <c r="J699" s="23"/>
      <c r="K699" s="27"/>
    </row>
    <row r="700" spans="1:11" x14ac:dyDescent="0.25">
      <c r="A700" s="77"/>
      <c r="B700" s="69"/>
      <c r="C700" s="71"/>
      <c r="E700" s="22"/>
      <c r="F700" s="22"/>
      <c r="G700" s="31"/>
      <c r="J700" s="23"/>
      <c r="K700" s="27"/>
    </row>
    <row r="701" spans="1:11" x14ac:dyDescent="0.25">
      <c r="A701" s="77"/>
      <c r="B701" s="69"/>
      <c r="C701" s="71"/>
      <c r="E701" s="22"/>
      <c r="F701" s="22"/>
      <c r="G701" s="31"/>
      <c r="J701" s="23"/>
      <c r="K701" s="27"/>
    </row>
    <row r="702" spans="1:11" x14ac:dyDescent="0.25">
      <c r="A702" s="77"/>
      <c r="B702" s="69"/>
      <c r="C702" s="71"/>
      <c r="E702" s="22"/>
      <c r="F702" s="22"/>
      <c r="G702" s="31"/>
      <c r="J702" s="23"/>
      <c r="K702" s="27"/>
    </row>
    <row r="703" spans="1:11" x14ac:dyDescent="0.25">
      <c r="A703" s="77"/>
      <c r="B703" s="69"/>
      <c r="C703" s="71"/>
      <c r="E703" s="22"/>
      <c r="F703" s="22"/>
      <c r="G703" s="31"/>
      <c r="J703" s="23"/>
      <c r="K703" s="27"/>
    </row>
    <row r="704" spans="1:11" x14ac:dyDescent="0.25">
      <c r="A704" s="77"/>
      <c r="B704" s="69"/>
      <c r="C704" s="71"/>
      <c r="E704" s="22"/>
      <c r="F704" s="22"/>
      <c r="G704" s="31"/>
      <c r="J704" s="23"/>
      <c r="K704" s="27"/>
    </row>
    <row r="705" spans="1:11" x14ac:dyDescent="0.25">
      <c r="A705" s="77"/>
      <c r="B705" s="69"/>
      <c r="C705" s="71"/>
      <c r="E705" s="22"/>
      <c r="F705" s="22"/>
      <c r="G705" s="31"/>
      <c r="J705" s="23"/>
      <c r="K705" s="27"/>
    </row>
    <row r="706" spans="1:11" x14ac:dyDescent="0.25">
      <c r="A706" s="77"/>
      <c r="B706" s="69"/>
      <c r="C706" s="71"/>
      <c r="E706" s="22"/>
      <c r="F706" s="22"/>
      <c r="G706" s="31"/>
      <c r="J706" s="23"/>
      <c r="K706" s="27"/>
    </row>
    <row r="707" spans="1:11" x14ac:dyDescent="0.25">
      <c r="A707" s="77"/>
      <c r="B707" s="69"/>
      <c r="C707" s="71"/>
      <c r="E707" s="22"/>
      <c r="F707" s="22"/>
      <c r="G707" s="31"/>
      <c r="J707" s="23"/>
      <c r="K707" s="27"/>
    </row>
    <row r="708" spans="1:11" x14ac:dyDescent="0.25">
      <c r="A708" s="77"/>
      <c r="B708" s="69"/>
      <c r="C708" s="71"/>
      <c r="E708" s="22"/>
      <c r="F708" s="22"/>
      <c r="G708" s="31"/>
      <c r="J708" s="23"/>
      <c r="K708" s="27"/>
    </row>
    <row r="709" spans="1:11" x14ac:dyDescent="0.25">
      <c r="A709" s="77"/>
      <c r="B709" s="69"/>
      <c r="C709" s="71"/>
      <c r="E709" s="22"/>
      <c r="F709" s="22"/>
      <c r="G709" s="31"/>
      <c r="J709" s="23"/>
      <c r="K709" s="27"/>
    </row>
    <row r="710" spans="1:11" x14ac:dyDescent="0.25">
      <c r="A710" s="77"/>
      <c r="B710" s="69"/>
      <c r="C710" s="71"/>
      <c r="E710" s="22"/>
      <c r="F710" s="22"/>
      <c r="G710" s="31"/>
      <c r="J710" s="23"/>
      <c r="K710" s="27"/>
    </row>
    <row r="711" spans="1:11" x14ac:dyDescent="0.25">
      <c r="A711" s="77"/>
      <c r="B711" s="69"/>
      <c r="C711" s="71"/>
      <c r="E711" s="22"/>
      <c r="F711" s="22"/>
      <c r="G711" s="31"/>
      <c r="J711" s="23"/>
      <c r="K711" s="27"/>
    </row>
    <row r="712" spans="1:11" x14ac:dyDescent="0.25">
      <c r="A712" s="77"/>
      <c r="B712" s="69"/>
      <c r="C712" s="71"/>
      <c r="E712" s="22"/>
      <c r="F712" s="22"/>
      <c r="G712" s="31"/>
      <c r="J712" s="23"/>
      <c r="K712" s="27"/>
    </row>
    <row r="713" spans="1:11" x14ac:dyDescent="0.25">
      <c r="A713" s="77"/>
      <c r="B713" s="69"/>
      <c r="C713" s="71"/>
      <c r="E713" s="22"/>
      <c r="F713" s="22"/>
      <c r="G713" s="31"/>
      <c r="J713" s="23"/>
      <c r="K713" s="27"/>
    </row>
    <row r="714" spans="1:11" x14ac:dyDescent="0.25">
      <c r="A714" s="77"/>
      <c r="B714" s="69"/>
      <c r="C714" s="71"/>
      <c r="E714" s="22"/>
      <c r="F714" s="22"/>
      <c r="G714" s="31"/>
      <c r="J714" s="23"/>
      <c r="K714" s="27"/>
    </row>
    <row r="715" spans="1:11" x14ac:dyDescent="0.25">
      <c r="A715" s="77"/>
      <c r="B715" s="69"/>
      <c r="C715" s="71"/>
      <c r="E715" s="22"/>
      <c r="F715" s="22"/>
      <c r="G715" s="31"/>
      <c r="J715" s="23"/>
      <c r="K715" s="27"/>
    </row>
    <row r="716" spans="1:11" x14ac:dyDescent="0.25">
      <c r="A716" s="77"/>
      <c r="B716" s="69"/>
      <c r="C716" s="71"/>
      <c r="E716" s="22"/>
      <c r="F716" s="22"/>
      <c r="G716" s="31"/>
      <c r="J716" s="23"/>
      <c r="K716" s="27"/>
    </row>
    <row r="717" spans="1:11" x14ac:dyDescent="0.25">
      <c r="A717" s="77"/>
      <c r="B717" s="69"/>
      <c r="C717" s="71"/>
      <c r="E717" s="22"/>
      <c r="F717" s="22"/>
      <c r="G717" s="31"/>
      <c r="J717" s="23"/>
      <c r="K717" s="27"/>
    </row>
    <row r="718" spans="1:11" x14ac:dyDescent="0.25">
      <c r="A718" s="77"/>
      <c r="B718" s="69"/>
      <c r="C718" s="71"/>
      <c r="E718" s="22"/>
      <c r="F718" s="22"/>
      <c r="G718" s="31"/>
      <c r="J718" s="23"/>
      <c r="K718" s="27"/>
    </row>
    <row r="719" spans="1:11" x14ac:dyDescent="0.25">
      <c r="A719" s="77"/>
      <c r="B719" s="69"/>
      <c r="C719" s="71"/>
      <c r="E719" s="22"/>
      <c r="F719" s="22"/>
      <c r="G719" s="31"/>
      <c r="J719" s="23"/>
      <c r="K719" s="27"/>
    </row>
    <row r="720" spans="1:11" x14ac:dyDescent="0.25">
      <c r="A720" s="77"/>
      <c r="B720" s="69"/>
      <c r="C720" s="71"/>
      <c r="E720" s="22"/>
      <c r="F720" s="22"/>
      <c r="G720" s="31"/>
      <c r="J720" s="23"/>
      <c r="K720" s="27"/>
    </row>
    <row r="721" spans="1:11" x14ac:dyDescent="0.25">
      <c r="A721" s="77"/>
      <c r="B721" s="69"/>
      <c r="C721" s="71"/>
      <c r="E721" s="22"/>
      <c r="F721" s="22"/>
      <c r="G721" s="31"/>
      <c r="J721" s="23"/>
      <c r="K721" s="27"/>
    </row>
    <row r="722" spans="1:11" x14ac:dyDescent="0.25">
      <c r="A722" s="77"/>
      <c r="B722" s="69"/>
      <c r="C722" s="71"/>
      <c r="E722" s="22"/>
      <c r="F722" s="22"/>
      <c r="G722" s="31"/>
      <c r="J722" s="23"/>
      <c r="K722" s="27"/>
    </row>
    <row r="723" spans="1:11" x14ac:dyDescent="0.25">
      <c r="A723" s="77"/>
      <c r="B723" s="69"/>
      <c r="C723" s="71"/>
      <c r="E723" s="22"/>
      <c r="F723" s="22"/>
      <c r="G723" s="31"/>
      <c r="J723" s="23"/>
      <c r="K723" s="27"/>
    </row>
    <row r="724" spans="1:11" x14ac:dyDescent="0.25">
      <c r="A724" s="77"/>
      <c r="B724" s="69"/>
      <c r="C724" s="71"/>
      <c r="E724" s="22"/>
      <c r="F724" s="22"/>
      <c r="G724" s="31"/>
      <c r="J724" s="23"/>
      <c r="K724" s="27"/>
    </row>
    <row r="725" spans="1:11" x14ac:dyDescent="0.25">
      <c r="A725" s="77"/>
      <c r="B725" s="69"/>
      <c r="C725" s="71"/>
      <c r="E725" s="22"/>
      <c r="F725" s="22"/>
      <c r="G725" s="31"/>
      <c r="J725" s="23"/>
      <c r="K725" s="27"/>
    </row>
    <row r="726" spans="1:11" x14ac:dyDescent="0.25">
      <c r="A726" s="77"/>
      <c r="B726" s="69"/>
      <c r="C726" s="71"/>
      <c r="E726" s="22"/>
      <c r="F726" s="22"/>
      <c r="G726" s="31"/>
      <c r="J726" s="23"/>
      <c r="K726" s="27"/>
    </row>
    <row r="727" spans="1:11" x14ac:dyDescent="0.25">
      <c r="A727" s="77"/>
      <c r="B727" s="69"/>
      <c r="C727" s="71"/>
      <c r="E727" s="22"/>
      <c r="F727" s="22"/>
      <c r="G727" s="31"/>
      <c r="J727" s="23"/>
      <c r="K727" s="27"/>
    </row>
    <row r="728" spans="1:11" x14ac:dyDescent="0.25">
      <c r="A728" s="77"/>
      <c r="B728" s="69"/>
      <c r="C728" s="71"/>
      <c r="E728" s="22"/>
      <c r="F728" s="22"/>
      <c r="G728" s="31"/>
      <c r="J728" s="23"/>
      <c r="K728" s="27"/>
    </row>
    <row r="729" spans="1:11" x14ac:dyDescent="0.25">
      <c r="A729" s="77"/>
      <c r="B729" s="69"/>
      <c r="C729" s="71"/>
      <c r="E729" s="22"/>
      <c r="F729" s="22"/>
      <c r="G729" s="31"/>
      <c r="J729" s="23"/>
      <c r="K729" s="27"/>
    </row>
    <row r="730" spans="1:11" x14ac:dyDescent="0.25">
      <c r="A730" s="77"/>
      <c r="B730" s="69"/>
      <c r="C730" s="71"/>
      <c r="E730" s="22"/>
      <c r="F730" s="22"/>
      <c r="G730" s="31"/>
      <c r="J730" s="23"/>
      <c r="K730" s="27"/>
    </row>
    <row r="731" spans="1:11" x14ac:dyDescent="0.25">
      <c r="A731" s="77"/>
      <c r="B731" s="69"/>
      <c r="C731" s="71"/>
      <c r="E731" s="22"/>
      <c r="F731" s="22"/>
      <c r="G731" s="31"/>
      <c r="J731" s="23"/>
      <c r="K731" s="27"/>
    </row>
    <row r="732" spans="1:11" x14ac:dyDescent="0.25">
      <c r="A732" s="77"/>
      <c r="B732" s="69"/>
      <c r="C732" s="71"/>
      <c r="E732" s="22"/>
      <c r="F732" s="22"/>
      <c r="G732" s="31"/>
      <c r="J732" s="23"/>
      <c r="K732" s="27"/>
    </row>
    <row r="733" spans="1:11" x14ac:dyDescent="0.25">
      <c r="A733" s="77"/>
      <c r="B733" s="69"/>
      <c r="C733" s="71"/>
      <c r="E733" s="22"/>
      <c r="F733" s="22"/>
      <c r="G733" s="31"/>
      <c r="J733" s="23"/>
      <c r="K733" s="27"/>
    </row>
    <row r="734" spans="1:11" x14ac:dyDescent="0.25">
      <c r="A734" s="77"/>
      <c r="B734" s="69"/>
      <c r="C734" s="71"/>
      <c r="E734" s="22"/>
      <c r="F734" s="22"/>
      <c r="G734" s="31"/>
      <c r="J734" s="23"/>
      <c r="K734" s="27"/>
    </row>
    <row r="735" spans="1:11" x14ac:dyDescent="0.25">
      <c r="A735" s="77"/>
      <c r="B735" s="69"/>
      <c r="C735" s="71"/>
      <c r="E735" s="22"/>
      <c r="F735" s="22"/>
      <c r="G735" s="31"/>
      <c r="J735" s="23"/>
      <c r="K735" s="27"/>
    </row>
    <row r="736" spans="1:11" x14ac:dyDescent="0.25">
      <c r="A736" s="77"/>
      <c r="B736" s="69"/>
      <c r="C736" s="71"/>
      <c r="E736" s="22"/>
      <c r="F736" s="22"/>
      <c r="G736" s="31"/>
      <c r="J736" s="23"/>
      <c r="K736" s="27"/>
    </row>
    <row r="737" spans="1:11" x14ac:dyDescent="0.25">
      <c r="A737" s="77"/>
      <c r="B737" s="69"/>
      <c r="C737" s="71"/>
      <c r="E737" s="22"/>
      <c r="F737" s="22"/>
      <c r="G737" s="31"/>
      <c r="J737" s="23"/>
      <c r="K737" s="27"/>
    </row>
    <row r="738" spans="1:11" x14ac:dyDescent="0.25">
      <c r="A738" s="77"/>
      <c r="B738" s="69"/>
      <c r="C738" s="71"/>
      <c r="E738" s="22"/>
      <c r="F738" s="22"/>
      <c r="G738" s="31"/>
      <c r="J738" s="23"/>
      <c r="K738" s="27"/>
    </row>
    <row r="739" spans="1:11" x14ac:dyDescent="0.25">
      <c r="A739" s="77"/>
      <c r="B739" s="69"/>
      <c r="C739" s="71"/>
      <c r="E739" s="22"/>
      <c r="F739" s="22"/>
      <c r="G739" s="31"/>
      <c r="J739" s="23"/>
      <c r="K739" s="27"/>
    </row>
    <row r="740" spans="1:11" x14ac:dyDescent="0.25">
      <c r="A740" s="77"/>
      <c r="B740" s="69"/>
      <c r="C740" s="71"/>
      <c r="E740" s="22"/>
      <c r="F740" s="22"/>
      <c r="G740" s="31"/>
      <c r="J740" s="23"/>
      <c r="K740" s="27"/>
    </row>
    <row r="741" spans="1:11" x14ac:dyDescent="0.25">
      <c r="A741" s="77"/>
      <c r="B741" s="69"/>
      <c r="C741" s="71"/>
      <c r="E741" s="22"/>
      <c r="F741" s="22"/>
      <c r="G741" s="31"/>
      <c r="J741" s="23"/>
      <c r="K741" s="27"/>
    </row>
    <row r="742" spans="1:11" x14ac:dyDescent="0.25">
      <c r="A742" s="77"/>
      <c r="B742" s="69"/>
      <c r="C742" s="71"/>
      <c r="E742" s="22"/>
      <c r="F742" s="22"/>
      <c r="G742" s="31"/>
      <c r="J742" s="23"/>
      <c r="K742" s="27"/>
    </row>
    <row r="743" spans="1:11" x14ac:dyDescent="0.25">
      <c r="A743" s="77"/>
      <c r="B743" s="69"/>
      <c r="C743" s="71"/>
      <c r="E743" s="22"/>
      <c r="F743" s="22"/>
      <c r="G743" s="31"/>
      <c r="J743" s="23"/>
      <c r="K743" s="27"/>
    </row>
    <row r="744" spans="1:11" x14ac:dyDescent="0.25">
      <c r="A744" s="77"/>
      <c r="B744" s="69"/>
      <c r="C744" s="71"/>
      <c r="E744" s="22"/>
      <c r="F744" s="22"/>
      <c r="G744" s="31"/>
      <c r="J744" s="23"/>
      <c r="K744" s="27"/>
    </row>
    <row r="745" spans="1:11" x14ac:dyDescent="0.25">
      <c r="A745" s="77"/>
      <c r="B745" s="69"/>
      <c r="C745" s="71"/>
      <c r="E745" s="22"/>
      <c r="F745" s="22"/>
      <c r="G745" s="31"/>
      <c r="J745" s="23"/>
      <c r="K745" s="27"/>
    </row>
    <row r="746" spans="1:11" x14ac:dyDescent="0.25">
      <c r="A746" s="77"/>
      <c r="B746" s="69"/>
      <c r="C746" s="71"/>
      <c r="E746" s="22"/>
      <c r="F746" s="22"/>
      <c r="G746" s="31"/>
      <c r="J746" s="23"/>
      <c r="K746" s="27"/>
    </row>
    <row r="747" spans="1:11" x14ac:dyDescent="0.25">
      <c r="A747" s="77"/>
      <c r="B747" s="69"/>
      <c r="C747" s="71"/>
      <c r="E747" s="22"/>
      <c r="F747" s="22"/>
      <c r="G747" s="31"/>
      <c r="J747" s="23"/>
      <c r="K747" s="27"/>
    </row>
    <row r="748" spans="1:11" x14ac:dyDescent="0.25">
      <c r="A748" s="77"/>
      <c r="B748" s="69"/>
      <c r="C748" s="71"/>
      <c r="E748" s="22"/>
      <c r="F748" s="22"/>
      <c r="G748" s="31"/>
      <c r="J748" s="23"/>
      <c r="K748" s="27"/>
    </row>
    <row r="749" spans="1:11" x14ac:dyDescent="0.25">
      <c r="A749" s="77"/>
      <c r="B749" s="69"/>
      <c r="C749" s="71"/>
      <c r="E749" s="22"/>
      <c r="F749" s="22"/>
      <c r="G749" s="31"/>
      <c r="J749" s="23"/>
      <c r="K749" s="27"/>
    </row>
    <row r="750" spans="1:11" x14ac:dyDescent="0.25">
      <c r="A750" s="77"/>
      <c r="B750" s="69"/>
      <c r="C750" s="71"/>
      <c r="E750" s="22"/>
      <c r="F750" s="22"/>
      <c r="G750" s="31"/>
      <c r="J750" s="23"/>
      <c r="K750" s="27"/>
    </row>
    <row r="751" spans="1:11" x14ac:dyDescent="0.25">
      <c r="A751" s="77"/>
      <c r="B751" s="69"/>
      <c r="C751" s="71"/>
      <c r="E751" s="22"/>
      <c r="F751" s="22"/>
      <c r="G751" s="31"/>
      <c r="J751" s="23"/>
      <c r="K751" s="27"/>
    </row>
    <row r="752" spans="1:11" x14ac:dyDescent="0.25">
      <c r="A752" s="77"/>
      <c r="B752" s="69"/>
      <c r="C752" s="71"/>
      <c r="E752" s="22"/>
      <c r="F752" s="22"/>
      <c r="G752" s="31"/>
      <c r="J752" s="23"/>
      <c r="K752" s="27"/>
    </row>
    <row r="753" spans="1:11" x14ac:dyDescent="0.25">
      <c r="A753" s="77"/>
      <c r="B753" s="69"/>
      <c r="C753" s="71"/>
      <c r="E753" s="22"/>
      <c r="F753" s="22"/>
      <c r="G753" s="31"/>
      <c r="J753" s="23"/>
      <c r="K753" s="27"/>
    </row>
    <row r="754" spans="1:11" x14ac:dyDescent="0.25">
      <c r="A754" s="77"/>
      <c r="B754" s="69"/>
      <c r="C754" s="71"/>
      <c r="E754" s="22"/>
      <c r="F754" s="22"/>
      <c r="G754" s="31"/>
      <c r="J754" s="23"/>
      <c r="K754" s="27"/>
    </row>
    <row r="755" spans="1:11" x14ac:dyDescent="0.25">
      <c r="A755" s="77"/>
      <c r="B755" s="69"/>
      <c r="C755" s="71"/>
      <c r="E755" s="22"/>
      <c r="F755" s="22"/>
      <c r="G755" s="31"/>
      <c r="J755" s="23"/>
      <c r="K755" s="27"/>
    </row>
    <row r="756" spans="1:11" x14ac:dyDescent="0.25">
      <c r="A756" s="77"/>
      <c r="B756" s="69"/>
      <c r="C756" s="71"/>
      <c r="E756" s="22"/>
      <c r="F756" s="22"/>
      <c r="G756" s="31"/>
      <c r="J756" s="23"/>
      <c r="K756" s="27"/>
    </row>
    <row r="757" spans="1:11" x14ac:dyDescent="0.25">
      <c r="A757" s="77"/>
      <c r="B757" s="69"/>
      <c r="C757" s="71"/>
      <c r="E757" s="22"/>
      <c r="F757" s="22"/>
      <c r="G757" s="31"/>
      <c r="J757" s="23"/>
      <c r="K757" s="27"/>
    </row>
    <row r="758" spans="1:11" x14ac:dyDescent="0.25">
      <c r="A758" s="77"/>
      <c r="B758" s="69"/>
      <c r="C758" s="71"/>
      <c r="E758" s="22"/>
      <c r="F758" s="22"/>
      <c r="G758" s="31"/>
      <c r="J758" s="23"/>
      <c r="K758" s="27"/>
    </row>
    <row r="759" spans="1:11" x14ac:dyDescent="0.25">
      <c r="A759" s="77"/>
      <c r="B759" s="69"/>
      <c r="C759" s="71"/>
      <c r="E759" s="22"/>
      <c r="F759" s="22"/>
      <c r="G759" s="31"/>
      <c r="J759" s="23"/>
      <c r="K759" s="27"/>
    </row>
    <row r="760" spans="1:11" x14ac:dyDescent="0.25">
      <c r="A760" s="77"/>
      <c r="B760" s="69"/>
      <c r="C760" s="71"/>
      <c r="E760" s="22"/>
      <c r="F760" s="22"/>
      <c r="G760" s="31"/>
      <c r="J760" s="23"/>
      <c r="K760" s="27"/>
    </row>
    <row r="761" spans="1:11" x14ac:dyDescent="0.25">
      <c r="A761" s="77"/>
      <c r="B761" s="69"/>
      <c r="C761" s="71"/>
      <c r="E761" s="22"/>
      <c r="F761" s="22"/>
      <c r="G761" s="31"/>
      <c r="J761" s="23"/>
      <c r="K761" s="27"/>
    </row>
    <row r="762" spans="1:11" x14ac:dyDescent="0.25">
      <c r="A762" s="77"/>
      <c r="B762" s="69"/>
      <c r="C762" s="71"/>
      <c r="E762" s="22"/>
      <c r="F762" s="22"/>
      <c r="G762" s="31"/>
      <c r="J762" s="23"/>
      <c r="K762" s="27"/>
    </row>
    <row r="763" spans="1:11" x14ac:dyDescent="0.25">
      <c r="A763" s="77"/>
      <c r="B763" s="69"/>
      <c r="C763" s="71"/>
      <c r="E763" s="22"/>
      <c r="F763" s="22"/>
      <c r="G763" s="31"/>
      <c r="J763" s="23"/>
      <c r="K763" s="27"/>
    </row>
    <row r="764" spans="1:11" x14ac:dyDescent="0.25">
      <c r="A764" s="77"/>
      <c r="B764" s="69"/>
      <c r="C764" s="71"/>
      <c r="E764" s="22"/>
      <c r="F764" s="22"/>
      <c r="G764" s="31"/>
      <c r="J764" s="23"/>
      <c r="K764" s="27"/>
    </row>
    <row r="765" spans="1:11" x14ac:dyDescent="0.25">
      <c r="A765" s="77"/>
      <c r="B765" s="69"/>
      <c r="C765" s="71"/>
      <c r="E765" s="22"/>
      <c r="F765" s="22"/>
      <c r="G765" s="31"/>
      <c r="J765" s="23"/>
      <c r="K765" s="27"/>
    </row>
    <row r="766" spans="1:11" x14ac:dyDescent="0.25">
      <c r="A766" s="77"/>
      <c r="B766" s="69"/>
      <c r="C766" s="71"/>
      <c r="E766" s="22"/>
      <c r="F766" s="22"/>
      <c r="G766" s="31"/>
      <c r="J766" s="23"/>
      <c r="K766" s="27"/>
    </row>
    <row r="767" spans="1:11" x14ac:dyDescent="0.25">
      <c r="A767" s="77"/>
      <c r="B767" s="69"/>
      <c r="C767" s="71"/>
      <c r="E767" s="22"/>
      <c r="F767" s="22"/>
      <c r="G767" s="31"/>
      <c r="J767" s="23"/>
      <c r="K767" s="27"/>
    </row>
    <row r="768" spans="1:11" x14ac:dyDescent="0.25">
      <c r="A768" s="77"/>
      <c r="B768" s="69"/>
      <c r="C768" s="71"/>
      <c r="E768" s="22"/>
      <c r="F768" s="22"/>
      <c r="G768" s="31"/>
      <c r="J768" s="23"/>
      <c r="K768" s="27"/>
    </row>
    <row r="769" spans="1:11" x14ac:dyDescent="0.25">
      <c r="A769" s="77"/>
      <c r="B769" s="69"/>
      <c r="C769" s="71"/>
      <c r="E769" s="22"/>
      <c r="F769" s="22"/>
      <c r="G769" s="31"/>
      <c r="J769" s="23"/>
      <c r="K769" s="27"/>
    </row>
    <row r="770" spans="1:11" x14ac:dyDescent="0.25">
      <c r="A770" s="77"/>
      <c r="B770" s="69"/>
      <c r="C770" s="71"/>
      <c r="E770" s="22"/>
      <c r="F770" s="22"/>
      <c r="G770" s="31"/>
      <c r="J770" s="23"/>
      <c r="K770" s="27"/>
    </row>
    <row r="771" spans="1:11" x14ac:dyDescent="0.25">
      <c r="A771" s="77"/>
      <c r="B771" s="69"/>
      <c r="C771" s="71"/>
      <c r="E771" s="22"/>
      <c r="F771" s="22"/>
      <c r="G771" s="31"/>
      <c r="J771" s="23"/>
      <c r="K771" s="27"/>
    </row>
    <row r="772" spans="1:11" x14ac:dyDescent="0.25">
      <c r="A772" s="77"/>
      <c r="B772" s="69"/>
      <c r="C772" s="71"/>
      <c r="E772" s="22"/>
      <c r="F772" s="22"/>
      <c r="G772" s="31"/>
      <c r="J772" s="23"/>
      <c r="K772" s="27"/>
    </row>
    <row r="773" spans="1:11" x14ac:dyDescent="0.25">
      <c r="A773" s="77"/>
      <c r="B773" s="69"/>
      <c r="C773" s="71"/>
      <c r="E773" s="22"/>
      <c r="F773" s="22"/>
      <c r="G773" s="31"/>
      <c r="J773" s="23"/>
      <c r="K773" s="27"/>
    </row>
    <row r="774" spans="1:11" x14ac:dyDescent="0.25">
      <c r="A774" s="77"/>
      <c r="B774" s="69"/>
      <c r="C774" s="71"/>
      <c r="E774" s="22"/>
      <c r="F774" s="22"/>
      <c r="G774" s="31"/>
      <c r="J774" s="23"/>
      <c r="K774" s="27"/>
    </row>
    <row r="775" spans="1:11" x14ac:dyDescent="0.25">
      <c r="A775" s="77"/>
      <c r="B775" s="69"/>
      <c r="C775" s="71"/>
      <c r="E775" s="22"/>
      <c r="F775" s="22"/>
      <c r="G775" s="31"/>
      <c r="J775" s="23"/>
      <c r="K775" s="27"/>
    </row>
    <row r="776" spans="1:11" x14ac:dyDescent="0.25">
      <c r="A776" s="77"/>
      <c r="B776" s="69"/>
      <c r="C776" s="71"/>
      <c r="E776" s="22"/>
      <c r="F776" s="22"/>
      <c r="G776" s="31"/>
      <c r="J776" s="23"/>
      <c r="K776" s="27"/>
    </row>
    <row r="777" spans="1:11" x14ac:dyDescent="0.25">
      <c r="A777" s="77"/>
      <c r="B777" s="69"/>
      <c r="C777" s="71"/>
      <c r="E777" s="22"/>
      <c r="F777" s="22"/>
      <c r="G777" s="31"/>
      <c r="J777" s="23"/>
      <c r="K777" s="27"/>
    </row>
    <row r="778" spans="1:11" x14ac:dyDescent="0.25">
      <c r="A778" s="77"/>
      <c r="B778" s="69"/>
      <c r="C778" s="71"/>
      <c r="E778" s="22"/>
      <c r="F778" s="22"/>
      <c r="G778" s="31"/>
      <c r="J778" s="23"/>
      <c r="K778" s="27"/>
    </row>
    <row r="779" spans="1:11" x14ac:dyDescent="0.25">
      <c r="A779" s="77"/>
      <c r="B779" s="69"/>
      <c r="C779" s="71"/>
      <c r="E779" s="22"/>
      <c r="F779" s="22"/>
      <c r="G779" s="31"/>
      <c r="J779" s="23"/>
      <c r="K779" s="27"/>
    </row>
    <row r="780" spans="1:11" x14ac:dyDescent="0.25">
      <c r="A780" s="77"/>
      <c r="B780" s="69"/>
      <c r="C780" s="71"/>
      <c r="E780" s="22"/>
      <c r="F780" s="22"/>
      <c r="G780" s="31"/>
      <c r="J780" s="23"/>
      <c r="K780" s="27"/>
    </row>
    <row r="781" spans="1:11" x14ac:dyDescent="0.25">
      <c r="A781" s="77"/>
      <c r="B781" s="69"/>
      <c r="C781" s="71"/>
      <c r="E781" s="22"/>
      <c r="F781" s="22"/>
      <c r="G781" s="31"/>
      <c r="J781" s="23"/>
      <c r="K781" s="27"/>
    </row>
    <row r="782" spans="1:11" x14ac:dyDescent="0.25">
      <c r="A782" s="77"/>
      <c r="B782" s="69"/>
      <c r="C782" s="71"/>
      <c r="E782" s="22"/>
      <c r="F782" s="22"/>
      <c r="G782" s="31"/>
      <c r="J782" s="23"/>
      <c r="K782" s="27"/>
    </row>
    <row r="783" spans="1:11" x14ac:dyDescent="0.25">
      <c r="A783" s="77"/>
      <c r="B783" s="69"/>
      <c r="C783" s="71"/>
      <c r="E783" s="22"/>
      <c r="F783" s="22"/>
      <c r="G783" s="31"/>
      <c r="J783" s="23"/>
      <c r="K783" s="27"/>
    </row>
    <row r="784" spans="1:11" x14ac:dyDescent="0.25">
      <c r="A784" s="77"/>
      <c r="B784" s="69"/>
      <c r="C784" s="71"/>
      <c r="E784" s="22"/>
      <c r="F784" s="22"/>
      <c r="G784" s="31"/>
      <c r="J784" s="23"/>
      <c r="K784" s="27"/>
    </row>
    <row r="785" spans="1:11" x14ac:dyDescent="0.25">
      <c r="A785" s="77"/>
      <c r="B785" s="69"/>
      <c r="C785" s="71"/>
      <c r="E785" s="22"/>
      <c r="F785" s="22"/>
      <c r="G785" s="31"/>
      <c r="J785" s="23"/>
      <c r="K785" s="27"/>
    </row>
    <row r="786" spans="1:11" x14ac:dyDescent="0.25">
      <c r="A786" s="77"/>
      <c r="B786" s="69"/>
      <c r="C786" s="71"/>
      <c r="E786" s="22"/>
      <c r="F786" s="22"/>
      <c r="G786" s="31"/>
      <c r="J786" s="23"/>
      <c r="K786" s="27"/>
    </row>
    <row r="787" spans="1:11" x14ac:dyDescent="0.25">
      <c r="A787" s="77"/>
      <c r="B787" s="69"/>
      <c r="C787" s="71"/>
      <c r="E787" s="22"/>
      <c r="F787" s="22"/>
      <c r="G787" s="31"/>
      <c r="J787" s="23"/>
      <c r="K787" s="27"/>
    </row>
    <row r="788" spans="1:11" x14ac:dyDescent="0.25">
      <c r="A788" s="77"/>
      <c r="B788" s="69"/>
      <c r="C788" s="71"/>
      <c r="E788" s="22"/>
      <c r="F788" s="22"/>
      <c r="G788" s="31"/>
      <c r="J788" s="23"/>
      <c r="K788" s="27"/>
    </row>
    <row r="789" spans="1:11" x14ac:dyDescent="0.25">
      <c r="A789" s="77"/>
      <c r="B789" s="69"/>
      <c r="C789" s="71"/>
      <c r="E789" s="22"/>
      <c r="F789" s="22"/>
      <c r="G789" s="31"/>
      <c r="J789" s="23"/>
      <c r="K789" s="27"/>
    </row>
    <row r="790" spans="1:11" x14ac:dyDescent="0.25">
      <c r="A790" s="77"/>
      <c r="B790" s="69"/>
      <c r="C790" s="71"/>
      <c r="E790" s="22"/>
      <c r="F790" s="22"/>
      <c r="G790" s="31"/>
      <c r="J790" s="23"/>
      <c r="K790" s="27"/>
    </row>
    <row r="791" spans="1:11" x14ac:dyDescent="0.25">
      <c r="A791" s="77"/>
      <c r="B791" s="69"/>
      <c r="C791" s="71"/>
      <c r="E791" s="22"/>
      <c r="F791" s="22"/>
      <c r="G791" s="31"/>
      <c r="J791" s="23"/>
      <c r="K791" s="27"/>
    </row>
    <row r="792" spans="1:11" x14ac:dyDescent="0.25">
      <c r="A792" s="77"/>
      <c r="B792" s="69"/>
      <c r="C792" s="71"/>
      <c r="E792" s="22"/>
      <c r="F792" s="22"/>
      <c r="G792" s="31"/>
      <c r="J792" s="23"/>
      <c r="K792" s="27"/>
    </row>
    <row r="793" spans="1:11" x14ac:dyDescent="0.25">
      <c r="A793" s="77"/>
      <c r="B793" s="69"/>
      <c r="C793" s="71"/>
      <c r="E793" s="22"/>
      <c r="F793" s="22"/>
      <c r="G793" s="31"/>
      <c r="J793" s="23"/>
      <c r="K793" s="27"/>
    </row>
    <row r="794" spans="1:11" x14ac:dyDescent="0.25">
      <c r="A794" s="77"/>
      <c r="B794" s="69"/>
      <c r="C794" s="71"/>
      <c r="E794" s="22"/>
      <c r="F794" s="22"/>
      <c r="G794" s="31"/>
      <c r="J794" s="23"/>
      <c r="K794" s="27"/>
    </row>
    <row r="795" spans="1:11" x14ac:dyDescent="0.25">
      <c r="A795" s="77"/>
      <c r="B795" s="69"/>
      <c r="C795" s="71"/>
      <c r="E795" s="22"/>
      <c r="F795" s="22"/>
      <c r="G795" s="31"/>
      <c r="J795" s="23"/>
      <c r="K795" s="27"/>
    </row>
    <row r="796" spans="1:11" x14ac:dyDescent="0.25">
      <c r="A796" s="77"/>
      <c r="B796" s="69"/>
      <c r="C796" s="71"/>
      <c r="E796" s="22"/>
      <c r="F796" s="22"/>
      <c r="G796" s="31"/>
      <c r="J796" s="23"/>
      <c r="K796" s="27"/>
    </row>
    <row r="797" spans="1:11" x14ac:dyDescent="0.25">
      <c r="A797" s="77"/>
      <c r="B797" s="69"/>
      <c r="C797" s="71"/>
      <c r="E797" s="22"/>
      <c r="F797" s="22"/>
      <c r="G797" s="31"/>
      <c r="J797" s="23"/>
      <c r="K797" s="27"/>
    </row>
    <row r="798" spans="1:11" x14ac:dyDescent="0.25">
      <c r="A798" s="77"/>
      <c r="B798" s="69"/>
      <c r="C798" s="71"/>
      <c r="E798" s="22"/>
      <c r="F798" s="22"/>
      <c r="G798" s="31"/>
      <c r="J798" s="23"/>
      <c r="K798" s="27"/>
    </row>
    <row r="799" spans="1:11" x14ac:dyDescent="0.25">
      <c r="A799" s="77"/>
      <c r="B799" s="69"/>
      <c r="C799" s="71"/>
      <c r="E799" s="22"/>
      <c r="F799" s="22"/>
      <c r="G799" s="31"/>
      <c r="J799" s="23"/>
      <c r="K799" s="27"/>
    </row>
    <row r="800" spans="1:11" x14ac:dyDescent="0.25">
      <c r="A800" s="77"/>
      <c r="B800" s="69"/>
      <c r="C800" s="71"/>
      <c r="E800" s="22"/>
      <c r="F800" s="22"/>
      <c r="G800" s="31"/>
      <c r="J800" s="23"/>
      <c r="K800" s="27"/>
    </row>
    <row r="801" spans="1:11" x14ac:dyDescent="0.25">
      <c r="A801" s="77"/>
      <c r="B801" s="69"/>
      <c r="C801" s="71"/>
      <c r="E801" s="22"/>
      <c r="F801" s="22"/>
      <c r="G801" s="31"/>
      <c r="J801" s="23"/>
      <c r="K801" s="27"/>
    </row>
    <row r="802" spans="1:11" x14ac:dyDescent="0.25">
      <c r="A802" s="77"/>
      <c r="B802" s="69"/>
      <c r="C802" s="71"/>
      <c r="E802" s="22"/>
      <c r="F802" s="22"/>
      <c r="G802" s="31"/>
      <c r="J802" s="23"/>
      <c r="K802" s="27"/>
    </row>
    <row r="803" spans="1:11" x14ac:dyDescent="0.25">
      <c r="A803" s="77"/>
      <c r="B803" s="69"/>
      <c r="C803" s="71"/>
      <c r="E803" s="22"/>
      <c r="F803" s="22"/>
      <c r="G803" s="31"/>
      <c r="J803" s="23"/>
      <c r="K803" s="27"/>
    </row>
    <row r="804" spans="1:11" x14ac:dyDescent="0.25">
      <c r="A804" s="77"/>
      <c r="B804" s="69"/>
      <c r="C804" s="71"/>
      <c r="E804" s="22"/>
      <c r="F804" s="22"/>
      <c r="G804" s="31"/>
      <c r="J804" s="23"/>
      <c r="K804" s="27"/>
    </row>
    <row r="805" spans="1:11" x14ac:dyDescent="0.25">
      <c r="A805" s="77"/>
      <c r="B805" s="69"/>
      <c r="C805" s="71"/>
      <c r="E805" s="22"/>
      <c r="F805" s="22"/>
      <c r="G805" s="31"/>
      <c r="J805" s="23"/>
      <c r="K805" s="27"/>
    </row>
    <row r="806" spans="1:11" x14ac:dyDescent="0.25">
      <c r="A806" s="77"/>
      <c r="B806" s="69"/>
      <c r="C806" s="71"/>
      <c r="E806" s="22"/>
      <c r="F806" s="22"/>
      <c r="G806" s="31"/>
      <c r="J806" s="23"/>
      <c r="K806" s="27"/>
    </row>
    <row r="807" spans="1:11" x14ac:dyDescent="0.25">
      <c r="A807" s="77"/>
      <c r="B807" s="69"/>
      <c r="C807" s="71"/>
      <c r="E807" s="22"/>
      <c r="F807" s="22"/>
      <c r="G807" s="31"/>
      <c r="J807" s="23"/>
      <c r="K807" s="27"/>
    </row>
    <row r="808" spans="1:11" x14ac:dyDescent="0.25">
      <c r="A808" s="77"/>
      <c r="B808" s="69"/>
      <c r="C808" s="71"/>
      <c r="E808" s="22"/>
      <c r="F808" s="22"/>
      <c r="G808" s="31"/>
      <c r="J808" s="23"/>
      <c r="K808" s="27"/>
    </row>
    <row r="809" spans="1:11" x14ac:dyDescent="0.25">
      <c r="A809" s="77"/>
      <c r="B809" s="69"/>
      <c r="C809" s="71"/>
      <c r="E809" s="22"/>
      <c r="F809" s="22"/>
      <c r="G809" s="31"/>
      <c r="J809" s="23"/>
      <c r="K809" s="27"/>
    </row>
    <row r="810" spans="1:11" x14ac:dyDescent="0.25">
      <c r="A810" s="77"/>
      <c r="B810" s="69"/>
      <c r="C810" s="71"/>
      <c r="E810" s="22"/>
      <c r="F810" s="22"/>
      <c r="G810" s="31"/>
      <c r="J810" s="23"/>
      <c r="K810" s="27"/>
    </row>
    <row r="811" spans="1:11" x14ac:dyDescent="0.25">
      <c r="A811" s="77"/>
      <c r="B811" s="69"/>
      <c r="C811" s="71"/>
      <c r="E811" s="22"/>
      <c r="F811" s="22"/>
      <c r="G811" s="31"/>
      <c r="J811" s="23"/>
      <c r="K811" s="27"/>
    </row>
    <row r="812" spans="1:11" x14ac:dyDescent="0.25">
      <c r="A812" s="77"/>
      <c r="B812" s="69"/>
      <c r="C812" s="71"/>
      <c r="E812" s="22"/>
      <c r="F812" s="22"/>
      <c r="G812" s="31"/>
      <c r="J812" s="23"/>
      <c r="K812" s="27"/>
    </row>
    <row r="813" spans="1:11" x14ac:dyDescent="0.25">
      <c r="A813" s="77"/>
      <c r="B813" s="69"/>
      <c r="C813" s="71"/>
      <c r="E813" s="22"/>
      <c r="F813" s="22"/>
      <c r="G813" s="31"/>
      <c r="J813" s="23"/>
      <c r="K813" s="27"/>
    </row>
    <row r="814" spans="1:11" x14ac:dyDescent="0.25">
      <c r="A814" s="77"/>
      <c r="B814" s="69"/>
      <c r="C814" s="71"/>
      <c r="E814" s="22"/>
      <c r="F814" s="22"/>
      <c r="G814" s="31"/>
      <c r="J814" s="23"/>
      <c r="K814" s="27"/>
    </row>
    <row r="815" spans="1:11" x14ac:dyDescent="0.25">
      <c r="A815" s="77"/>
      <c r="B815" s="69"/>
      <c r="C815" s="71"/>
      <c r="E815" s="22"/>
      <c r="F815" s="22"/>
      <c r="G815" s="31"/>
      <c r="J815" s="23"/>
      <c r="K815" s="27"/>
    </row>
    <row r="816" spans="1:11" x14ac:dyDescent="0.25">
      <c r="A816" s="77"/>
      <c r="B816" s="69"/>
      <c r="C816" s="71"/>
      <c r="E816" s="22"/>
      <c r="F816" s="22"/>
      <c r="G816" s="31"/>
      <c r="J816" s="23"/>
      <c r="K816" s="27"/>
    </row>
    <row r="817" spans="1:11" x14ac:dyDescent="0.25">
      <c r="A817" s="77"/>
      <c r="B817" s="69"/>
      <c r="C817" s="71"/>
      <c r="E817" s="22"/>
      <c r="F817" s="22"/>
      <c r="G817" s="31"/>
      <c r="J817" s="23"/>
      <c r="K817" s="27"/>
    </row>
    <row r="818" spans="1:11" x14ac:dyDescent="0.25">
      <c r="A818" s="77"/>
      <c r="B818" s="69"/>
      <c r="C818" s="71"/>
      <c r="E818" s="22"/>
      <c r="F818" s="22"/>
      <c r="G818" s="31"/>
      <c r="J818" s="23"/>
      <c r="K818" s="27"/>
    </row>
    <row r="819" spans="1:11" x14ac:dyDescent="0.25">
      <c r="A819" s="77"/>
      <c r="B819" s="69"/>
      <c r="C819" s="71"/>
      <c r="E819" s="22"/>
      <c r="F819" s="22"/>
      <c r="G819" s="31"/>
      <c r="J819" s="23"/>
      <c r="K819" s="27"/>
    </row>
    <row r="820" spans="1:11" x14ac:dyDescent="0.25">
      <c r="A820" s="77"/>
      <c r="B820" s="69"/>
      <c r="C820" s="71"/>
      <c r="E820" s="22"/>
      <c r="F820" s="22"/>
      <c r="G820" s="31"/>
      <c r="J820" s="23"/>
      <c r="K820" s="27"/>
    </row>
    <row r="821" spans="1:11" x14ac:dyDescent="0.25">
      <c r="A821" s="77"/>
      <c r="B821" s="69"/>
      <c r="C821" s="71"/>
      <c r="E821" s="22"/>
      <c r="F821" s="22"/>
      <c r="G821" s="31"/>
      <c r="J821" s="23"/>
      <c r="K821" s="27"/>
    </row>
    <row r="822" spans="1:11" x14ac:dyDescent="0.25">
      <c r="A822" s="77"/>
      <c r="B822" s="69"/>
      <c r="C822" s="71"/>
      <c r="E822" s="22"/>
      <c r="F822" s="22"/>
      <c r="G822" s="31"/>
      <c r="J822" s="23"/>
      <c r="K822" s="27"/>
    </row>
    <row r="823" spans="1:11" x14ac:dyDescent="0.25">
      <c r="A823" s="77"/>
      <c r="B823" s="69"/>
      <c r="C823" s="71"/>
      <c r="E823" s="22"/>
      <c r="F823" s="22"/>
      <c r="G823" s="31"/>
      <c r="J823" s="23"/>
      <c r="K823" s="27"/>
    </row>
    <row r="824" spans="1:11" x14ac:dyDescent="0.25">
      <c r="A824" s="77"/>
      <c r="B824" s="69"/>
      <c r="C824" s="71"/>
      <c r="E824" s="22"/>
      <c r="F824" s="22"/>
      <c r="G824" s="31"/>
      <c r="J824" s="23"/>
      <c r="K824" s="27"/>
    </row>
    <row r="825" spans="1:11" x14ac:dyDescent="0.25">
      <c r="A825" s="77"/>
      <c r="B825" s="69"/>
      <c r="C825" s="71"/>
      <c r="E825" s="22"/>
      <c r="F825" s="22"/>
      <c r="G825" s="31"/>
      <c r="J825" s="23"/>
      <c r="K825" s="27"/>
    </row>
    <row r="826" spans="1:11" x14ac:dyDescent="0.25">
      <c r="A826" s="77"/>
      <c r="B826" s="69"/>
      <c r="C826" s="71"/>
      <c r="E826" s="22"/>
      <c r="F826" s="22"/>
      <c r="G826" s="31"/>
      <c r="J826" s="23"/>
      <c r="K826" s="27"/>
    </row>
    <row r="827" spans="1:11" x14ac:dyDescent="0.25">
      <c r="A827" s="77"/>
      <c r="B827" s="69"/>
      <c r="C827" s="71"/>
      <c r="E827" s="22"/>
      <c r="F827" s="22"/>
      <c r="G827" s="31"/>
      <c r="J827" s="23"/>
      <c r="K827" s="27"/>
    </row>
    <row r="828" spans="1:11" x14ac:dyDescent="0.25">
      <c r="A828" s="77"/>
      <c r="B828" s="69"/>
      <c r="C828" s="71"/>
      <c r="E828" s="22"/>
      <c r="F828" s="22"/>
      <c r="G828" s="31"/>
      <c r="J828" s="23"/>
      <c r="K828" s="27"/>
    </row>
    <row r="829" spans="1:11" x14ac:dyDescent="0.25">
      <c r="A829" s="77"/>
      <c r="B829" s="69"/>
      <c r="C829" s="71"/>
      <c r="E829" s="22"/>
      <c r="F829" s="22"/>
      <c r="G829" s="31"/>
      <c r="J829" s="23"/>
      <c r="K829" s="27"/>
    </row>
    <row r="830" spans="1:11" x14ac:dyDescent="0.25">
      <c r="A830" s="77"/>
      <c r="B830" s="69"/>
      <c r="C830" s="71"/>
      <c r="E830" s="22"/>
      <c r="F830" s="22"/>
      <c r="G830" s="31"/>
      <c r="J830" s="23"/>
      <c r="K830" s="27"/>
    </row>
    <row r="831" spans="1:11" x14ac:dyDescent="0.25">
      <c r="A831" s="77"/>
      <c r="B831" s="69"/>
      <c r="C831" s="71"/>
      <c r="E831" s="22"/>
      <c r="F831" s="22"/>
      <c r="G831" s="31"/>
      <c r="J831" s="23"/>
      <c r="K831" s="27"/>
    </row>
    <row r="832" spans="1:11" x14ac:dyDescent="0.25">
      <c r="A832" s="77"/>
      <c r="B832" s="69"/>
      <c r="C832" s="71"/>
      <c r="E832" s="22"/>
      <c r="F832" s="22"/>
      <c r="G832" s="31"/>
      <c r="J832" s="23"/>
      <c r="K832" s="27"/>
    </row>
    <row r="833" spans="1:11" x14ac:dyDescent="0.25">
      <c r="A833" s="77"/>
      <c r="B833" s="69"/>
      <c r="C833" s="71"/>
      <c r="E833" s="22"/>
      <c r="F833" s="22"/>
      <c r="G833" s="31"/>
      <c r="J833" s="23"/>
      <c r="K833" s="27"/>
    </row>
    <row r="834" spans="1:11" x14ac:dyDescent="0.25">
      <c r="A834" s="77"/>
      <c r="B834" s="69"/>
      <c r="C834" s="71"/>
      <c r="E834" s="22"/>
      <c r="F834" s="22"/>
      <c r="G834" s="31"/>
      <c r="J834" s="23"/>
      <c r="K834" s="27"/>
    </row>
    <row r="835" spans="1:11" x14ac:dyDescent="0.25">
      <c r="A835" s="77"/>
      <c r="B835" s="69"/>
      <c r="C835" s="71"/>
      <c r="E835" s="22"/>
      <c r="F835" s="22"/>
      <c r="G835" s="31"/>
      <c r="J835" s="23"/>
      <c r="K835" s="27"/>
    </row>
    <row r="836" spans="1:11" x14ac:dyDescent="0.25">
      <c r="A836" s="77"/>
      <c r="B836" s="69"/>
      <c r="C836" s="71"/>
      <c r="E836" s="22"/>
      <c r="F836" s="22"/>
      <c r="G836" s="31"/>
      <c r="J836" s="23"/>
      <c r="K836" s="27"/>
    </row>
    <row r="837" spans="1:11" x14ac:dyDescent="0.25">
      <c r="A837" s="77"/>
      <c r="B837" s="69"/>
      <c r="C837" s="71"/>
      <c r="E837" s="22"/>
      <c r="F837" s="22"/>
      <c r="G837" s="31"/>
      <c r="J837" s="23"/>
      <c r="K837" s="27"/>
    </row>
    <row r="838" spans="1:11" x14ac:dyDescent="0.25">
      <c r="A838" s="77"/>
      <c r="B838" s="69"/>
      <c r="C838" s="71"/>
      <c r="E838" s="22"/>
      <c r="F838" s="22"/>
      <c r="G838" s="31"/>
      <c r="J838" s="23"/>
      <c r="K838" s="27"/>
    </row>
    <row r="839" spans="1:11" x14ac:dyDescent="0.25">
      <c r="A839" s="77"/>
      <c r="B839" s="69"/>
      <c r="C839" s="71"/>
      <c r="E839" s="22"/>
      <c r="F839" s="22"/>
      <c r="G839" s="31"/>
      <c r="J839" s="23"/>
      <c r="K839" s="27"/>
    </row>
    <row r="840" spans="1:11" x14ac:dyDescent="0.25">
      <c r="A840" s="77"/>
      <c r="B840" s="69"/>
      <c r="C840" s="71"/>
      <c r="E840" s="22"/>
      <c r="F840" s="22"/>
      <c r="G840" s="31"/>
      <c r="J840" s="23"/>
      <c r="K840" s="27"/>
    </row>
    <row r="841" spans="1:11" x14ac:dyDescent="0.25">
      <c r="A841" s="77"/>
      <c r="B841" s="69"/>
      <c r="C841" s="71"/>
      <c r="E841" s="22"/>
      <c r="F841" s="22"/>
      <c r="G841" s="31"/>
      <c r="J841" s="23"/>
      <c r="K841" s="27"/>
    </row>
    <row r="842" spans="1:11" x14ac:dyDescent="0.25">
      <c r="A842" s="77"/>
      <c r="B842" s="69"/>
      <c r="C842" s="71"/>
      <c r="E842" s="22"/>
      <c r="F842" s="22"/>
      <c r="G842" s="31"/>
      <c r="J842" s="23"/>
      <c r="K842" s="27"/>
    </row>
    <row r="843" spans="1:11" x14ac:dyDescent="0.25">
      <c r="A843" s="77"/>
      <c r="B843" s="69"/>
      <c r="C843" s="71"/>
      <c r="E843" s="22"/>
      <c r="F843" s="22"/>
      <c r="G843" s="31"/>
      <c r="J843" s="23"/>
      <c r="K843" s="27"/>
    </row>
    <row r="844" spans="1:11" x14ac:dyDescent="0.25">
      <c r="A844" s="77"/>
      <c r="B844" s="69"/>
      <c r="C844" s="71"/>
      <c r="E844" s="22"/>
      <c r="F844" s="22"/>
      <c r="G844" s="31"/>
      <c r="J844" s="23"/>
      <c r="K844" s="27"/>
    </row>
    <row r="845" spans="1:11" x14ac:dyDescent="0.25">
      <c r="A845" s="77"/>
      <c r="B845" s="69"/>
      <c r="C845" s="71"/>
      <c r="E845" s="22"/>
      <c r="F845" s="22"/>
      <c r="G845" s="31"/>
      <c r="J845" s="23"/>
      <c r="K845" s="27"/>
    </row>
    <row r="846" spans="1:11" x14ac:dyDescent="0.25">
      <c r="A846" s="77"/>
      <c r="B846" s="69"/>
      <c r="C846" s="71"/>
      <c r="E846" s="22"/>
      <c r="F846" s="22"/>
      <c r="G846" s="31"/>
      <c r="J846" s="23"/>
      <c r="K846" s="27"/>
    </row>
    <row r="847" spans="1:11" x14ac:dyDescent="0.25">
      <c r="A847" s="77"/>
      <c r="B847" s="69"/>
      <c r="C847" s="71"/>
      <c r="E847" s="22"/>
      <c r="F847" s="22"/>
      <c r="G847" s="31"/>
      <c r="J847" s="23"/>
      <c r="K847" s="27"/>
    </row>
    <row r="848" spans="1:11" x14ac:dyDescent="0.25">
      <c r="A848" s="77"/>
      <c r="B848" s="69"/>
      <c r="C848" s="71"/>
      <c r="E848" s="22"/>
      <c r="F848" s="22"/>
      <c r="G848" s="31"/>
      <c r="J848" s="23"/>
      <c r="K848" s="27"/>
    </row>
    <row r="849" spans="1:11" x14ac:dyDescent="0.25">
      <c r="A849" s="77"/>
      <c r="B849" s="69"/>
      <c r="C849" s="71"/>
      <c r="E849" s="22"/>
      <c r="F849" s="22"/>
      <c r="G849" s="31"/>
      <c r="J849" s="23"/>
      <c r="K849" s="27"/>
    </row>
    <row r="850" spans="1:11" x14ac:dyDescent="0.25">
      <c r="A850" s="77"/>
      <c r="B850" s="69"/>
      <c r="C850" s="71"/>
      <c r="E850" s="22"/>
      <c r="F850" s="22"/>
      <c r="G850" s="31"/>
      <c r="J850" s="23"/>
      <c r="K850" s="27"/>
    </row>
    <row r="851" spans="1:11" x14ac:dyDescent="0.25">
      <c r="A851" s="77"/>
      <c r="B851" s="69"/>
      <c r="C851" s="71"/>
      <c r="E851" s="22"/>
      <c r="F851" s="22"/>
      <c r="G851" s="31"/>
      <c r="J851" s="23"/>
      <c r="K851" s="27"/>
    </row>
    <row r="852" spans="1:11" x14ac:dyDescent="0.25">
      <c r="A852" s="77"/>
      <c r="B852" s="69"/>
      <c r="C852" s="71"/>
      <c r="E852" s="22"/>
      <c r="F852" s="22"/>
      <c r="G852" s="31"/>
      <c r="J852" s="23"/>
      <c r="K852" s="27"/>
    </row>
    <row r="853" spans="1:11" x14ac:dyDescent="0.25">
      <c r="A853" s="77"/>
      <c r="B853" s="69"/>
      <c r="C853" s="71"/>
      <c r="E853" s="22"/>
      <c r="F853" s="22"/>
      <c r="G853" s="31"/>
      <c r="J853" s="23"/>
      <c r="K853" s="27"/>
    </row>
    <row r="854" spans="1:11" x14ac:dyDescent="0.25">
      <c r="A854" s="77"/>
      <c r="B854" s="69"/>
      <c r="C854" s="71"/>
      <c r="E854" s="22"/>
      <c r="F854" s="22"/>
      <c r="G854" s="31"/>
      <c r="J854" s="23"/>
      <c r="K854" s="27"/>
    </row>
    <row r="855" spans="1:11" x14ac:dyDescent="0.25">
      <c r="A855" s="77"/>
      <c r="B855" s="69"/>
      <c r="C855" s="71"/>
      <c r="E855" s="22"/>
      <c r="F855" s="22"/>
      <c r="G855" s="31"/>
      <c r="J855" s="23"/>
      <c r="K855" s="27"/>
    </row>
    <row r="856" spans="1:11" x14ac:dyDescent="0.25">
      <c r="A856" s="77"/>
      <c r="B856" s="69"/>
      <c r="C856" s="71"/>
      <c r="E856" s="22"/>
      <c r="F856" s="22"/>
      <c r="G856" s="31"/>
      <c r="J856" s="23"/>
      <c r="K856" s="27"/>
    </row>
    <row r="857" spans="1:11" x14ac:dyDescent="0.25">
      <c r="A857" s="77"/>
      <c r="B857" s="69"/>
      <c r="C857" s="71"/>
      <c r="E857" s="22"/>
      <c r="F857" s="22"/>
      <c r="G857" s="31"/>
      <c r="J857" s="23"/>
      <c r="K857" s="27"/>
    </row>
    <row r="858" spans="1:11" x14ac:dyDescent="0.25">
      <c r="A858" s="77"/>
      <c r="B858" s="69"/>
      <c r="C858" s="71"/>
      <c r="E858" s="22"/>
      <c r="F858" s="22"/>
      <c r="G858" s="31"/>
      <c r="J858" s="23"/>
      <c r="K858" s="27"/>
    </row>
    <row r="859" spans="1:11" x14ac:dyDescent="0.25">
      <c r="A859" s="77"/>
      <c r="B859" s="69"/>
      <c r="C859" s="71"/>
      <c r="E859" s="22"/>
      <c r="F859" s="22"/>
      <c r="G859" s="31"/>
      <c r="J859" s="23"/>
      <c r="K859" s="27"/>
    </row>
    <row r="860" spans="1:11" x14ac:dyDescent="0.25">
      <c r="A860" s="77"/>
      <c r="B860" s="69"/>
      <c r="C860" s="71"/>
      <c r="E860" s="22"/>
      <c r="F860" s="22"/>
      <c r="G860" s="31"/>
      <c r="J860" s="23"/>
      <c r="K860" s="27"/>
    </row>
    <row r="861" spans="1:11" x14ac:dyDescent="0.25">
      <c r="A861" s="77"/>
      <c r="B861" s="69"/>
      <c r="C861" s="71"/>
      <c r="E861" s="22"/>
      <c r="F861" s="22"/>
      <c r="G861" s="31"/>
      <c r="J861" s="23"/>
      <c r="K861" s="27"/>
    </row>
    <row r="862" spans="1:11" x14ac:dyDescent="0.25">
      <c r="A862" s="77"/>
      <c r="B862" s="69"/>
      <c r="C862" s="71"/>
      <c r="E862" s="22"/>
      <c r="F862" s="22"/>
      <c r="G862" s="31"/>
      <c r="J862" s="23"/>
      <c r="K862" s="27"/>
    </row>
    <row r="863" spans="1:11" x14ac:dyDescent="0.25">
      <c r="A863" s="77"/>
      <c r="B863" s="69"/>
      <c r="C863" s="71"/>
      <c r="E863" s="22"/>
      <c r="F863" s="22"/>
      <c r="G863" s="31"/>
      <c r="J863" s="23"/>
      <c r="K863" s="27"/>
    </row>
    <row r="864" spans="1:11" x14ac:dyDescent="0.25">
      <c r="A864" s="77"/>
      <c r="B864" s="69"/>
      <c r="C864" s="71"/>
      <c r="E864" s="22"/>
      <c r="F864" s="22"/>
      <c r="G864" s="31"/>
      <c r="J864" s="23"/>
      <c r="K864" s="27"/>
    </row>
    <row r="865" spans="1:11" x14ac:dyDescent="0.25">
      <c r="A865" s="77"/>
      <c r="B865" s="69"/>
      <c r="C865" s="71"/>
      <c r="E865" s="22"/>
      <c r="F865" s="22"/>
      <c r="G865" s="31"/>
      <c r="J865" s="23"/>
      <c r="K865" s="27"/>
    </row>
    <row r="866" spans="1:11" x14ac:dyDescent="0.25">
      <c r="A866" s="77"/>
      <c r="B866" s="69"/>
      <c r="C866" s="71"/>
      <c r="E866" s="22"/>
      <c r="F866" s="22"/>
      <c r="G866" s="31"/>
      <c r="J866" s="23"/>
      <c r="K866" s="27"/>
    </row>
    <row r="867" spans="1:11" x14ac:dyDescent="0.25">
      <c r="A867" s="77"/>
      <c r="B867" s="69"/>
      <c r="C867" s="71"/>
      <c r="E867" s="22"/>
      <c r="F867" s="22"/>
      <c r="G867" s="31"/>
      <c r="J867" s="23"/>
      <c r="K867" s="27"/>
    </row>
    <row r="868" spans="1:11" x14ac:dyDescent="0.25">
      <c r="A868" s="77"/>
      <c r="B868" s="69"/>
      <c r="C868" s="71"/>
      <c r="E868" s="22"/>
      <c r="F868" s="22"/>
      <c r="G868" s="31"/>
      <c r="J868" s="23"/>
      <c r="K868" s="27"/>
    </row>
    <row r="869" spans="1:11" x14ac:dyDescent="0.25">
      <c r="A869" s="77"/>
      <c r="B869" s="69"/>
      <c r="C869" s="71"/>
      <c r="E869" s="22"/>
      <c r="F869" s="22"/>
      <c r="G869" s="31"/>
      <c r="J869" s="23"/>
      <c r="K869" s="27"/>
    </row>
    <row r="870" spans="1:11" x14ac:dyDescent="0.25">
      <c r="A870" s="77"/>
      <c r="B870" s="69"/>
      <c r="C870" s="71"/>
      <c r="E870" s="22"/>
      <c r="F870" s="22"/>
      <c r="G870" s="31"/>
      <c r="J870" s="23"/>
      <c r="K870" s="27"/>
    </row>
    <row r="871" spans="1:11" x14ac:dyDescent="0.25">
      <c r="A871" s="77"/>
      <c r="B871" s="69"/>
      <c r="C871" s="71"/>
      <c r="E871" s="22"/>
      <c r="F871" s="22"/>
      <c r="G871" s="31"/>
      <c r="J871" s="23"/>
      <c r="K871" s="27"/>
    </row>
    <row r="872" spans="1:11" x14ac:dyDescent="0.25">
      <c r="A872" s="77"/>
      <c r="B872" s="69"/>
      <c r="C872" s="71"/>
      <c r="E872" s="22"/>
      <c r="F872" s="22"/>
      <c r="G872" s="31"/>
      <c r="J872" s="23"/>
      <c r="K872" s="27"/>
    </row>
    <row r="873" spans="1:11" x14ac:dyDescent="0.25">
      <c r="A873" s="77"/>
      <c r="B873" s="69"/>
      <c r="C873" s="71"/>
      <c r="E873" s="22"/>
      <c r="F873" s="22"/>
      <c r="G873" s="31"/>
      <c r="J873" s="23"/>
      <c r="K873" s="27"/>
    </row>
    <row r="874" spans="1:11" x14ac:dyDescent="0.25">
      <c r="A874" s="77"/>
      <c r="B874" s="69"/>
      <c r="C874" s="71"/>
      <c r="E874" s="22"/>
      <c r="F874" s="22"/>
      <c r="G874" s="31"/>
      <c r="J874" s="23"/>
      <c r="K874" s="27"/>
    </row>
    <row r="875" spans="1:11" x14ac:dyDescent="0.25">
      <c r="A875" s="77"/>
      <c r="B875" s="69"/>
      <c r="C875" s="71"/>
      <c r="E875" s="22"/>
      <c r="F875" s="22"/>
      <c r="G875" s="31"/>
      <c r="J875" s="23"/>
      <c r="K875" s="27"/>
    </row>
    <row r="876" spans="1:11" x14ac:dyDescent="0.25">
      <c r="A876" s="77"/>
      <c r="B876" s="69"/>
      <c r="C876" s="71"/>
      <c r="E876" s="22"/>
      <c r="F876" s="22"/>
      <c r="G876" s="31"/>
      <c r="J876" s="23"/>
      <c r="K876" s="27"/>
    </row>
    <row r="877" spans="1:11" x14ac:dyDescent="0.25">
      <c r="A877" s="77"/>
      <c r="B877" s="69"/>
      <c r="C877" s="71"/>
      <c r="E877" s="22"/>
      <c r="F877" s="22"/>
      <c r="G877" s="31"/>
      <c r="J877" s="23"/>
      <c r="K877" s="27"/>
    </row>
    <row r="878" spans="1:11" x14ac:dyDescent="0.25">
      <c r="A878" s="77"/>
      <c r="B878" s="69"/>
      <c r="C878" s="71"/>
      <c r="E878" s="22"/>
      <c r="F878" s="22"/>
      <c r="G878" s="31"/>
      <c r="J878" s="23"/>
      <c r="K878" s="27"/>
    </row>
    <row r="879" spans="1:11" x14ac:dyDescent="0.25">
      <c r="A879" s="77"/>
      <c r="B879" s="69"/>
      <c r="C879" s="71"/>
      <c r="E879" s="22"/>
      <c r="F879" s="22"/>
      <c r="G879" s="31"/>
      <c r="J879" s="23"/>
      <c r="K879" s="27"/>
    </row>
    <row r="880" spans="1:11" x14ac:dyDescent="0.25">
      <c r="A880" s="77"/>
      <c r="B880" s="69"/>
      <c r="C880" s="71"/>
      <c r="E880" s="22"/>
      <c r="F880" s="22"/>
      <c r="G880" s="31"/>
      <c r="J880" s="23"/>
      <c r="K880" s="27"/>
    </row>
    <row r="881" spans="1:11" x14ac:dyDescent="0.25">
      <c r="A881" s="77"/>
      <c r="B881" s="69"/>
      <c r="C881" s="71"/>
      <c r="E881" s="22"/>
      <c r="F881" s="22"/>
      <c r="G881" s="31"/>
      <c r="J881" s="23"/>
      <c r="K881" s="27"/>
    </row>
    <row r="882" spans="1:11" x14ac:dyDescent="0.25">
      <c r="A882" s="77"/>
      <c r="B882" s="69"/>
      <c r="C882" s="71"/>
      <c r="E882" s="22"/>
      <c r="F882" s="22"/>
      <c r="G882" s="31"/>
      <c r="J882" s="23"/>
      <c r="K882" s="27"/>
    </row>
    <row r="883" spans="1:11" x14ac:dyDescent="0.25">
      <c r="A883" s="77"/>
      <c r="B883" s="69"/>
      <c r="C883" s="71"/>
      <c r="E883" s="22"/>
      <c r="F883" s="22"/>
      <c r="G883" s="31"/>
      <c r="J883" s="23"/>
      <c r="K883" s="27"/>
    </row>
    <row r="884" spans="1:11" x14ac:dyDescent="0.25">
      <c r="A884" s="77"/>
      <c r="B884" s="69"/>
      <c r="C884" s="71"/>
      <c r="E884" s="22"/>
      <c r="F884" s="22"/>
      <c r="G884" s="31"/>
      <c r="J884" s="23"/>
      <c r="K884" s="27"/>
    </row>
    <row r="885" spans="1:11" x14ac:dyDescent="0.25">
      <c r="A885" s="77"/>
      <c r="B885" s="69"/>
      <c r="C885" s="71"/>
      <c r="E885" s="22"/>
      <c r="F885" s="22"/>
      <c r="G885" s="31"/>
      <c r="J885" s="23"/>
      <c r="K885" s="27"/>
    </row>
    <row r="886" spans="1:11" x14ac:dyDescent="0.25">
      <c r="A886" s="77"/>
      <c r="B886" s="69"/>
      <c r="C886" s="71"/>
      <c r="E886" s="22"/>
      <c r="F886" s="22"/>
      <c r="G886" s="31"/>
      <c r="J886" s="23"/>
      <c r="K886" s="27"/>
    </row>
    <row r="887" spans="1:11" x14ac:dyDescent="0.25">
      <c r="A887" s="77"/>
      <c r="B887" s="69"/>
      <c r="C887" s="71"/>
      <c r="E887" s="22"/>
      <c r="F887" s="22"/>
      <c r="G887" s="31"/>
      <c r="J887" s="23"/>
      <c r="K887" s="27"/>
    </row>
    <row r="888" spans="1:11" x14ac:dyDescent="0.25">
      <c r="A888" s="77"/>
      <c r="B888" s="69"/>
      <c r="C888" s="71"/>
      <c r="E888" s="22"/>
      <c r="F888" s="22"/>
      <c r="G888" s="31"/>
      <c r="J888" s="23"/>
      <c r="K888" s="27"/>
    </row>
    <row r="889" spans="1:11" x14ac:dyDescent="0.25">
      <c r="A889" s="77"/>
      <c r="B889" s="69"/>
      <c r="C889" s="71"/>
      <c r="E889" s="22"/>
      <c r="F889" s="22"/>
      <c r="G889" s="31"/>
      <c r="J889" s="23"/>
      <c r="K889" s="27"/>
    </row>
    <row r="890" spans="1:11" x14ac:dyDescent="0.25">
      <c r="A890" s="77"/>
      <c r="B890" s="69"/>
      <c r="C890" s="71"/>
      <c r="E890" s="22"/>
      <c r="F890" s="22"/>
      <c r="G890" s="31"/>
      <c r="J890" s="23"/>
      <c r="K890" s="27"/>
    </row>
    <row r="891" spans="1:11" x14ac:dyDescent="0.25">
      <c r="A891" s="77"/>
      <c r="B891" s="69"/>
      <c r="C891" s="71"/>
      <c r="E891" s="22"/>
      <c r="F891" s="22"/>
      <c r="G891" s="31"/>
      <c r="J891" s="23"/>
      <c r="K891" s="27"/>
    </row>
    <row r="892" spans="1:11" x14ac:dyDescent="0.25">
      <c r="A892" s="77"/>
      <c r="B892" s="69"/>
      <c r="C892" s="71"/>
      <c r="E892" s="22"/>
      <c r="F892" s="22"/>
      <c r="G892" s="31"/>
      <c r="J892" s="23"/>
      <c r="K892" s="27"/>
    </row>
    <row r="893" spans="1:11" x14ac:dyDescent="0.25">
      <c r="A893" s="77"/>
      <c r="B893" s="69"/>
      <c r="C893" s="71"/>
      <c r="E893" s="22"/>
      <c r="F893" s="22"/>
      <c r="G893" s="31"/>
      <c r="J893" s="23"/>
      <c r="K893" s="27"/>
    </row>
    <row r="894" spans="1:11" x14ac:dyDescent="0.25">
      <c r="A894" s="77"/>
      <c r="B894" s="69"/>
      <c r="C894" s="71"/>
      <c r="E894" s="22"/>
      <c r="F894" s="22"/>
      <c r="G894" s="31"/>
      <c r="J894" s="23"/>
      <c r="K894" s="27"/>
    </row>
    <row r="895" spans="1:11" x14ac:dyDescent="0.25">
      <c r="A895" s="77"/>
      <c r="B895" s="69"/>
      <c r="C895" s="71"/>
      <c r="E895" s="22"/>
      <c r="F895" s="22"/>
      <c r="G895" s="31"/>
      <c r="J895" s="23"/>
      <c r="K895" s="27"/>
    </row>
    <row r="896" spans="1:11" x14ac:dyDescent="0.25">
      <c r="A896" s="77"/>
      <c r="B896" s="69"/>
      <c r="C896" s="71"/>
      <c r="E896" s="22"/>
      <c r="F896" s="22"/>
      <c r="G896" s="31"/>
      <c r="J896" s="23"/>
      <c r="K896" s="27"/>
    </row>
    <row r="897" spans="1:11" x14ac:dyDescent="0.25">
      <c r="A897" s="77"/>
      <c r="B897" s="69"/>
      <c r="C897" s="71"/>
      <c r="E897" s="22"/>
      <c r="F897" s="22"/>
      <c r="G897" s="31"/>
      <c r="J897" s="23"/>
      <c r="K897" s="27"/>
    </row>
    <row r="898" spans="1:11" x14ac:dyDescent="0.25">
      <c r="A898" s="77"/>
      <c r="B898" s="69"/>
      <c r="C898" s="71"/>
      <c r="E898" s="22"/>
      <c r="F898" s="22"/>
      <c r="G898" s="31"/>
      <c r="J898" s="23"/>
      <c r="K898" s="27"/>
    </row>
    <row r="899" spans="1:11" x14ac:dyDescent="0.25">
      <c r="A899" s="77"/>
      <c r="B899" s="69"/>
      <c r="C899" s="71"/>
      <c r="E899" s="22"/>
      <c r="F899" s="22"/>
      <c r="G899" s="31"/>
      <c r="J899" s="23"/>
      <c r="K899" s="27"/>
    </row>
    <row r="900" spans="1:11" x14ac:dyDescent="0.25">
      <c r="A900" s="77"/>
      <c r="B900" s="69"/>
      <c r="C900" s="71"/>
      <c r="E900" s="22"/>
      <c r="F900" s="22"/>
      <c r="G900" s="31"/>
      <c r="J900" s="23"/>
      <c r="K900" s="27"/>
    </row>
    <row r="901" spans="1:11" x14ac:dyDescent="0.25">
      <c r="A901" s="77"/>
      <c r="B901" s="69"/>
      <c r="C901" s="71"/>
      <c r="E901" s="22"/>
      <c r="F901" s="22"/>
      <c r="G901" s="31"/>
      <c r="J901" s="23"/>
      <c r="K901" s="27"/>
    </row>
    <row r="902" spans="1:11" x14ac:dyDescent="0.25">
      <c r="A902" s="77"/>
      <c r="B902" s="69"/>
      <c r="C902" s="71"/>
      <c r="E902" s="22"/>
      <c r="F902" s="22"/>
      <c r="G902" s="31"/>
      <c r="J902" s="23"/>
      <c r="K902" s="27"/>
    </row>
    <row r="903" spans="1:11" x14ac:dyDescent="0.25">
      <c r="A903" s="77"/>
      <c r="B903" s="69"/>
      <c r="C903" s="71"/>
      <c r="E903" s="22"/>
      <c r="F903" s="22"/>
      <c r="G903" s="31"/>
      <c r="J903" s="23"/>
      <c r="K903" s="27"/>
    </row>
    <row r="904" spans="1:11" x14ac:dyDescent="0.25">
      <c r="A904" s="77"/>
      <c r="B904" s="69"/>
      <c r="C904" s="71"/>
      <c r="E904" s="22"/>
      <c r="F904" s="22"/>
      <c r="G904" s="31"/>
      <c r="J904" s="23"/>
      <c r="K904" s="27"/>
    </row>
    <row r="905" spans="1:11" x14ac:dyDescent="0.25">
      <c r="A905" s="77"/>
      <c r="B905" s="69"/>
      <c r="C905" s="71"/>
      <c r="E905" s="22"/>
      <c r="F905" s="22"/>
      <c r="G905" s="31"/>
      <c r="J905" s="23"/>
      <c r="K905" s="27"/>
    </row>
    <row r="906" spans="1:11" x14ac:dyDescent="0.25">
      <c r="A906" s="77"/>
      <c r="B906" s="69"/>
      <c r="C906" s="71"/>
      <c r="E906" s="22"/>
      <c r="F906" s="22"/>
      <c r="G906" s="31"/>
      <c r="J906" s="23"/>
      <c r="K906" s="27"/>
    </row>
    <row r="907" spans="1:11" x14ac:dyDescent="0.25">
      <c r="A907" s="77"/>
      <c r="B907" s="69"/>
      <c r="C907" s="71"/>
      <c r="E907" s="22"/>
      <c r="F907" s="22"/>
      <c r="G907" s="31"/>
      <c r="J907" s="23"/>
      <c r="K907" s="27"/>
    </row>
    <row r="908" spans="1:11" x14ac:dyDescent="0.25">
      <c r="A908" s="77"/>
      <c r="B908" s="69"/>
      <c r="C908" s="71"/>
      <c r="E908" s="22"/>
      <c r="F908" s="22"/>
      <c r="G908" s="31"/>
      <c r="J908" s="23"/>
      <c r="K908" s="27"/>
    </row>
    <row r="909" spans="1:11" x14ac:dyDescent="0.25">
      <c r="A909" s="77"/>
      <c r="B909" s="69"/>
      <c r="C909" s="71"/>
      <c r="E909" s="22"/>
      <c r="F909" s="22"/>
      <c r="G909" s="31"/>
      <c r="J909" s="23"/>
      <c r="K909" s="27"/>
    </row>
    <row r="910" spans="1:11" x14ac:dyDescent="0.25">
      <c r="A910" s="77"/>
      <c r="B910" s="69"/>
      <c r="C910" s="71"/>
      <c r="E910" s="22"/>
      <c r="F910" s="22"/>
      <c r="G910" s="31"/>
      <c r="J910" s="23"/>
      <c r="K910" s="27"/>
    </row>
    <row r="911" spans="1:11" x14ac:dyDescent="0.25">
      <c r="A911" s="77"/>
      <c r="B911" s="69"/>
      <c r="C911" s="71"/>
      <c r="E911" s="22"/>
      <c r="F911" s="22"/>
      <c r="G911" s="31"/>
      <c r="J911" s="23"/>
      <c r="K911" s="27"/>
    </row>
    <row r="912" spans="1:11" x14ac:dyDescent="0.25">
      <c r="A912" s="77"/>
      <c r="B912" s="69"/>
      <c r="C912" s="71"/>
      <c r="E912" s="22"/>
      <c r="F912" s="22"/>
      <c r="G912" s="31"/>
      <c r="J912" s="23"/>
      <c r="K912" s="27"/>
    </row>
    <row r="913" spans="1:11" x14ac:dyDescent="0.25">
      <c r="A913" s="77"/>
      <c r="B913" s="69"/>
      <c r="C913" s="71"/>
      <c r="E913" s="22"/>
      <c r="F913" s="22"/>
      <c r="G913" s="31"/>
      <c r="J913" s="23"/>
      <c r="K913" s="27"/>
    </row>
    <row r="914" spans="1:11" x14ac:dyDescent="0.25">
      <c r="A914" s="77"/>
      <c r="B914" s="69"/>
      <c r="C914" s="71"/>
      <c r="E914" s="22"/>
      <c r="F914" s="22"/>
      <c r="G914" s="31"/>
      <c r="J914" s="23"/>
      <c r="K914" s="27"/>
    </row>
    <row r="915" spans="1:11" x14ac:dyDescent="0.25">
      <c r="A915" s="77"/>
      <c r="B915" s="69"/>
      <c r="C915" s="71"/>
      <c r="E915" s="22"/>
      <c r="F915" s="22"/>
      <c r="G915" s="31"/>
      <c r="J915" s="23"/>
      <c r="K915" s="27"/>
    </row>
    <row r="916" spans="1:11" x14ac:dyDescent="0.25">
      <c r="A916" s="77"/>
      <c r="B916" s="69"/>
      <c r="C916" s="71"/>
      <c r="E916" s="22"/>
      <c r="F916" s="22"/>
      <c r="G916" s="31"/>
      <c r="J916" s="23"/>
      <c r="K916" s="27"/>
    </row>
    <row r="917" spans="1:11" x14ac:dyDescent="0.25">
      <c r="A917" s="77"/>
      <c r="B917" s="69"/>
      <c r="C917" s="71"/>
      <c r="E917" s="22"/>
      <c r="F917" s="22"/>
      <c r="G917" s="31"/>
      <c r="J917" s="23"/>
      <c r="K917" s="27"/>
    </row>
    <row r="918" spans="1:11" x14ac:dyDescent="0.25">
      <c r="A918" s="77"/>
      <c r="B918" s="69"/>
      <c r="C918" s="71"/>
      <c r="E918" s="22"/>
      <c r="F918" s="22"/>
      <c r="G918" s="31"/>
      <c r="J918" s="23"/>
      <c r="K918" s="27"/>
    </row>
    <row r="919" spans="1:11" x14ac:dyDescent="0.25">
      <c r="A919" s="77"/>
      <c r="B919" s="69"/>
      <c r="C919" s="71"/>
      <c r="E919" s="22"/>
      <c r="F919" s="22"/>
      <c r="G919" s="31"/>
      <c r="J919" s="23"/>
      <c r="K919" s="27"/>
    </row>
    <row r="920" spans="1:11" x14ac:dyDescent="0.25">
      <c r="A920" s="77"/>
      <c r="B920" s="69"/>
      <c r="C920" s="71"/>
      <c r="E920" s="22"/>
      <c r="F920" s="22"/>
      <c r="G920" s="31"/>
      <c r="J920" s="23"/>
      <c r="K920" s="27"/>
    </row>
    <row r="921" spans="1:11" x14ac:dyDescent="0.25">
      <c r="A921" s="77"/>
      <c r="B921" s="69"/>
      <c r="C921" s="71"/>
      <c r="E921" s="22"/>
      <c r="F921" s="22"/>
      <c r="G921" s="31"/>
      <c r="J921" s="23"/>
      <c r="K921" s="27"/>
    </row>
    <row r="922" spans="1:11" x14ac:dyDescent="0.25">
      <c r="A922" s="77"/>
      <c r="B922" s="69"/>
      <c r="C922" s="71"/>
      <c r="E922" s="22"/>
      <c r="F922" s="22"/>
      <c r="G922" s="31"/>
      <c r="J922" s="23"/>
      <c r="K922" s="27"/>
    </row>
    <row r="923" spans="1:11" x14ac:dyDescent="0.25">
      <c r="A923" s="77"/>
      <c r="B923" s="69"/>
      <c r="C923" s="71"/>
      <c r="E923" s="22"/>
      <c r="F923" s="22"/>
      <c r="G923" s="31"/>
      <c r="J923" s="23"/>
      <c r="K923" s="27"/>
    </row>
    <row r="924" spans="1:11" x14ac:dyDescent="0.25">
      <c r="A924" s="77"/>
      <c r="B924" s="69"/>
      <c r="C924" s="71"/>
      <c r="E924" s="22"/>
      <c r="F924" s="22"/>
      <c r="G924" s="31"/>
      <c r="J924" s="23"/>
      <c r="K924" s="27"/>
    </row>
    <row r="925" spans="1:11" x14ac:dyDescent="0.25">
      <c r="A925" s="77"/>
      <c r="B925" s="69"/>
      <c r="C925" s="71"/>
      <c r="E925" s="22"/>
      <c r="F925" s="22"/>
      <c r="G925" s="31"/>
      <c r="J925" s="23"/>
      <c r="K925" s="27"/>
    </row>
    <row r="926" spans="1:11" x14ac:dyDescent="0.25">
      <c r="A926" s="77"/>
      <c r="B926" s="69"/>
      <c r="C926" s="71"/>
      <c r="E926" s="22"/>
      <c r="F926" s="22"/>
      <c r="G926" s="31"/>
      <c r="J926" s="23"/>
      <c r="K926" s="27"/>
    </row>
    <row r="927" spans="1:11" x14ac:dyDescent="0.25">
      <c r="A927" s="77"/>
      <c r="B927" s="69"/>
      <c r="C927" s="71"/>
      <c r="E927" s="22"/>
      <c r="F927" s="22"/>
      <c r="G927" s="31"/>
      <c r="J927" s="23"/>
      <c r="K927" s="27"/>
    </row>
    <row r="928" spans="1:11" x14ac:dyDescent="0.25">
      <c r="A928" s="77"/>
      <c r="B928" s="69"/>
      <c r="C928" s="71"/>
      <c r="E928" s="22"/>
      <c r="F928" s="22"/>
      <c r="G928" s="31"/>
      <c r="J928" s="23"/>
      <c r="K928" s="27"/>
    </row>
    <row r="929" spans="1:11" x14ac:dyDescent="0.25">
      <c r="A929" s="77"/>
      <c r="B929" s="69"/>
      <c r="C929" s="71"/>
      <c r="E929" s="22"/>
      <c r="F929" s="22"/>
      <c r="G929" s="31"/>
      <c r="J929" s="23"/>
      <c r="K929" s="27"/>
    </row>
    <row r="930" spans="1:11" x14ac:dyDescent="0.25">
      <c r="A930" s="77"/>
      <c r="B930" s="69"/>
      <c r="C930" s="71"/>
      <c r="E930" s="22"/>
      <c r="F930" s="22"/>
      <c r="G930" s="31"/>
      <c r="J930" s="23"/>
      <c r="K930" s="27"/>
    </row>
    <row r="931" spans="1:11" x14ac:dyDescent="0.25">
      <c r="A931" s="77"/>
      <c r="B931" s="69"/>
      <c r="C931" s="71"/>
      <c r="E931" s="22"/>
      <c r="F931" s="22"/>
      <c r="G931" s="31"/>
      <c r="J931" s="23"/>
      <c r="K931" s="27"/>
    </row>
    <row r="932" spans="1:11" x14ac:dyDescent="0.25">
      <c r="A932" s="77"/>
      <c r="B932" s="69"/>
      <c r="C932" s="71"/>
      <c r="E932" s="22"/>
      <c r="F932" s="22"/>
      <c r="G932" s="31"/>
      <c r="J932" s="23"/>
      <c r="K932" s="27"/>
    </row>
    <row r="933" spans="1:11" x14ac:dyDescent="0.25">
      <c r="A933" s="77"/>
      <c r="B933" s="69"/>
      <c r="C933" s="71"/>
      <c r="E933" s="22"/>
      <c r="F933" s="22"/>
      <c r="G933" s="31"/>
      <c r="J933" s="23"/>
      <c r="K933" s="27"/>
    </row>
    <row r="934" spans="1:11" x14ac:dyDescent="0.25">
      <c r="A934" s="77"/>
      <c r="B934" s="69"/>
      <c r="C934" s="71"/>
      <c r="E934" s="22"/>
      <c r="F934" s="22"/>
      <c r="G934" s="31"/>
      <c r="J934" s="23"/>
      <c r="K934" s="27"/>
    </row>
    <row r="935" spans="1:11" x14ac:dyDescent="0.25">
      <c r="A935" s="77"/>
      <c r="B935" s="69"/>
      <c r="C935" s="71"/>
      <c r="E935" s="22"/>
      <c r="F935" s="22"/>
      <c r="G935" s="31"/>
      <c r="J935" s="23"/>
      <c r="K935" s="27"/>
    </row>
    <row r="936" spans="1:11" x14ac:dyDescent="0.25">
      <c r="A936" s="77"/>
      <c r="B936" s="69"/>
      <c r="C936" s="71"/>
      <c r="E936" s="22"/>
      <c r="F936" s="22"/>
      <c r="G936" s="31"/>
      <c r="J936" s="23"/>
      <c r="K936" s="27"/>
    </row>
    <row r="937" spans="1:11" x14ac:dyDescent="0.25">
      <c r="A937" s="77"/>
      <c r="B937" s="69"/>
      <c r="C937" s="71"/>
      <c r="E937" s="22"/>
      <c r="F937" s="22"/>
      <c r="G937" s="31"/>
      <c r="J937" s="23"/>
      <c r="K937" s="27"/>
    </row>
    <row r="938" spans="1:11" x14ac:dyDescent="0.25">
      <c r="A938" s="77"/>
      <c r="B938" s="69"/>
      <c r="C938" s="71"/>
      <c r="E938" s="22"/>
      <c r="F938" s="22"/>
      <c r="G938" s="31"/>
      <c r="J938" s="23"/>
      <c r="K938" s="27"/>
    </row>
    <row r="939" spans="1:11" x14ac:dyDescent="0.25">
      <c r="A939" s="77"/>
      <c r="B939" s="69"/>
      <c r="C939" s="71"/>
      <c r="E939" s="22"/>
      <c r="F939" s="22"/>
      <c r="G939" s="31"/>
      <c r="J939" s="23"/>
      <c r="K939" s="27"/>
    </row>
    <row r="940" spans="1:11" x14ac:dyDescent="0.25">
      <c r="A940" s="77"/>
      <c r="B940" s="69"/>
      <c r="C940" s="71"/>
      <c r="E940" s="22"/>
      <c r="F940" s="22"/>
      <c r="G940" s="31"/>
      <c r="J940" s="23"/>
      <c r="K940" s="27"/>
    </row>
    <row r="941" spans="1:11" x14ac:dyDescent="0.25">
      <c r="A941" s="77"/>
      <c r="B941" s="69"/>
      <c r="C941" s="71"/>
      <c r="E941" s="22"/>
      <c r="F941" s="22"/>
      <c r="G941" s="31"/>
      <c r="J941" s="23"/>
      <c r="K941" s="27"/>
    </row>
    <row r="942" spans="1:11" x14ac:dyDescent="0.25">
      <c r="A942" s="77"/>
      <c r="B942" s="69"/>
      <c r="C942" s="71"/>
      <c r="E942" s="22"/>
      <c r="F942" s="22"/>
      <c r="G942" s="31"/>
      <c r="J942" s="23"/>
      <c r="K942" s="27"/>
    </row>
    <row r="943" spans="1:11" x14ac:dyDescent="0.25">
      <c r="A943" s="77"/>
      <c r="B943" s="69"/>
      <c r="C943" s="71"/>
      <c r="E943" s="22"/>
      <c r="F943" s="22"/>
      <c r="G943" s="31"/>
      <c r="J943" s="23"/>
      <c r="K943" s="27"/>
    </row>
    <row r="944" spans="1:11" x14ac:dyDescent="0.25">
      <c r="A944" s="77"/>
      <c r="B944" s="69"/>
      <c r="C944" s="71"/>
      <c r="E944" s="22"/>
      <c r="F944" s="22"/>
      <c r="G944" s="31"/>
      <c r="J944" s="23"/>
      <c r="K944" s="27"/>
    </row>
    <row r="945" spans="1:11" x14ac:dyDescent="0.25">
      <c r="A945" s="77"/>
      <c r="B945" s="69"/>
      <c r="C945" s="71"/>
      <c r="E945" s="22"/>
      <c r="F945" s="22"/>
      <c r="G945" s="31"/>
      <c r="J945" s="23"/>
      <c r="K945" s="27"/>
    </row>
    <row r="946" spans="1:11" x14ac:dyDescent="0.25">
      <c r="A946" s="77"/>
      <c r="B946" s="69"/>
      <c r="C946" s="71"/>
      <c r="E946" s="22"/>
      <c r="F946" s="22"/>
      <c r="G946" s="31"/>
      <c r="J946" s="23"/>
      <c r="K946" s="27"/>
    </row>
    <row r="947" spans="1:11" x14ac:dyDescent="0.25">
      <c r="A947" s="77"/>
      <c r="B947" s="69"/>
      <c r="C947" s="71"/>
      <c r="E947" s="22"/>
      <c r="F947" s="22"/>
      <c r="G947" s="31"/>
      <c r="J947" s="23"/>
      <c r="K947" s="27"/>
    </row>
    <row r="948" spans="1:11" x14ac:dyDescent="0.25">
      <c r="A948" s="77"/>
      <c r="B948" s="69"/>
      <c r="C948" s="71"/>
      <c r="E948" s="22"/>
      <c r="F948" s="22"/>
      <c r="G948" s="31"/>
      <c r="J948" s="23"/>
      <c r="K948" s="27"/>
    </row>
    <row r="949" spans="1:11" x14ac:dyDescent="0.25">
      <c r="A949" s="77"/>
      <c r="B949" s="69"/>
      <c r="C949" s="71"/>
      <c r="E949" s="22"/>
      <c r="F949" s="22"/>
      <c r="G949" s="31"/>
      <c r="J949" s="23"/>
      <c r="K949" s="27"/>
    </row>
    <row r="950" spans="1:11" x14ac:dyDescent="0.25">
      <c r="A950" s="77"/>
      <c r="B950" s="69"/>
      <c r="C950" s="71"/>
      <c r="E950" s="22"/>
      <c r="F950" s="22"/>
      <c r="G950" s="31"/>
      <c r="J950" s="23"/>
      <c r="K950" s="27"/>
    </row>
    <row r="951" spans="1:11" x14ac:dyDescent="0.25">
      <c r="A951" s="77"/>
      <c r="B951" s="69"/>
      <c r="C951" s="71"/>
      <c r="E951" s="22"/>
      <c r="F951" s="22"/>
      <c r="G951" s="31"/>
      <c r="J951" s="23"/>
      <c r="K951" s="27"/>
    </row>
    <row r="952" spans="1:11" x14ac:dyDescent="0.25">
      <c r="A952" s="77"/>
      <c r="B952" s="69"/>
      <c r="C952" s="71"/>
      <c r="E952" s="22"/>
      <c r="F952" s="22"/>
      <c r="G952" s="31"/>
      <c r="J952" s="23"/>
      <c r="K952" s="27"/>
    </row>
    <row r="953" spans="1:11" x14ac:dyDescent="0.25">
      <c r="A953" s="77"/>
      <c r="B953" s="69"/>
      <c r="C953" s="71"/>
      <c r="E953" s="22"/>
      <c r="F953" s="22"/>
      <c r="G953" s="31"/>
      <c r="J953" s="23"/>
      <c r="K953" s="27"/>
    </row>
    <row r="954" spans="1:11" x14ac:dyDescent="0.25">
      <c r="A954" s="77"/>
      <c r="B954" s="69"/>
      <c r="C954" s="71"/>
      <c r="E954" s="22"/>
      <c r="F954" s="22"/>
      <c r="G954" s="31"/>
      <c r="J954" s="23"/>
      <c r="K954" s="27"/>
    </row>
    <row r="955" spans="1:11" x14ac:dyDescent="0.25">
      <c r="A955" s="77"/>
      <c r="B955" s="69"/>
      <c r="C955" s="71"/>
      <c r="E955" s="22"/>
      <c r="F955" s="22"/>
      <c r="G955" s="31"/>
      <c r="J955" s="23"/>
      <c r="K955" s="27"/>
    </row>
    <row r="956" spans="1:11" x14ac:dyDescent="0.25">
      <c r="A956" s="77"/>
      <c r="B956" s="69"/>
      <c r="C956" s="71"/>
      <c r="E956" s="22"/>
      <c r="F956" s="22"/>
      <c r="G956" s="31"/>
      <c r="J956" s="23"/>
      <c r="K956" s="27"/>
    </row>
    <row r="957" spans="1:11" x14ac:dyDescent="0.25">
      <c r="A957" s="77"/>
      <c r="B957" s="69"/>
      <c r="C957" s="71"/>
      <c r="E957" s="22"/>
      <c r="F957" s="22"/>
      <c r="G957" s="31"/>
      <c r="J957" s="23"/>
      <c r="K957" s="27"/>
    </row>
    <row r="958" spans="1:11" x14ac:dyDescent="0.25">
      <c r="A958" s="77"/>
      <c r="B958" s="69"/>
      <c r="C958" s="71"/>
      <c r="E958" s="22"/>
      <c r="F958" s="22"/>
      <c r="G958" s="31"/>
      <c r="J958" s="23"/>
      <c r="K958" s="27"/>
    </row>
    <row r="959" spans="1:11" x14ac:dyDescent="0.25">
      <c r="A959" s="77"/>
      <c r="B959" s="69"/>
      <c r="C959" s="71"/>
      <c r="E959" s="22"/>
      <c r="F959" s="22"/>
      <c r="G959" s="31"/>
      <c r="J959" s="23"/>
      <c r="K959" s="27"/>
    </row>
    <row r="960" spans="1:11" x14ac:dyDescent="0.25">
      <c r="A960" s="77"/>
      <c r="B960" s="69"/>
      <c r="C960" s="71"/>
      <c r="E960" s="22"/>
      <c r="F960" s="22"/>
      <c r="G960" s="31"/>
      <c r="J960" s="23"/>
      <c r="K960" s="27"/>
    </row>
    <row r="961" spans="1:11" x14ac:dyDescent="0.25">
      <c r="A961" s="77"/>
      <c r="B961" s="69"/>
      <c r="C961" s="71"/>
      <c r="E961" s="22"/>
      <c r="F961" s="22"/>
      <c r="G961" s="31"/>
      <c r="J961" s="23"/>
      <c r="K961" s="27"/>
    </row>
    <row r="962" spans="1:11" x14ac:dyDescent="0.25">
      <c r="A962" s="77"/>
      <c r="B962" s="69"/>
      <c r="C962" s="71"/>
      <c r="E962" s="22"/>
      <c r="F962" s="22"/>
      <c r="G962" s="31"/>
      <c r="J962" s="23"/>
      <c r="K962" s="27"/>
    </row>
    <row r="963" spans="1:11" x14ac:dyDescent="0.25">
      <c r="A963" s="77"/>
      <c r="B963" s="69"/>
      <c r="C963" s="71"/>
      <c r="E963" s="22"/>
      <c r="F963" s="22"/>
      <c r="G963" s="31"/>
      <c r="J963" s="23"/>
      <c r="K963" s="27"/>
    </row>
    <row r="964" spans="1:11" x14ac:dyDescent="0.25">
      <c r="A964" s="77"/>
      <c r="B964" s="69"/>
      <c r="C964" s="71"/>
      <c r="E964" s="22"/>
      <c r="F964" s="22"/>
      <c r="G964" s="31"/>
      <c r="J964" s="23"/>
      <c r="K964" s="27"/>
    </row>
    <row r="965" spans="1:11" x14ac:dyDescent="0.25">
      <c r="A965" s="77"/>
      <c r="B965" s="69"/>
      <c r="C965" s="71"/>
      <c r="E965" s="22"/>
      <c r="F965" s="22"/>
      <c r="G965" s="31"/>
      <c r="J965" s="23"/>
      <c r="K965" s="27"/>
    </row>
    <row r="966" spans="1:11" x14ac:dyDescent="0.25">
      <c r="A966" s="77"/>
      <c r="B966" s="69"/>
      <c r="C966" s="71"/>
      <c r="E966" s="22"/>
      <c r="F966" s="22"/>
      <c r="G966" s="31"/>
      <c r="J966" s="23"/>
      <c r="K966" s="27"/>
    </row>
    <row r="967" spans="1:11" x14ac:dyDescent="0.25">
      <c r="A967" s="77"/>
      <c r="B967" s="69"/>
      <c r="C967" s="71"/>
      <c r="E967" s="22"/>
      <c r="F967" s="22"/>
      <c r="G967" s="31"/>
      <c r="J967" s="23"/>
      <c r="K967" s="27"/>
    </row>
    <row r="968" spans="1:11" x14ac:dyDescent="0.25">
      <c r="A968" s="77"/>
      <c r="B968" s="69"/>
      <c r="C968" s="71"/>
      <c r="E968" s="22"/>
      <c r="F968" s="22"/>
      <c r="G968" s="31"/>
      <c r="J968" s="23"/>
      <c r="K968" s="27"/>
    </row>
    <row r="969" spans="1:11" x14ac:dyDescent="0.25">
      <c r="A969" s="77"/>
      <c r="B969" s="69"/>
      <c r="C969" s="71"/>
      <c r="E969" s="22"/>
      <c r="F969" s="22"/>
      <c r="G969" s="31"/>
      <c r="J969" s="23"/>
      <c r="K969" s="27"/>
    </row>
    <row r="970" spans="1:11" x14ac:dyDescent="0.25">
      <c r="A970" s="77"/>
      <c r="B970" s="69"/>
      <c r="C970" s="71"/>
      <c r="E970" s="22"/>
      <c r="F970" s="22"/>
      <c r="G970" s="31"/>
      <c r="J970" s="23"/>
      <c r="K970" s="27"/>
    </row>
    <row r="971" spans="1:11" x14ac:dyDescent="0.25">
      <c r="A971" s="77"/>
      <c r="B971" s="69"/>
      <c r="C971" s="71"/>
      <c r="E971" s="22"/>
      <c r="F971" s="22"/>
      <c r="G971" s="31"/>
      <c r="J971" s="23"/>
      <c r="K971" s="27"/>
    </row>
    <row r="972" spans="1:11" x14ac:dyDescent="0.25">
      <c r="A972" s="77"/>
      <c r="B972" s="69"/>
      <c r="C972" s="71"/>
      <c r="E972" s="22"/>
      <c r="F972" s="22"/>
      <c r="G972" s="31"/>
      <c r="J972" s="23"/>
      <c r="K972" s="27"/>
    </row>
    <row r="973" spans="1:11" x14ac:dyDescent="0.25">
      <c r="A973" s="77"/>
      <c r="B973" s="69"/>
      <c r="C973" s="71"/>
      <c r="E973" s="22"/>
      <c r="F973" s="22"/>
      <c r="G973" s="31"/>
      <c r="J973" s="23"/>
      <c r="K973" s="27"/>
    </row>
    <row r="974" spans="1:11" x14ac:dyDescent="0.25">
      <c r="A974" s="77"/>
      <c r="B974" s="69"/>
      <c r="C974" s="71"/>
      <c r="E974" s="22"/>
      <c r="F974" s="22"/>
      <c r="G974" s="31"/>
      <c r="J974" s="23"/>
      <c r="K974" s="27"/>
    </row>
    <row r="975" spans="1:11" x14ac:dyDescent="0.25">
      <c r="A975" s="77"/>
      <c r="B975" s="69"/>
      <c r="C975" s="71"/>
      <c r="E975" s="22"/>
      <c r="F975" s="22"/>
      <c r="G975" s="31"/>
      <c r="J975" s="23"/>
      <c r="K975" s="27"/>
    </row>
    <row r="976" spans="1:11" x14ac:dyDescent="0.25">
      <c r="A976" s="77"/>
      <c r="B976" s="69"/>
      <c r="C976" s="71"/>
      <c r="E976" s="22"/>
      <c r="F976" s="22"/>
      <c r="G976" s="31"/>
      <c r="J976" s="23"/>
      <c r="K976" s="27"/>
    </row>
    <row r="977" spans="1:11" x14ac:dyDescent="0.25">
      <c r="A977" s="77"/>
      <c r="B977" s="69"/>
      <c r="C977" s="71"/>
      <c r="E977" s="22"/>
      <c r="F977" s="22"/>
      <c r="G977" s="31"/>
      <c r="J977" s="23"/>
      <c r="K977" s="27"/>
    </row>
    <row r="978" spans="1:11" x14ac:dyDescent="0.25">
      <c r="A978" s="77"/>
      <c r="B978" s="69"/>
      <c r="C978" s="71"/>
      <c r="E978" s="22"/>
      <c r="F978" s="22"/>
      <c r="G978" s="31"/>
      <c r="J978" s="23"/>
      <c r="K978" s="27"/>
    </row>
    <row r="979" spans="1:11" x14ac:dyDescent="0.25">
      <c r="A979" s="77"/>
      <c r="B979" s="69"/>
      <c r="C979" s="71"/>
      <c r="E979" s="22"/>
      <c r="F979" s="22"/>
      <c r="G979" s="31"/>
      <c r="J979" s="23"/>
      <c r="K979" s="27"/>
    </row>
    <row r="980" spans="1:11" x14ac:dyDescent="0.25">
      <c r="A980" s="77"/>
      <c r="B980" s="69"/>
      <c r="C980" s="71"/>
      <c r="E980" s="22"/>
      <c r="F980" s="22"/>
      <c r="G980" s="31"/>
      <c r="J980" s="23"/>
      <c r="K980" s="27"/>
    </row>
    <row r="981" spans="1:11" x14ac:dyDescent="0.25">
      <c r="A981" s="77"/>
      <c r="B981" s="69"/>
      <c r="C981" s="71"/>
      <c r="E981" s="22"/>
      <c r="F981" s="22"/>
      <c r="G981" s="31"/>
      <c r="J981" s="23"/>
      <c r="K981" s="27"/>
    </row>
    <row r="982" spans="1:11" x14ac:dyDescent="0.25">
      <c r="A982" s="77"/>
      <c r="B982" s="69"/>
      <c r="C982" s="71"/>
      <c r="E982" s="22"/>
      <c r="F982" s="22"/>
      <c r="G982" s="31"/>
      <c r="J982" s="23"/>
      <c r="K982" s="27"/>
    </row>
    <row r="983" spans="1:11" x14ac:dyDescent="0.25">
      <c r="A983" s="77"/>
      <c r="B983" s="69"/>
      <c r="C983" s="71"/>
      <c r="E983" s="22"/>
      <c r="F983" s="22"/>
      <c r="G983" s="31"/>
      <c r="J983" s="23"/>
      <c r="K983" s="27"/>
    </row>
    <row r="984" spans="1:11" x14ac:dyDescent="0.25">
      <c r="A984" s="77"/>
      <c r="B984" s="69"/>
      <c r="C984" s="71"/>
      <c r="E984" s="22"/>
      <c r="F984" s="22"/>
      <c r="G984" s="31"/>
      <c r="J984" s="23"/>
      <c r="K984" s="27"/>
    </row>
    <row r="985" spans="1:11" x14ac:dyDescent="0.25">
      <c r="A985" s="77"/>
      <c r="B985" s="69"/>
      <c r="C985" s="71"/>
      <c r="E985" s="22"/>
      <c r="F985" s="22"/>
      <c r="G985" s="31"/>
      <c r="J985" s="23"/>
      <c r="K985" s="27"/>
    </row>
    <row r="986" spans="1:11" x14ac:dyDescent="0.25">
      <c r="A986" s="77"/>
      <c r="B986" s="69"/>
      <c r="C986" s="71"/>
      <c r="E986" s="22"/>
      <c r="F986" s="22"/>
      <c r="G986" s="31"/>
      <c r="J986" s="23"/>
      <c r="K986" s="27"/>
    </row>
    <row r="987" spans="1:11" x14ac:dyDescent="0.25">
      <c r="A987" s="77"/>
      <c r="B987" s="69"/>
      <c r="C987" s="71"/>
      <c r="E987" s="22"/>
      <c r="F987" s="22"/>
      <c r="G987" s="31"/>
      <c r="J987" s="23"/>
      <c r="K987" s="27"/>
    </row>
    <row r="988" spans="1:11" x14ac:dyDescent="0.25">
      <c r="A988" s="77"/>
      <c r="B988" s="69"/>
      <c r="C988" s="71"/>
      <c r="E988" s="22"/>
      <c r="F988" s="22"/>
      <c r="G988" s="31"/>
      <c r="J988" s="23"/>
      <c r="K988" s="27"/>
    </row>
    <row r="989" spans="1:11" x14ac:dyDescent="0.25">
      <c r="A989" s="77"/>
      <c r="B989" s="69"/>
      <c r="C989" s="71"/>
      <c r="E989" s="22"/>
      <c r="F989" s="22"/>
      <c r="G989" s="31"/>
      <c r="J989" s="23"/>
      <c r="K989" s="27"/>
    </row>
    <row r="990" spans="1:11" x14ac:dyDescent="0.25">
      <c r="A990" s="77"/>
      <c r="B990" s="69"/>
      <c r="C990" s="71"/>
      <c r="E990" s="22"/>
      <c r="F990" s="22"/>
      <c r="G990" s="31"/>
      <c r="J990" s="23"/>
      <c r="K990" s="27"/>
    </row>
    <row r="991" spans="1:11" x14ac:dyDescent="0.25">
      <c r="A991" s="77"/>
      <c r="B991" s="69"/>
      <c r="C991" s="71"/>
      <c r="E991" s="22"/>
      <c r="F991" s="22"/>
      <c r="G991" s="31"/>
      <c r="J991" s="23"/>
      <c r="K991" s="27"/>
    </row>
    <row r="992" spans="1:11" x14ac:dyDescent="0.25">
      <c r="A992" s="77"/>
      <c r="B992" s="69"/>
      <c r="C992" s="71"/>
      <c r="E992" s="22"/>
      <c r="F992" s="22"/>
      <c r="G992" s="31"/>
      <c r="J992" s="23"/>
      <c r="K992" s="27"/>
    </row>
    <row r="993" spans="1:11" x14ac:dyDescent="0.25">
      <c r="A993" s="77"/>
      <c r="B993" s="69"/>
      <c r="C993" s="71"/>
      <c r="E993" s="22"/>
      <c r="F993" s="22"/>
      <c r="G993" s="31"/>
      <c r="J993" s="23"/>
      <c r="K993" s="27"/>
    </row>
    <row r="994" spans="1:11" x14ac:dyDescent="0.25">
      <c r="A994" s="77"/>
      <c r="B994" s="69"/>
      <c r="C994" s="71"/>
      <c r="E994" s="22"/>
      <c r="F994" s="22"/>
      <c r="G994" s="31"/>
      <c r="J994" s="23"/>
      <c r="K994" s="27"/>
    </row>
    <row r="995" spans="1:11" x14ac:dyDescent="0.25">
      <c r="A995" s="77"/>
      <c r="B995" s="69"/>
      <c r="C995" s="71"/>
      <c r="E995" s="22"/>
      <c r="F995" s="22"/>
      <c r="G995" s="31"/>
      <c r="J995" s="23"/>
      <c r="K995" s="27"/>
    </row>
    <row r="996" spans="1:11" x14ac:dyDescent="0.25">
      <c r="A996" s="77"/>
      <c r="B996" s="69"/>
      <c r="C996" s="71"/>
      <c r="E996" s="22"/>
      <c r="F996" s="22"/>
      <c r="G996" s="31"/>
      <c r="J996" s="23"/>
      <c r="K996" s="27"/>
    </row>
    <row r="997" spans="1:11" x14ac:dyDescent="0.25">
      <c r="A997" s="77"/>
      <c r="B997" s="69"/>
      <c r="C997" s="71"/>
      <c r="E997" s="22"/>
      <c r="F997" s="22"/>
      <c r="G997" s="31"/>
      <c r="J997" s="23"/>
      <c r="K997" s="27"/>
    </row>
    <row r="998" spans="1:11" x14ac:dyDescent="0.25">
      <c r="A998" s="77"/>
      <c r="B998" s="69"/>
      <c r="C998" s="71"/>
      <c r="E998" s="22"/>
      <c r="F998" s="22"/>
      <c r="G998" s="31"/>
      <c r="J998" s="23"/>
      <c r="K998" s="27"/>
    </row>
    <row r="999" spans="1:11" x14ac:dyDescent="0.25">
      <c r="A999" s="77"/>
      <c r="B999" s="69"/>
      <c r="C999" s="71"/>
      <c r="E999" s="22"/>
      <c r="F999" s="22"/>
      <c r="G999" s="31"/>
      <c r="J999" s="23"/>
      <c r="K999" s="27"/>
    </row>
    <row r="1000" spans="1:11" x14ac:dyDescent="0.25">
      <c r="A1000" s="77"/>
      <c r="B1000" s="69"/>
      <c r="C1000" s="71"/>
      <c r="E1000" s="22"/>
      <c r="F1000" s="22"/>
      <c r="G1000" s="31"/>
      <c r="J1000" s="23"/>
      <c r="K1000" s="27"/>
    </row>
    <row r="1001" spans="1:11" x14ac:dyDescent="0.25">
      <c r="A1001" s="77"/>
      <c r="B1001" s="69"/>
      <c r="C1001" s="71"/>
      <c r="E1001" s="22"/>
      <c r="F1001" s="22"/>
      <c r="G1001" s="31"/>
      <c r="J1001" s="23"/>
      <c r="K1001" s="27"/>
    </row>
    <row r="1002" spans="1:11" x14ac:dyDescent="0.25">
      <c r="A1002" s="77"/>
      <c r="B1002" s="69"/>
      <c r="C1002" s="71"/>
      <c r="E1002" s="22"/>
      <c r="F1002" s="22"/>
      <c r="G1002" s="31"/>
      <c r="J1002" s="23"/>
      <c r="K1002" s="27"/>
    </row>
    <row r="1003" spans="1:11" x14ac:dyDescent="0.25">
      <c r="A1003" s="77"/>
      <c r="B1003" s="69"/>
      <c r="C1003" s="71"/>
      <c r="E1003" s="22"/>
      <c r="F1003" s="22"/>
      <c r="G1003" s="31"/>
      <c r="J1003" s="23"/>
      <c r="K1003" s="27"/>
    </row>
    <row r="1004" spans="1:11" x14ac:dyDescent="0.25">
      <c r="A1004" s="77"/>
      <c r="B1004" s="69"/>
      <c r="C1004" s="71"/>
      <c r="E1004" s="22"/>
      <c r="F1004" s="22"/>
      <c r="G1004" s="31"/>
      <c r="J1004" s="23"/>
      <c r="K1004" s="27"/>
    </row>
    <row r="1005" spans="1:11" x14ac:dyDescent="0.25">
      <c r="A1005" s="77"/>
      <c r="B1005" s="69"/>
      <c r="C1005" s="71"/>
      <c r="E1005" s="22"/>
      <c r="F1005" s="22"/>
      <c r="G1005" s="31"/>
      <c r="J1005" s="23"/>
      <c r="K1005" s="27"/>
    </row>
    <row r="1006" spans="1:11" x14ac:dyDescent="0.25">
      <c r="A1006" s="77"/>
      <c r="B1006" s="69"/>
      <c r="C1006" s="71"/>
      <c r="E1006" s="22"/>
      <c r="F1006" s="22"/>
      <c r="G1006" s="31"/>
      <c r="J1006" s="23"/>
      <c r="K1006" s="27"/>
    </row>
    <row r="1007" spans="1:11" x14ac:dyDescent="0.25">
      <c r="A1007" s="77"/>
      <c r="B1007" s="69"/>
      <c r="C1007" s="71"/>
      <c r="E1007" s="22"/>
      <c r="F1007" s="22"/>
      <c r="G1007" s="31"/>
      <c r="J1007" s="23"/>
      <c r="K1007" s="27"/>
    </row>
    <row r="1008" spans="1:11" x14ac:dyDescent="0.25">
      <c r="A1008" s="77"/>
      <c r="B1008" s="69"/>
      <c r="C1008" s="71"/>
      <c r="E1008" s="22"/>
      <c r="F1008" s="22"/>
      <c r="G1008" s="31"/>
      <c r="J1008" s="23"/>
      <c r="K1008" s="27"/>
    </row>
    <row r="1009" spans="1:11" x14ac:dyDescent="0.25">
      <c r="A1009" s="77"/>
      <c r="B1009" s="69"/>
      <c r="C1009" s="71"/>
      <c r="E1009" s="22"/>
      <c r="F1009" s="22"/>
      <c r="G1009" s="31"/>
      <c r="J1009" s="23"/>
      <c r="K1009" s="27"/>
    </row>
    <row r="1010" spans="1:11" x14ac:dyDescent="0.25">
      <c r="A1010" s="77"/>
      <c r="B1010" s="69"/>
      <c r="C1010" s="71"/>
      <c r="E1010" s="22"/>
      <c r="F1010" s="22"/>
      <c r="G1010" s="31"/>
      <c r="J1010" s="23"/>
      <c r="K1010" s="27"/>
    </row>
    <row r="1011" spans="1:11" x14ac:dyDescent="0.25">
      <c r="A1011" s="77"/>
      <c r="B1011" s="69"/>
      <c r="C1011" s="71"/>
      <c r="E1011" s="22"/>
      <c r="F1011" s="22"/>
      <c r="G1011" s="31"/>
      <c r="J1011" s="23"/>
      <c r="K1011" s="27"/>
    </row>
    <row r="1012" spans="1:11" x14ac:dyDescent="0.25">
      <c r="A1012" s="77"/>
      <c r="B1012" s="69"/>
      <c r="C1012" s="71"/>
      <c r="E1012" s="22"/>
      <c r="F1012" s="22"/>
      <c r="G1012" s="31"/>
      <c r="J1012" s="23"/>
      <c r="K1012" s="27"/>
    </row>
    <row r="1013" spans="1:11" x14ac:dyDescent="0.25">
      <c r="A1013" s="77"/>
      <c r="B1013" s="69"/>
      <c r="C1013" s="71"/>
      <c r="E1013" s="22"/>
      <c r="F1013" s="22"/>
      <c r="G1013" s="31"/>
      <c r="J1013" s="23"/>
      <c r="K1013" s="27"/>
    </row>
    <row r="1014" spans="1:11" x14ac:dyDescent="0.25">
      <c r="A1014" s="77"/>
      <c r="B1014" s="69"/>
      <c r="C1014" s="71"/>
      <c r="E1014" s="22"/>
      <c r="F1014" s="22"/>
      <c r="G1014" s="31"/>
      <c r="J1014" s="23"/>
      <c r="K1014" s="27"/>
    </row>
    <row r="1015" spans="1:11" x14ac:dyDescent="0.25">
      <c r="A1015" s="77"/>
      <c r="B1015" s="69"/>
      <c r="C1015" s="71"/>
      <c r="E1015" s="22"/>
      <c r="F1015" s="22"/>
      <c r="G1015" s="31"/>
      <c r="J1015" s="23"/>
      <c r="K1015" s="27"/>
    </row>
    <row r="1016" spans="1:11" x14ac:dyDescent="0.25">
      <c r="A1016" s="77"/>
      <c r="B1016" s="69"/>
      <c r="C1016" s="71"/>
      <c r="E1016" s="22"/>
      <c r="F1016" s="22"/>
      <c r="G1016" s="31"/>
      <c r="J1016" s="23"/>
      <c r="K1016" s="27"/>
    </row>
    <row r="1017" spans="1:11" x14ac:dyDescent="0.25">
      <c r="A1017" s="77"/>
      <c r="B1017" s="69"/>
      <c r="C1017" s="71"/>
      <c r="E1017" s="22"/>
      <c r="F1017" s="22"/>
      <c r="G1017" s="31"/>
      <c r="J1017" s="23"/>
      <c r="K1017" s="27"/>
    </row>
    <row r="1018" spans="1:11" x14ac:dyDescent="0.25">
      <c r="A1018" s="77"/>
      <c r="B1018" s="69"/>
      <c r="C1018" s="71"/>
      <c r="E1018" s="22"/>
      <c r="F1018" s="22"/>
      <c r="G1018" s="31"/>
      <c r="J1018" s="23"/>
      <c r="K1018" s="27"/>
    </row>
    <row r="1019" spans="1:11" x14ac:dyDescent="0.25">
      <c r="A1019" s="77"/>
      <c r="B1019" s="69"/>
      <c r="C1019" s="71"/>
      <c r="E1019" s="22"/>
      <c r="F1019" s="22"/>
      <c r="G1019" s="31"/>
      <c r="J1019" s="23"/>
      <c r="K1019" s="27"/>
    </row>
    <row r="1020" spans="1:11" x14ac:dyDescent="0.25">
      <c r="A1020" s="77"/>
      <c r="B1020" s="69"/>
      <c r="C1020" s="71"/>
      <c r="E1020" s="22"/>
      <c r="F1020" s="22"/>
      <c r="G1020" s="31"/>
      <c r="J1020" s="23"/>
      <c r="K1020" s="27"/>
    </row>
    <row r="1021" spans="1:11" x14ac:dyDescent="0.25">
      <c r="A1021" s="77"/>
      <c r="B1021" s="69"/>
      <c r="C1021" s="71"/>
      <c r="E1021" s="22"/>
      <c r="F1021" s="22"/>
      <c r="G1021" s="31"/>
      <c r="J1021" s="23"/>
      <c r="K1021" s="27"/>
    </row>
    <row r="1022" spans="1:11" x14ac:dyDescent="0.25">
      <c r="A1022" s="77"/>
      <c r="B1022" s="69"/>
      <c r="C1022" s="71"/>
      <c r="E1022" s="22"/>
      <c r="F1022" s="22"/>
      <c r="G1022" s="31"/>
      <c r="J1022" s="23"/>
      <c r="K1022" s="27"/>
    </row>
    <row r="1023" spans="1:11" x14ac:dyDescent="0.25">
      <c r="A1023" s="77"/>
      <c r="B1023" s="69"/>
      <c r="C1023" s="71"/>
      <c r="E1023" s="22"/>
      <c r="F1023" s="22"/>
      <c r="G1023" s="31"/>
      <c r="J1023" s="23"/>
      <c r="K1023" s="27"/>
    </row>
    <row r="1024" spans="1:11" x14ac:dyDescent="0.25">
      <c r="A1024" s="77"/>
      <c r="B1024" s="69"/>
      <c r="C1024" s="71"/>
      <c r="E1024" s="22"/>
      <c r="F1024" s="22"/>
      <c r="G1024" s="31"/>
      <c r="J1024" s="23"/>
      <c r="K1024" s="27"/>
    </row>
    <row r="1025" spans="1:11" x14ac:dyDescent="0.25">
      <c r="A1025" s="77"/>
      <c r="B1025" s="69"/>
      <c r="C1025" s="71"/>
      <c r="E1025" s="22"/>
      <c r="F1025" s="22"/>
      <c r="G1025" s="31"/>
      <c r="J1025" s="23"/>
      <c r="K1025" s="27"/>
    </row>
    <row r="1026" spans="1:11" x14ac:dyDescent="0.25">
      <c r="A1026" s="77"/>
      <c r="B1026" s="69"/>
      <c r="C1026" s="71"/>
      <c r="E1026" s="22"/>
      <c r="F1026" s="22"/>
      <c r="G1026" s="31"/>
      <c r="J1026" s="23"/>
      <c r="K1026" s="27"/>
    </row>
    <row r="1027" spans="1:11" x14ac:dyDescent="0.25">
      <c r="A1027" s="77"/>
      <c r="B1027" s="69"/>
      <c r="C1027" s="71"/>
      <c r="E1027" s="22"/>
      <c r="F1027" s="22"/>
      <c r="G1027" s="31"/>
      <c r="J1027" s="23"/>
      <c r="K1027" s="27"/>
    </row>
    <row r="1028" spans="1:11" x14ac:dyDescent="0.25">
      <c r="A1028" s="77"/>
      <c r="B1028" s="69"/>
      <c r="C1028" s="71"/>
      <c r="E1028" s="22"/>
      <c r="F1028" s="22"/>
      <c r="G1028" s="31"/>
      <c r="J1028" s="23"/>
      <c r="K1028" s="27"/>
    </row>
    <row r="1029" spans="1:11" x14ac:dyDescent="0.25">
      <c r="A1029" s="77"/>
      <c r="B1029" s="69"/>
      <c r="C1029" s="71"/>
      <c r="E1029" s="22"/>
      <c r="F1029" s="22"/>
      <c r="G1029" s="31"/>
      <c r="J1029" s="23"/>
      <c r="K1029" s="27"/>
    </row>
    <row r="1030" spans="1:11" x14ac:dyDescent="0.25">
      <c r="A1030" s="77"/>
      <c r="B1030" s="69"/>
      <c r="C1030" s="71"/>
      <c r="E1030" s="22"/>
      <c r="F1030" s="22"/>
      <c r="G1030" s="31"/>
      <c r="J1030" s="23"/>
      <c r="K1030" s="27"/>
    </row>
    <row r="1031" spans="1:11" x14ac:dyDescent="0.25">
      <c r="A1031" s="77"/>
      <c r="B1031" s="69"/>
      <c r="C1031" s="71"/>
      <c r="E1031" s="22"/>
      <c r="F1031" s="22"/>
      <c r="G1031" s="31"/>
      <c r="J1031" s="23"/>
      <c r="K1031" s="27"/>
    </row>
    <row r="1032" spans="1:11" x14ac:dyDescent="0.25">
      <c r="A1032" s="77"/>
      <c r="B1032" s="69"/>
      <c r="C1032" s="71"/>
      <c r="E1032" s="22"/>
      <c r="F1032" s="22"/>
      <c r="G1032" s="31"/>
      <c r="J1032" s="23"/>
      <c r="K1032" s="27"/>
    </row>
    <row r="1033" spans="1:11" x14ac:dyDescent="0.25">
      <c r="A1033" s="77"/>
      <c r="B1033" s="69"/>
      <c r="C1033" s="71"/>
      <c r="E1033" s="22"/>
      <c r="F1033" s="22"/>
      <c r="G1033" s="31"/>
      <c r="J1033" s="23"/>
      <c r="K1033" s="27"/>
    </row>
    <row r="1034" spans="1:11" x14ac:dyDescent="0.25">
      <c r="A1034" s="77"/>
      <c r="B1034" s="69"/>
      <c r="C1034" s="71"/>
      <c r="E1034" s="22"/>
      <c r="F1034" s="22"/>
      <c r="G1034" s="31"/>
      <c r="J1034" s="23"/>
      <c r="K1034" s="27"/>
    </row>
    <row r="1035" spans="1:11" x14ac:dyDescent="0.25">
      <c r="A1035" s="77"/>
      <c r="B1035" s="69"/>
      <c r="C1035" s="71"/>
      <c r="E1035" s="22"/>
      <c r="F1035" s="22"/>
      <c r="G1035" s="31"/>
      <c r="J1035" s="23"/>
      <c r="K1035" s="27"/>
    </row>
    <row r="1036" spans="1:11" x14ac:dyDescent="0.25">
      <c r="A1036" s="77"/>
      <c r="B1036" s="69"/>
      <c r="C1036" s="71"/>
      <c r="E1036" s="22"/>
      <c r="F1036" s="22"/>
      <c r="G1036" s="31"/>
      <c r="J1036" s="23"/>
      <c r="K1036" s="27"/>
    </row>
    <row r="1037" spans="1:11" x14ac:dyDescent="0.25">
      <c r="A1037" s="77"/>
      <c r="B1037" s="69"/>
      <c r="C1037" s="71"/>
      <c r="E1037" s="22"/>
      <c r="F1037" s="22"/>
      <c r="G1037" s="31"/>
      <c r="J1037" s="23"/>
      <c r="K1037" s="27"/>
    </row>
    <row r="1038" spans="1:11" x14ac:dyDescent="0.25">
      <c r="A1038" s="77"/>
      <c r="B1038" s="69"/>
      <c r="C1038" s="71"/>
      <c r="E1038" s="22"/>
      <c r="F1038" s="22"/>
      <c r="G1038" s="31"/>
      <c r="J1038" s="23"/>
      <c r="K1038" s="27"/>
    </row>
    <row r="1039" spans="1:11" x14ac:dyDescent="0.25">
      <c r="A1039" s="77"/>
      <c r="B1039" s="69"/>
      <c r="C1039" s="71"/>
      <c r="E1039" s="22"/>
      <c r="F1039" s="22"/>
      <c r="G1039" s="31"/>
      <c r="J1039" s="23"/>
      <c r="K1039" s="27"/>
    </row>
    <row r="1040" spans="1:11" x14ac:dyDescent="0.25">
      <c r="A1040" s="77"/>
      <c r="B1040" s="69"/>
      <c r="C1040" s="71"/>
      <c r="E1040" s="22"/>
      <c r="F1040" s="22"/>
      <c r="G1040" s="31"/>
      <c r="J1040" s="23"/>
      <c r="K1040" s="27"/>
    </row>
    <row r="1041" spans="1:11" x14ac:dyDescent="0.25">
      <c r="A1041" s="77"/>
      <c r="B1041" s="69"/>
      <c r="C1041" s="71"/>
      <c r="E1041" s="22"/>
      <c r="F1041" s="22"/>
      <c r="G1041" s="31"/>
      <c r="J1041" s="23"/>
      <c r="K1041" s="27"/>
    </row>
    <row r="1042" spans="1:11" x14ac:dyDescent="0.25">
      <c r="A1042" s="77"/>
      <c r="B1042" s="69"/>
      <c r="C1042" s="71"/>
      <c r="E1042" s="22"/>
      <c r="F1042" s="22"/>
      <c r="G1042" s="31"/>
      <c r="J1042" s="23"/>
      <c r="K1042" s="27"/>
    </row>
    <row r="1043" spans="1:11" x14ac:dyDescent="0.25">
      <c r="A1043" s="77"/>
      <c r="B1043" s="69"/>
      <c r="C1043" s="71"/>
      <c r="E1043" s="22"/>
      <c r="F1043" s="22"/>
      <c r="G1043" s="31"/>
      <c r="J1043" s="23"/>
      <c r="K1043" s="27"/>
    </row>
    <row r="1044" spans="1:11" x14ac:dyDescent="0.25">
      <c r="A1044" s="77"/>
      <c r="B1044" s="69"/>
      <c r="C1044" s="71"/>
      <c r="E1044" s="22"/>
      <c r="F1044" s="22"/>
      <c r="G1044" s="31"/>
      <c r="J1044" s="23"/>
      <c r="K1044" s="27"/>
    </row>
    <row r="1045" spans="1:11" x14ac:dyDescent="0.25">
      <c r="A1045" s="77"/>
      <c r="B1045" s="69"/>
      <c r="C1045" s="71"/>
      <c r="E1045" s="22"/>
      <c r="F1045" s="22"/>
      <c r="G1045" s="31"/>
      <c r="J1045" s="23"/>
      <c r="K1045" s="27"/>
    </row>
    <row r="1046" spans="1:11" x14ac:dyDescent="0.25">
      <c r="A1046" s="77"/>
      <c r="B1046" s="69"/>
      <c r="C1046" s="71"/>
      <c r="E1046" s="22"/>
      <c r="F1046" s="22"/>
      <c r="G1046" s="31"/>
      <c r="J1046" s="23"/>
      <c r="K1046" s="27"/>
    </row>
    <row r="1047" spans="1:11" x14ac:dyDescent="0.25">
      <c r="A1047" s="77"/>
      <c r="B1047" s="69"/>
      <c r="C1047" s="71"/>
      <c r="E1047" s="22"/>
      <c r="F1047" s="22"/>
      <c r="G1047" s="31"/>
      <c r="J1047" s="23"/>
      <c r="K1047" s="27"/>
    </row>
    <row r="1048" spans="1:11" x14ac:dyDescent="0.25">
      <c r="A1048" s="77"/>
      <c r="B1048" s="69"/>
      <c r="C1048" s="71"/>
      <c r="E1048" s="22"/>
      <c r="F1048" s="22"/>
      <c r="G1048" s="31"/>
      <c r="J1048" s="23"/>
      <c r="K1048" s="27"/>
    </row>
    <row r="1049" spans="1:11" x14ac:dyDescent="0.25">
      <c r="A1049" s="77"/>
      <c r="B1049" s="69"/>
      <c r="C1049" s="71"/>
      <c r="E1049" s="22"/>
      <c r="F1049" s="22"/>
      <c r="G1049" s="31"/>
      <c r="J1049" s="23"/>
      <c r="K1049" s="27"/>
    </row>
    <row r="1050" spans="1:11" x14ac:dyDescent="0.25">
      <c r="A1050" s="77"/>
      <c r="B1050" s="69"/>
      <c r="C1050" s="71"/>
      <c r="E1050" s="22"/>
      <c r="F1050" s="22"/>
      <c r="G1050" s="31"/>
      <c r="J1050" s="23"/>
      <c r="K1050" s="27"/>
    </row>
    <row r="1051" spans="1:11" x14ac:dyDescent="0.25">
      <c r="A1051" s="77"/>
      <c r="B1051" s="69"/>
      <c r="C1051" s="71"/>
      <c r="E1051" s="22"/>
      <c r="F1051" s="22"/>
      <c r="G1051" s="31"/>
      <c r="J1051" s="23"/>
      <c r="K1051" s="27"/>
    </row>
    <row r="1052" spans="1:11" x14ac:dyDescent="0.25">
      <c r="A1052" s="77"/>
      <c r="B1052" s="69"/>
      <c r="C1052" s="71"/>
      <c r="E1052" s="22"/>
      <c r="F1052" s="22"/>
      <c r="G1052" s="31"/>
      <c r="J1052" s="23"/>
      <c r="K1052" s="27"/>
    </row>
    <row r="1053" spans="1:11" x14ac:dyDescent="0.25">
      <c r="A1053" s="77"/>
      <c r="B1053" s="69"/>
      <c r="C1053" s="71"/>
      <c r="E1053" s="22"/>
      <c r="F1053" s="22"/>
      <c r="G1053" s="31"/>
      <c r="J1053" s="23"/>
      <c r="K1053" s="27"/>
    </row>
    <row r="1054" spans="1:11" x14ac:dyDescent="0.25">
      <c r="A1054" s="77"/>
      <c r="B1054" s="69"/>
      <c r="C1054" s="71"/>
      <c r="E1054" s="22"/>
      <c r="F1054" s="22"/>
      <c r="G1054" s="31"/>
      <c r="J1054" s="23"/>
      <c r="K1054" s="27"/>
    </row>
    <row r="1055" spans="1:11" x14ac:dyDescent="0.25">
      <c r="A1055" s="77"/>
      <c r="B1055" s="69"/>
      <c r="C1055" s="71"/>
      <c r="E1055" s="22"/>
      <c r="F1055" s="22"/>
      <c r="G1055" s="31"/>
      <c r="J1055" s="23"/>
      <c r="K1055" s="27"/>
    </row>
    <row r="1056" spans="1:11" x14ac:dyDescent="0.25">
      <c r="A1056" s="77"/>
      <c r="B1056" s="69"/>
      <c r="C1056" s="71"/>
      <c r="E1056" s="22"/>
      <c r="F1056" s="22"/>
      <c r="G1056" s="31"/>
      <c r="J1056" s="23"/>
      <c r="K1056" s="27"/>
    </row>
    <row r="1057" spans="1:11" x14ac:dyDescent="0.25">
      <c r="A1057" s="77"/>
      <c r="B1057" s="69"/>
      <c r="C1057" s="71"/>
      <c r="E1057" s="22"/>
      <c r="F1057" s="22"/>
      <c r="G1057" s="31"/>
      <c r="J1057" s="23"/>
      <c r="K1057" s="27"/>
    </row>
    <row r="1058" spans="1:11" x14ac:dyDescent="0.25">
      <c r="A1058" s="77"/>
      <c r="B1058" s="69"/>
      <c r="C1058" s="71"/>
      <c r="E1058" s="22"/>
      <c r="F1058" s="22"/>
      <c r="G1058" s="31"/>
      <c r="J1058" s="23"/>
      <c r="K1058" s="27"/>
    </row>
    <row r="1059" spans="1:11" x14ac:dyDescent="0.25">
      <c r="A1059" s="77"/>
      <c r="B1059" s="69"/>
      <c r="C1059" s="71"/>
      <c r="E1059" s="22"/>
      <c r="F1059" s="22"/>
      <c r="G1059" s="31"/>
      <c r="J1059" s="23"/>
      <c r="K1059" s="27"/>
    </row>
    <row r="1060" spans="1:11" x14ac:dyDescent="0.25">
      <c r="A1060" s="77"/>
      <c r="B1060" s="69"/>
      <c r="C1060" s="71"/>
      <c r="E1060" s="22"/>
      <c r="F1060" s="22"/>
      <c r="G1060" s="31"/>
      <c r="J1060" s="23"/>
      <c r="K1060" s="27"/>
    </row>
    <row r="1061" spans="1:11" x14ac:dyDescent="0.25">
      <c r="A1061" s="77"/>
      <c r="B1061" s="69"/>
      <c r="C1061" s="71"/>
      <c r="E1061" s="22"/>
      <c r="F1061" s="22"/>
      <c r="G1061" s="31"/>
      <c r="J1061" s="23"/>
      <c r="K1061" s="27"/>
    </row>
    <row r="1062" spans="1:11" x14ac:dyDescent="0.25">
      <c r="A1062" s="77"/>
      <c r="B1062" s="69"/>
      <c r="C1062" s="71"/>
      <c r="E1062" s="22"/>
      <c r="F1062" s="22"/>
      <c r="G1062" s="31"/>
      <c r="J1062" s="23"/>
      <c r="K1062" s="27"/>
    </row>
    <row r="1063" spans="1:11" x14ac:dyDescent="0.25">
      <c r="A1063" s="77"/>
      <c r="B1063" s="69"/>
      <c r="C1063" s="71"/>
      <c r="E1063" s="22"/>
      <c r="F1063" s="22"/>
      <c r="G1063" s="31"/>
      <c r="J1063" s="23"/>
      <c r="K1063" s="27"/>
    </row>
    <row r="1064" spans="1:11" x14ac:dyDescent="0.25">
      <c r="A1064" s="77"/>
      <c r="B1064" s="69"/>
      <c r="C1064" s="71"/>
      <c r="E1064" s="22"/>
      <c r="F1064" s="22"/>
      <c r="G1064" s="31"/>
      <c r="J1064" s="23"/>
      <c r="K1064" s="27"/>
    </row>
    <row r="1065" spans="1:11" x14ac:dyDescent="0.25">
      <c r="A1065" s="77"/>
      <c r="B1065" s="69"/>
      <c r="C1065" s="71"/>
      <c r="E1065" s="22"/>
      <c r="F1065" s="22"/>
      <c r="G1065" s="31"/>
      <c r="J1065" s="23"/>
      <c r="K1065" s="27"/>
    </row>
    <row r="1066" spans="1:11" x14ac:dyDescent="0.25">
      <c r="A1066" s="77"/>
      <c r="B1066" s="69"/>
      <c r="C1066" s="71"/>
      <c r="E1066" s="22"/>
      <c r="F1066" s="22"/>
      <c r="G1066" s="31"/>
      <c r="J1066" s="23"/>
      <c r="K1066" s="27"/>
    </row>
    <row r="1067" spans="1:11" x14ac:dyDescent="0.25">
      <c r="A1067" s="77"/>
      <c r="B1067" s="69"/>
      <c r="C1067" s="71"/>
      <c r="E1067" s="22"/>
      <c r="F1067" s="22"/>
      <c r="G1067" s="31"/>
      <c r="J1067" s="23"/>
      <c r="K1067" s="27"/>
    </row>
    <row r="1068" spans="1:11" x14ac:dyDescent="0.25">
      <c r="A1068" s="77"/>
      <c r="B1068" s="69"/>
      <c r="C1068" s="71"/>
      <c r="E1068" s="22"/>
      <c r="F1068" s="22"/>
      <c r="G1068" s="31"/>
      <c r="J1068" s="23"/>
      <c r="K1068" s="27"/>
    </row>
    <row r="1069" spans="1:11" x14ac:dyDescent="0.25">
      <c r="A1069" s="77"/>
      <c r="B1069" s="69"/>
      <c r="C1069" s="71"/>
      <c r="E1069" s="22"/>
      <c r="F1069" s="22"/>
      <c r="G1069" s="31"/>
      <c r="J1069" s="23"/>
      <c r="K1069" s="27"/>
    </row>
    <row r="1070" spans="1:11" x14ac:dyDescent="0.25">
      <c r="A1070" s="77"/>
      <c r="B1070" s="69"/>
      <c r="C1070" s="71"/>
      <c r="E1070" s="22"/>
      <c r="F1070" s="22"/>
      <c r="G1070" s="31"/>
      <c r="J1070" s="23"/>
      <c r="K1070" s="27"/>
    </row>
    <row r="1071" spans="1:11" x14ac:dyDescent="0.25">
      <c r="A1071" s="77"/>
      <c r="B1071" s="69"/>
      <c r="C1071" s="71"/>
      <c r="E1071" s="22"/>
      <c r="F1071" s="22"/>
      <c r="G1071" s="31"/>
      <c r="J1071" s="23"/>
      <c r="K1071" s="27"/>
    </row>
    <row r="1072" spans="1:11" x14ac:dyDescent="0.25">
      <c r="A1072" s="77"/>
      <c r="B1072" s="69"/>
      <c r="C1072" s="71"/>
      <c r="E1072" s="22"/>
      <c r="F1072" s="22"/>
      <c r="G1072" s="31"/>
      <c r="J1072" s="23"/>
      <c r="K1072" s="27"/>
    </row>
    <row r="1073" spans="1:11" x14ac:dyDescent="0.25">
      <c r="A1073" s="77"/>
      <c r="B1073" s="69"/>
      <c r="C1073" s="71"/>
      <c r="E1073" s="22"/>
      <c r="F1073" s="22"/>
      <c r="G1073" s="31"/>
      <c r="J1073" s="23"/>
      <c r="K1073" s="27"/>
    </row>
    <row r="1074" spans="1:11" x14ac:dyDescent="0.25">
      <c r="A1074" s="77"/>
      <c r="B1074" s="69"/>
      <c r="C1074" s="71"/>
      <c r="E1074" s="22"/>
      <c r="F1074" s="22"/>
      <c r="G1074" s="31"/>
      <c r="J1074" s="23"/>
      <c r="K1074" s="27"/>
    </row>
    <row r="1075" spans="1:11" x14ac:dyDescent="0.25">
      <c r="A1075" s="77"/>
      <c r="B1075" s="69"/>
      <c r="C1075" s="71"/>
      <c r="E1075" s="22"/>
      <c r="F1075" s="22"/>
      <c r="G1075" s="31"/>
      <c r="J1075" s="23"/>
      <c r="K1075" s="27"/>
    </row>
    <row r="1076" spans="1:11" x14ac:dyDescent="0.25">
      <c r="A1076" s="77"/>
      <c r="B1076" s="69"/>
      <c r="C1076" s="71"/>
      <c r="E1076" s="22"/>
      <c r="F1076" s="22"/>
      <c r="G1076" s="31"/>
      <c r="J1076" s="23"/>
      <c r="K1076" s="27"/>
    </row>
    <row r="1077" spans="1:11" x14ac:dyDescent="0.25">
      <c r="A1077" s="77"/>
      <c r="B1077" s="69"/>
      <c r="C1077" s="71"/>
      <c r="E1077" s="22"/>
      <c r="F1077" s="22"/>
      <c r="G1077" s="31"/>
      <c r="J1077" s="23"/>
      <c r="K1077" s="27"/>
    </row>
    <row r="1078" spans="1:11" x14ac:dyDescent="0.25">
      <c r="A1078" s="77"/>
      <c r="B1078" s="69"/>
      <c r="C1078" s="71"/>
      <c r="E1078" s="22"/>
      <c r="F1078" s="22"/>
      <c r="G1078" s="31"/>
      <c r="J1078" s="23"/>
      <c r="K1078" s="27"/>
    </row>
    <row r="1079" spans="1:11" x14ac:dyDescent="0.25">
      <c r="A1079" s="77"/>
      <c r="B1079" s="69"/>
      <c r="C1079" s="71"/>
      <c r="E1079" s="22"/>
      <c r="F1079" s="22"/>
      <c r="G1079" s="31"/>
      <c r="J1079" s="23"/>
      <c r="K1079" s="27"/>
    </row>
    <row r="1080" spans="1:11" x14ac:dyDescent="0.25">
      <c r="A1080" s="77"/>
      <c r="B1080" s="69"/>
      <c r="C1080" s="71"/>
      <c r="E1080" s="22"/>
      <c r="F1080" s="22"/>
      <c r="G1080" s="31"/>
      <c r="J1080" s="23"/>
      <c r="K1080" s="27"/>
    </row>
    <row r="1081" spans="1:11" x14ac:dyDescent="0.25">
      <c r="A1081" s="77"/>
      <c r="B1081" s="69"/>
      <c r="C1081" s="71"/>
      <c r="E1081" s="22"/>
      <c r="F1081" s="22"/>
      <c r="G1081" s="31"/>
      <c r="J1081" s="23"/>
      <c r="K1081" s="27"/>
    </row>
    <row r="1082" spans="1:11" x14ac:dyDescent="0.25">
      <c r="A1082" s="77"/>
      <c r="B1082" s="69"/>
      <c r="C1082" s="71"/>
      <c r="E1082" s="22"/>
      <c r="F1082" s="22"/>
      <c r="G1082" s="31"/>
      <c r="J1082" s="23"/>
      <c r="K1082" s="27"/>
    </row>
    <row r="1083" spans="1:11" x14ac:dyDescent="0.25">
      <c r="A1083" s="77"/>
      <c r="B1083" s="69"/>
      <c r="C1083" s="71"/>
      <c r="E1083" s="22"/>
      <c r="F1083" s="22"/>
      <c r="G1083" s="31"/>
      <c r="J1083" s="23"/>
      <c r="K1083" s="27"/>
    </row>
    <row r="1084" spans="1:11" x14ac:dyDescent="0.25">
      <c r="A1084" s="77"/>
      <c r="B1084" s="69"/>
      <c r="C1084" s="71"/>
      <c r="E1084" s="22"/>
      <c r="F1084" s="22"/>
      <c r="G1084" s="31"/>
      <c r="J1084" s="23"/>
      <c r="K1084" s="27"/>
    </row>
    <row r="1085" spans="1:11" x14ac:dyDescent="0.25">
      <c r="A1085" s="77"/>
      <c r="B1085" s="69"/>
      <c r="C1085" s="71"/>
      <c r="E1085" s="22"/>
      <c r="F1085" s="22"/>
      <c r="G1085" s="31"/>
      <c r="J1085" s="23"/>
      <c r="K1085" s="27"/>
    </row>
    <row r="1086" spans="1:11" x14ac:dyDescent="0.25">
      <c r="A1086" s="77"/>
      <c r="B1086" s="69"/>
      <c r="C1086" s="71"/>
      <c r="E1086" s="22"/>
      <c r="F1086" s="22"/>
      <c r="G1086" s="31"/>
      <c r="J1086" s="23"/>
      <c r="K1086" s="27"/>
    </row>
    <row r="1087" spans="1:11" x14ac:dyDescent="0.25">
      <c r="A1087" s="77"/>
      <c r="B1087" s="69"/>
      <c r="C1087" s="71"/>
      <c r="E1087" s="22"/>
      <c r="F1087" s="22"/>
      <c r="G1087" s="31"/>
      <c r="J1087" s="23"/>
      <c r="K1087" s="27"/>
    </row>
    <row r="1088" spans="1:11" x14ac:dyDescent="0.25">
      <c r="A1088" s="77"/>
      <c r="B1088" s="69"/>
      <c r="C1088" s="71"/>
      <c r="E1088" s="22"/>
      <c r="F1088" s="22"/>
      <c r="G1088" s="31"/>
      <c r="J1088" s="23"/>
      <c r="K1088" s="27"/>
    </row>
    <row r="1089" spans="1:11" x14ac:dyDescent="0.25">
      <c r="A1089" s="77"/>
      <c r="B1089" s="69"/>
      <c r="C1089" s="71"/>
      <c r="E1089" s="22"/>
      <c r="F1089" s="22"/>
      <c r="G1089" s="31"/>
      <c r="J1089" s="23"/>
      <c r="K1089" s="27"/>
    </row>
    <row r="1090" spans="1:11" x14ac:dyDescent="0.25">
      <c r="A1090" s="77"/>
      <c r="B1090" s="69"/>
      <c r="C1090" s="71"/>
      <c r="E1090" s="22"/>
      <c r="F1090" s="22"/>
      <c r="G1090" s="31"/>
      <c r="J1090" s="23"/>
      <c r="K1090" s="27"/>
    </row>
    <row r="1091" spans="1:11" x14ac:dyDescent="0.25">
      <c r="A1091" s="77"/>
      <c r="B1091" s="69"/>
      <c r="C1091" s="71"/>
      <c r="E1091" s="22"/>
      <c r="F1091" s="22"/>
      <c r="G1091" s="31"/>
      <c r="J1091" s="23"/>
      <c r="K1091" s="27"/>
    </row>
    <row r="1092" spans="1:11" x14ac:dyDescent="0.25">
      <c r="A1092" s="77"/>
      <c r="B1092" s="69"/>
      <c r="C1092" s="71"/>
      <c r="E1092" s="22"/>
      <c r="F1092" s="22"/>
      <c r="G1092" s="31"/>
      <c r="J1092" s="23"/>
      <c r="K1092" s="27"/>
    </row>
    <row r="1093" spans="1:11" x14ac:dyDescent="0.25">
      <c r="A1093" s="77"/>
      <c r="B1093" s="69"/>
      <c r="C1093" s="71"/>
      <c r="E1093" s="22"/>
      <c r="F1093" s="22"/>
      <c r="G1093" s="31"/>
      <c r="J1093" s="23"/>
      <c r="K1093" s="27"/>
    </row>
    <row r="1094" spans="1:11" x14ac:dyDescent="0.25">
      <c r="A1094" s="77"/>
      <c r="B1094" s="69"/>
      <c r="C1094" s="71"/>
      <c r="E1094" s="22"/>
      <c r="F1094" s="22"/>
      <c r="G1094" s="31"/>
      <c r="J1094" s="23"/>
      <c r="K1094" s="27"/>
    </row>
    <row r="1095" spans="1:11" x14ac:dyDescent="0.25">
      <c r="A1095" s="77"/>
      <c r="B1095" s="69"/>
      <c r="C1095" s="71"/>
      <c r="E1095" s="22"/>
      <c r="F1095" s="22"/>
      <c r="G1095" s="31"/>
      <c r="J1095" s="23"/>
      <c r="K1095" s="27"/>
    </row>
    <row r="1096" spans="1:11" x14ac:dyDescent="0.25">
      <c r="A1096" s="77"/>
      <c r="B1096" s="69"/>
      <c r="C1096" s="71"/>
      <c r="E1096" s="22"/>
      <c r="F1096" s="22"/>
      <c r="G1096" s="31"/>
      <c r="J1096" s="23"/>
      <c r="K1096" s="27"/>
    </row>
    <row r="1097" spans="1:11" x14ac:dyDescent="0.25">
      <c r="A1097" s="77"/>
      <c r="B1097" s="69"/>
      <c r="C1097" s="71"/>
      <c r="E1097" s="22"/>
      <c r="F1097" s="22"/>
      <c r="G1097" s="31"/>
      <c r="J1097" s="23"/>
      <c r="K1097" s="27"/>
    </row>
    <row r="1098" spans="1:11" x14ac:dyDescent="0.25">
      <c r="A1098" s="77"/>
      <c r="B1098" s="69"/>
      <c r="C1098" s="71"/>
      <c r="E1098" s="22"/>
      <c r="F1098" s="22"/>
      <c r="G1098" s="31"/>
      <c r="J1098" s="23"/>
      <c r="K1098" s="27"/>
    </row>
    <row r="1099" spans="1:11" x14ac:dyDescent="0.25">
      <c r="A1099" s="77"/>
      <c r="B1099" s="69"/>
      <c r="C1099" s="71"/>
      <c r="E1099" s="22"/>
      <c r="F1099" s="22"/>
      <c r="G1099" s="31"/>
      <c r="J1099" s="23"/>
      <c r="K1099" s="27"/>
    </row>
    <row r="1100" spans="1:11" x14ac:dyDescent="0.25">
      <c r="A1100" s="77"/>
      <c r="B1100" s="69"/>
      <c r="C1100" s="71"/>
      <c r="E1100" s="22"/>
      <c r="F1100" s="22"/>
      <c r="G1100" s="31"/>
      <c r="J1100" s="23"/>
      <c r="K1100" s="27"/>
    </row>
    <row r="1101" spans="1:11" x14ac:dyDescent="0.25">
      <c r="A1101" s="77"/>
      <c r="B1101" s="69"/>
      <c r="C1101" s="71"/>
      <c r="E1101" s="22"/>
      <c r="F1101" s="22"/>
      <c r="G1101" s="31"/>
      <c r="J1101" s="23"/>
      <c r="K1101" s="27"/>
    </row>
    <row r="1102" spans="1:11" x14ac:dyDescent="0.25">
      <c r="A1102" s="77"/>
      <c r="B1102" s="69"/>
      <c r="C1102" s="71"/>
      <c r="E1102" s="22"/>
      <c r="F1102" s="22"/>
      <c r="G1102" s="31"/>
      <c r="J1102" s="23"/>
      <c r="K1102" s="27"/>
    </row>
    <row r="1103" spans="1:11" x14ac:dyDescent="0.25">
      <c r="A1103" s="77"/>
      <c r="B1103" s="69"/>
      <c r="C1103" s="71"/>
      <c r="E1103" s="22"/>
      <c r="F1103" s="22"/>
      <c r="G1103" s="31"/>
      <c r="J1103" s="23"/>
      <c r="K1103" s="27"/>
    </row>
    <row r="1104" spans="1:11" x14ac:dyDescent="0.25">
      <c r="A1104" s="77"/>
      <c r="B1104" s="69"/>
      <c r="C1104" s="71"/>
      <c r="E1104" s="22"/>
      <c r="F1104" s="22"/>
      <c r="G1104" s="31"/>
      <c r="J1104" s="23"/>
      <c r="K1104" s="27"/>
    </row>
    <row r="1105" spans="1:11" x14ac:dyDescent="0.25">
      <c r="A1105" s="77"/>
      <c r="B1105" s="69"/>
      <c r="C1105" s="71"/>
      <c r="E1105" s="22"/>
      <c r="F1105" s="22"/>
      <c r="G1105" s="31"/>
      <c r="J1105" s="23"/>
      <c r="K1105" s="27"/>
    </row>
    <row r="1106" spans="1:11" x14ac:dyDescent="0.25">
      <c r="A1106" s="77"/>
      <c r="B1106" s="69"/>
      <c r="C1106" s="71"/>
      <c r="E1106" s="22"/>
      <c r="F1106" s="22"/>
      <c r="G1106" s="31"/>
      <c r="J1106" s="23"/>
      <c r="K1106" s="27"/>
    </row>
    <row r="1107" spans="1:11" x14ac:dyDescent="0.25">
      <c r="A1107" s="77"/>
      <c r="B1107" s="69"/>
      <c r="C1107" s="71"/>
      <c r="E1107" s="22"/>
      <c r="F1107" s="22"/>
      <c r="G1107" s="31"/>
      <c r="J1107" s="23"/>
      <c r="K1107" s="27"/>
    </row>
    <row r="1108" spans="1:11" x14ac:dyDescent="0.25">
      <c r="A1108" s="77"/>
      <c r="B1108" s="69"/>
      <c r="C1108" s="71"/>
      <c r="E1108" s="22"/>
      <c r="F1108" s="22"/>
      <c r="G1108" s="31"/>
      <c r="J1108" s="23"/>
      <c r="K1108" s="27"/>
    </row>
    <row r="1109" spans="1:11" x14ac:dyDescent="0.25">
      <c r="A1109" s="77"/>
      <c r="B1109" s="69"/>
      <c r="C1109" s="71"/>
      <c r="E1109" s="22"/>
      <c r="F1109" s="22"/>
      <c r="G1109" s="31"/>
      <c r="J1109" s="23"/>
      <c r="K1109" s="27"/>
    </row>
    <row r="1110" spans="1:11" x14ac:dyDescent="0.25">
      <c r="A1110" s="77"/>
      <c r="B1110" s="69"/>
      <c r="C1110" s="71"/>
      <c r="E1110" s="22"/>
      <c r="F1110" s="22"/>
      <c r="G1110" s="31"/>
      <c r="J1110" s="23"/>
      <c r="K1110" s="27"/>
    </row>
    <row r="1111" spans="1:11" x14ac:dyDescent="0.25">
      <c r="A1111" s="77"/>
      <c r="B1111" s="69"/>
      <c r="C1111" s="71"/>
      <c r="E1111" s="22"/>
      <c r="F1111" s="22"/>
      <c r="G1111" s="31"/>
      <c r="J1111" s="23"/>
      <c r="K1111" s="27"/>
    </row>
    <row r="1112" spans="1:11" x14ac:dyDescent="0.25">
      <c r="A1112" s="77"/>
      <c r="B1112" s="69"/>
      <c r="C1112" s="71"/>
      <c r="E1112" s="22"/>
      <c r="F1112" s="22"/>
      <c r="G1112" s="31"/>
      <c r="J1112" s="23"/>
      <c r="K1112" s="27"/>
    </row>
    <row r="1113" spans="1:11" x14ac:dyDescent="0.25">
      <c r="A1113" s="77"/>
      <c r="B1113" s="69"/>
      <c r="C1113" s="71"/>
      <c r="E1113" s="22"/>
      <c r="F1113" s="22"/>
      <c r="G1113" s="31"/>
      <c r="J1113" s="23"/>
      <c r="K1113" s="27"/>
    </row>
    <row r="1114" spans="1:11" x14ac:dyDescent="0.25">
      <c r="A1114" s="77"/>
      <c r="B1114" s="69"/>
      <c r="C1114" s="71"/>
      <c r="E1114" s="22"/>
      <c r="F1114" s="22"/>
      <c r="G1114" s="31"/>
      <c r="J1114" s="23"/>
      <c r="K1114" s="27"/>
    </row>
    <row r="1115" spans="1:11" x14ac:dyDescent="0.25">
      <c r="A1115" s="77"/>
      <c r="B1115" s="69"/>
      <c r="C1115" s="71"/>
      <c r="E1115" s="22"/>
      <c r="F1115" s="22"/>
      <c r="G1115" s="31"/>
      <c r="J1115" s="23"/>
      <c r="K1115" s="27"/>
    </row>
    <row r="1116" spans="1:11" x14ac:dyDescent="0.25">
      <c r="A1116" s="77"/>
      <c r="B1116" s="69"/>
      <c r="C1116" s="71"/>
      <c r="E1116" s="22"/>
      <c r="F1116" s="22"/>
      <c r="G1116" s="31"/>
      <c r="J1116" s="23"/>
      <c r="K1116" s="27"/>
    </row>
    <row r="1117" spans="1:11" x14ac:dyDescent="0.25">
      <c r="A1117" s="77"/>
      <c r="B1117" s="69"/>
      <c r="C1117" s="71"/>
      <c r="E1117" s="22"/>
      <c r="F1117" s="22"/>
      <c r="G1117" s="31"/>
      <c r="J1117" s="23"/>
      <c r="K1117" s="27"/>
    </row>
    <row r="1118" spans="1:11" x14ac:dyDescent="0.25">
      <c r="A1118" s="77"/>
      <c r="B1118" s="69"/>
      <c r="C1118" s="71"/>
      <c r="E1118" s="22"/>
      <c r="F1118" s="22"/>
      <c r="G1118" s="31"/>
      <c r="J1118" s="23"/>
      <c r="K1118" s="27"/>
    </row>
    <row r="1119" spans="1:11" x14ac:dyDescent="0.25">
      <c r="A1119" s="77"/>
      <c r="B1119" s="69"/>
      <c r="C1119" s="71"/>
      <c r="E1119" s="22"/>
      <c r="F1119" s="22"/>
      <c r="G1119" s="31"/>
      <c r="J1119" s="23"/>
      <c r="K1119" s="27"/>
    </row>
    <row r="1120" spans="1:11" x14ac:dyDescent="0.25">
      <c r="A1120" s="77"/>
      <c r="B1120" s="69"/>
      <c r="C1120" s="71"/>
      <c r="E1120" s="22"/>
      <c r="F1120" s="22"/>
      <c r="G1120" s="31"/>
      <c r="J1120" s="23"/>
      <c r="K1120" s="27"/>
    </row>
    <row r="1121" spans="1:11" x14ac:dyDescent="0.25">
      <c r="A1121" s="77"/>
      <c r="B1121" s="69"/>
      <c r="C1121" s="71"/>
      <c r="E1121" s="22"/>
      <c r="F1121" s="22"/>
      <c r="G1121" s="31"/>
      <c r="J1121" s="23"/>
      <c r="K1121" s="27"/>
    </row>
    <row r="1122" spans="1:11" x14ac:dyDescent="0.25">
      <c r="A1122" s="77"/>
      <c r="B1122" s="69"/>
      <c r="C1122" s="71"/>
      <c r="E1122" s="22"/>
      <c r="F1122" s="22"/>
      <c r="G1122" s="31"/>
      <c r="J1122" s="23"/>
      <c r="K1122" s="27"/>
    </row>
    <row r="1123" spans="1:11" x14ac:dyDescent="0.25">
      <c r="A1123" s="77"/>
      <c r="B1123" s="69"/>
      <c r="C1123" s="71"/>
      <c r="E1123" s="22"/>
      <c r="F1123" s="22"/>
      <c r="G1123" s="31"/>
      <c r="J1123" s="23"/>
      <c r="K1123" s="27"/>
    </row>
    <row r="1124" spans="1:11" x14ac:dyDescent="0.25">
      <c r="A1124" s="77"/>
      <c r="B1124" s="69"/>
      <c r="C1124" s="71"/>
      <c r="E1124" s="22"/>
      <c r="F1124" s="22"/>
      <c r="G1124" s="31"/>
      <c r="J1124" s="23"/>
      <c r="K1124" s="27"/>
    </row>
    <row r="1125" spans="1:11" x14ac:dyDescent="0.25">
      <c r="A1125" s="77"/>
      <c r="B1125" s="69"/>
      <c r="C1125" s="71"/>
      <c r="E1125" s="22"/>
      <c r="F1125" s="22"/>
      <c r="G1125" s="31"/>
      <c r="J1125" s="23"/>
      <c r="K1125" s="27"/>
    </row>
    <row r="1126" spans="1:11" x14ac:dyDescent="0.25">
      <c r="A1126" s="77"/>
      <c r="B1126" s="69"/>
      <c r="C1126" s="71"/>
      <c r="E1126" s="22"/>
      <c r="F1126" s="22"/>
      <c r="G1126" s="31"/>
      <c r="J1126" s="23"/>
      <c r="K1126" s="27"/>
    </row>
    <row r="1127" spans="1:11" x14ac:dyDescent="0.25">
      <c r="A1127" s="77"/>
      <c r="B1127" s="69"/>
      <c r="C1127" s="71"/>
      <c r="E1127" s="22"/>
      <c r="F1127" s="22"/>
      <c r="G1127" s="31"/>
      <c r="J1127" s="23"/>
      <c r="K1127" s="27"/>
    </row>
    <row r="1128" spans="1:11" x14ac:dyDescent="0.25">
      <c r="A1128" s="77"/>
      <c r="B1128" s="69"/>
      <c r="C1128" s="71"/>
      <c r="E1128" s="22"/>
      <c r="F1128" s="22"/>
      <c r="G1128" s="31"/>
      <c r="J1128" s="23"/>
      <c r="K1128" s="27"/>
    </row>
    <row r="1129" spans="1:11" x14ac:dyDescent="0.25">
      <c r="A1129" s="77"/>
      <c r="B1129" s="69"/>
      <c r="C1129" s="71"/>
      <c r="E1129" s="22"/>
      <c r="F1129" s="22"/>
      <c r="G1129" s="31"/>
      <c r="J1129" s="23"/>
      <c r="K1129" s="27"/>
    </row>
    <row r="1130" spans="1:11" x14ac:dyDescent="0.25">
      <c r="A1130" s="77"/>
      <c r="B1130" s="69"/>
      <c r="C1130" s="71"/>
      <c r="E1130" s="22"/>
      <c r="F1130" s="22"/>
      <c r="G1130" s="31"/>
      <c r="J1130" s="23"/>
      <c r="K1130" s="27"/>
    </row>
    <row r="1131" spans="1:11" x14ac:dyDescent="0.25">
      <c r="A1131" s="77"/>
      <c r="B1131" s="69"/>
      <c r="C1131" s="71"/>
      <c r="E1131" s="22"/>
      <c r="F1131" s="22"/>
      <c r="G1131" s="31"/>
      <c r="J1131" s="23"/>
      <c r="K1131" s="27"/>
    </row>
    <row r="1132" spans="1:11" x14ac:dyDescent="0.25">
      <c r="A1132" s="77"/>
      <c r="B1132" s="69"/>
      <c r="C1132" s="71"/>
      <c r="E1132" s="22"/>
      <c r="F1132" s="22"/>
      <c r="G1132" s="31"/>
      <c r="J1132" s="23"/>
      <c r="K1132" s="27"/>
    </row>
    <row r="1133" spans="1:11" x14ac:dyDescent="0.25">
      <c r="A1133" s="77"/>
      <c r="B1133" s="69"/>
      <c r="C1133" s="71"/>
      <c r="E1133" s="22"/>
      <c r="F1133" s="22"/>
      <c r="G1133" s="31"/>
      <c r="J1133" s="23"/>
      <c r="K1133" s="27"/>
    </row>
    <row r="1134" spans="1:11" x14ac:dyDescent="0.25">
      <c r="A1134" s="77"/>
      <c r="B1134" s="69"/>
      <c r="C1134" s="71"/>
      <c r="E1134" s="22"/>
      <c r="F1134" s="22"/>
      <c r="G1134" s="31"/>
      <c r="J1134" s="23"/>
      <c r="K1134" s="27"/>
    </row>
    <row r="1135" spans="1:11" x14ac:dyDescent="0.25">
      <c r="A1135" s="77"/>
      <c r="B1135" s="69"/>
      <c r="C1135" s="71"/>
      <c r="E1135" s="22"/>
      <c r="F1135" s="22"/>
      <c r="G1135" s="31"/>
      <c r="J1135" s="23"/>
      <c r="K1135" s="27"/>
    </row>
    <row r="1136" spans="1:11" x14ac:dyDescent="0.25">
      <c r="A1136" s="77"/>
      <c r="B1136" s="69"/>
      <c r="C1136" s="71"/>
      <c r="E1136" s="22"/>
      <c r="F1136" s="22"/>
      <c r="G1136" s="31"/>
      <c r="J1136" s="23"/>
      <c r="K1136" s="27"/>
    </row>
    <row r="1137" spans="1:11" x14ac:dyDescent="0.25">
      <c r="A1137" s="77"/>
      <c r="B1137" s="69"/>
      <c r="C1137" s="71"/>
      <c r="E1137" s="22"/>
      <c r="F1137" s="22"/>
      <c r="G1137" s="31"/>
      <c r="J1137" s="23"/>
      <c r="K1137" s="27"/>
    </row>
    <row r="1138" spans="1:11" x14ac:dyDescent="0.25">
      <c r="A1138" s="77"/>
      <c r="B1138" s="69"/>
      <c r="C1138" s="71"/>
      <c r="E1138" s="22"/>
      <c r="F1138" s="22"/>
      <c r="G1138" s="31"/>
      <c r="J1138" s="23"/>
      <c r="K1138" s="27"/>
    </row>
    <row r="1139" spans="1:11" x14ac:dyDescent="0.25">
      <c r="A1139" s="77"/>
      <c r="B1139" s="69"/>
      <c r="C1139" s="71"/>
      <c r="E1139" s="22"/>
      <c r="F1139" s="22"/>
      <c r="G1139" s="31"/>
      <c r="J1139" s="23"/>
      <c r="K1139" s="27"/>
    </row>
    <row r="1140" spans="1:11" x14ac:dyDescent="0.25">
      <c r="A1140" s="77"/>
      <c r="B1140" s="69"/>
      <c r="C1140" s="71"/>
      <c r="E1140" s="22"/>
      <c r="F1140" s="22"/>
      <c r="G1140" s="31"/>
      <c r="J1140" s="23"/>
      <c r="K1140" s="27"/>
    </row>
    <row r="1141" spans="1:11" x14ac:dyDescent="0.25">
      <c r="A1141" s="77"/>
      <c r="B1141" s="69"/>
      <c r="C1141" s="71"/>
      <c r="E1141" s="22"/>
      <c r="F1141" s="22"/>
      <c r="G1141" s="31"/>
      <c r="J1141" s="23"/>
      <c r="K1141" s="27"/>
    </row>
    <row r="1142" spans="1:11" x14ac:dyDescent="0.25">
      <c r="A1142" s="77"/>
      <c r="B1142" s="69"/>
      <c r="C1142" s="71"/>
      <c r="E1142" s="22"/>
      <c r="F1142" s="22"/>
      <c r="G1142" s="31"/>
      <c r="J1142" s="23"/>
      <c r="K1142" s="27"/>
    </row>
    <row r="1143" spans="1:11" x14ac:dyDescent="0.25">
      <c r="A1143" s="77"/>
      <c r="B1143" s="69"/>
      <c r="C1143" s="71"/>
      <c r="E1143" s="22"/>
      <c r="F1143" s="22"/>
      <c r="G1143" s="31"/>
      <c r="J1143" s="23"/>
      <c r="K1143" s="27"/>
    </row>
    <row r="1144" spans="1:11" x14ac:dyDescent="0.25">
      <c r="A1144" s="77"/>
      <c r="B1144" s="69"/>
      <c r="C1144" s="71"/>
      <c r="E1144" s="22"/>
      <c r="F1144" s="22"/>
      <c r="G1144" s="31"/>
      <c r="J1144" s="23"/>
      <c r="K1144" s="27"/>
    </row>
    <row r="1145" spans="1:11" x14ac:dyDescent="0.25">
      <c r="A1145" s="77"/>
      <c r="B1145" s="69"/>
      <c r="C1145" s="71"/>
      <c r="E1145" s="22"/>
      <c r="F1145" s="22"/>
      <c r="G1145" s="31"/>
      <c r="J1145" s="23"/>
      <c r="K1145" s="27"/>
    </row>
    <row r="1146" spans="1:11" x14ac:dyDescent="0.25">
      <c r="A1146" s="77"/>
      <c r="B1146" s="69"/>
      <c r="C1146" s="71"/>
      <c r="E1146" s="22"/>
      <c r="F1146" s="22"/>
      <c r="G1146" s="31"/>
      <c r="J1146" s="23"/>
      <c r="K1146" s="27"/>
    </row>
    <row r="1147" spans="1:11" x14ac:dyDescent="0.25">
      <c r="A1147" s="77"/>
      <c r="B1147" s="69"/>
      <c r="C1147" s="71"/>
      <c r="E1147" s="22"/>
      <c r="F1147" s="22"/>
      <c r="G1147" s="31"/>
      <c r="J1147" s="23"/>
      <c r="K1147" s="27"/>
    </row>
    <row r="1148" spans="1:11" x14ac:dyDescent="0.25">
      <c r="A1148" s="77"/>
      <c r="B1148" s="69"/>
      <c r="C1148" s="71"/>
      <c r="E1148" s="22"/>
      <c r="F1148" s="22"/>
      <c r="G1148" s="31"/>
      <c r="J1148" s="23"/>
      <c r="K1148" s="27"/>
    </row>
    <row r="1149" spans="1:11" x14ac:dyDescent="0.25">
      <c r="A1149" s="77"/>
      <c r="B1149" s="69"/>
      <c r="C1149" s="71"/>
      <c r="E1149" s="22"/>
      <c r="F1149" s="22"/>
      <c r="G1149" s="31"/>
      <c r="J1149" s="23"/>
      <c r="K1149" s="27"/>
    </row>
    <row r="1150" spans="1:11" x14ac:dyDescent="0.25">
      <c r="A1150" s="77"/>
      <c r="B1150" s="69"/>
      <c r="C1150" s="71"/>
      <c r="E1150" s="22"/>
      <c r="F1150" s="22"/>
      <c r="G1150" s="31"/>
      <c r="J1150" s="23"/>
      <c r="K1150" s="27"/>
    </row>
    <row r="1151" spans="1:11" x14ac:dyDescent="0.25">
      <c r="A1151" s="77"/>
      <c r="B1151" s="69"/>
      <c r="C1151" s="71"/>
      <c r="E1151" s="22"/>
      <c r="F1151" s="22"/>
      <c r="G1151" s="31"/>
      <c r="J1151" s="23"/>
      <c r="K1151" s="27"/>
    </row>
    <row r="1152" spans="1:11" x14ac:dyDescent="0.25">
      <c r="A1152" s="77"/>
      <c r="B1152" s="69"/>
      <c r="C1152" s="71"/>
      <c r="E1152" s="22"/>
      <c r="F1152" s="22"/>
      <c r="G1152" s="31"/>
      <c r="J1152" s="23"/>
      <c r="K1152" s="27"/>
    </row>
    <row r="1153" spans="1:11" x14ac:dyDescent="0.25">
      <c r="A1153" s="77"/>
      <c r="B1153" s="69"/>
      <c r="C1153" s="71"/>
      <c r="E1153" s="22"/>
      <c r="F1153" s="22"/>
      <c r="G1153" s="31"/>
      <c r="J1153" s="23"/>
      <c r="K1153" s="27"/>
    </row>
    <row r="1154" spans="1:11" x14ac:dyDescent="0.25">
      <c r="A1154" s="77"/>
      <c r="B1154" s="69"/>
      <c r="C1154" s="71"/>
      <c r="E1154" s="22"/>
      <c r="F1154" s="22"/>
      <c r="G1154" s="31"/>
      <c r="J1154" s="23"/>
      <c r="K1154" s="27"/>
    </row>
    <row r="1155" spans="1:11" x14ac:dyDescent="0.25">
      <c r="A1155" s="77"/>
      <c r="B1155" s="69"/>
      <c r="C1155" s="71"/>
      <c r="E1155" s="22"/>
      <c r="F1155" s="22"/>
      <c r="G1155" s="31"/>
      <c r="J1155" s="23"/>
      <c r="K1155" s="27"/>
    </row>
    <row r="1156" spans="1:11" x14ac:dyDescent="0.25">
      <c r="A1156" s="77"/>
      <c r="B1156" s="69"/>
      <c r="C1156" s="71"/>
      <c r="E1156" s="22"/>
      <c r="F1156" s="22"/>
      <c r="G1156" s="31"/>
      <c r="J1156" s="23"/>
      <c r="K1156" s="27"/>
    </row>
    <row r="1157" spans="1:11" x14ac:dyDescent="0.25">
      <c r="A1157" s="77"/>
      <c r="B1157" s="69"/>
      <c r="C1157" s="71"/>
      <c r="E1157" s="22"/>
      <c r="F1157" s="22"/>
      <c r="G1157" s="31"/>
      <c r="J1157" s="23"/>
      <c r="K1157" s="27"/>
    </row>
    <row r="1158" spans="1:11" x14ac:dyDescent="0.25">
      <c r="A1158" s="77"/>
      <c r="B1158" s="69"/>
      <c r="C1158" s="71"/>
      <c r="E1158" s="22"/>
      <c r="F1158" s="22"/>
      <c r="G1158" s="31"/>
      <c r="J1158" s="23"/>
      <c r="K1158" s="27"/>
    </row>
    <row r="1159" spans="1:11" x14ac:dyDescent="0.25">
      <c r="A1159" s="77"/>
      <c r="B1159" s="69"/>
      <c r="C1159" s="71"/>
      <c r="E1159" s="22"/>
      <c r="F1159" s="22"/>
      <c r="G1159" s="31"/>
      <c r="J1159" s="23"/>
      <c r="K1159" s="27"/>
    </row>
    <row r="1160" spans="1:11" x14ac:dyDescent="0.25">
      <c r="A1160" s="77"/>
      <c r="B1160" s="69"/>
      <c r="C1160" s="71"/>
      <c r="E1160" s="22"/>
      <c r="F1160" s="22"/>
      <c r="G1160" s="31"/>
      <c r="J1160" s="23"/>
      <c r="K1160" s="27"/>
    </row>
    <row r="1161" spans="1:11" x14ac:dyDescent="0.25">
      <c r="A1161" s="77"/>
      <c r="B1161" s="69"/>
      <c r="C1161" s="71"/>
      <c r="E1161" s="22"/>
      <c r="F1161" s="22"/>
      <c r="G1161" s="31"/>
      <c r="J1161" s="23"/>
      <c r="K1161" s="27"/>
    </row>
    <row r="1162" spans="1:11" x14ac:dyDescent="0.25">
      <c r="A1162" s="77"/>
      <c r="B1162" s="69"/>
      <c r="C1162" s="71"/>
      <c r="E1162" s="22"/>
      <c r="F1162" s="22"/>
      <c r="G1162" s="31"/>
      <c r="J1162" s="23"/>
      <c r="K1162" s="27"/>
    </row>
    <row r="1163" spans="1:11" x14ac:dyDescent="0.25">
      <c r="A1163" s="77"/>
      <c r="B1163" s="69"/>
      <c r="C1163" s="71"/>
      <c r="E1163" s="22"/>
      <c r="F1163" s="22"/>
      <c r="G1163" s="31"/>
      <c r="J1163" s="23"/>
      <c r="K1163" s="27"/>
    </row>
    <row r="1164" spans="1:11" x14ac:dyDescent="0.25">
      <c r="A1164" s="77"/>
      <c r="B1164" s="69"/>
      <c r="C1164" s="71"/>
      <c r="E1164" s="22"/>
      <c r="F1164" s="22"/>
      <c r="G1164" s="31"/>
      <c r="J1164" s="23"/>
      <c r="K1164" s="27"/>
    </row>
    <row r="1165" spans="1:11" x14ac:dyDescent="0.25">
      <c r="A1165" s="77"/>
      <c r="B1165" s="69"/>
      <c r="C1165" s="71"/>
      <c r="E1165" s="22"/>
      <c r="F1165" s="22"/>
      <c r="G1165" s="31"/>
      <c r="J1165" s="23"/>
      <c r="K1165" s="27"/>
    </row>
    <row r="1166" spans="1:11" x14ac:dyDescent="0.25">
      <c r="A1166" s="77"/>
      <c r="B1166" s="69"/>
      <c r="C1166" s="71"/>
      <c r="E1166" s="22"/>
      <c r="F1166" s="22"/>
      <c r="G1166" s="31"/>
      <c r="J1166" s="23"/>
      <c r="K1166" s="27"/>
    </row>
    <row r="1167" spans="1:11" x14ac:dyDescent="0.25">
      <c r="A1167" s="77"/>
      <c r="B1167" s="69"/>
      <c r="C1167" s="71"/>
      <c r="E1167" s="22"/>
      <c r="F1167" s="22"/>
      <c r="G1167" s="31"/>
      <c r="J1167" s="23"/>
      <c r="K1167" s="27"/>
    </row>
    <row r="1168" spans="1:11" x14ac:dyDescent="0.25">
      <c r="A1168" s="77"/>
      <c r="B1168" s="69"/>
      <c r="C1168" s="71"/>
      <c r="E1168" s="22"/>
      <c r="F1168" s="22"/>
      <c r="G1168" s="31"/>
      <c r="J1168" s="23"/>
      <c r="K1168" s="27"/>
    </row>
    <row r="1169" spans="1:11" x14ac:dyDescent="0.25">
      <c r="A1169" s="77"/>
      <c r="B1169" s="69"/>
      <c r="C1169" s="71"/>
      <c r="E1169" s="22"/>
      <c r="F1169" s="22"/>
      <c r="G1169" s="31"/>
      <c r="J1169" s="23"/>
      <c r="K1169" s="27"/>
    </row>
    <row r="1170" spans="1:11" x14ac:dyDescent="0.25">
      <c r="A1170" s="77"/>
      <c r="B1170" s="69"/>
      <c r="C1170" s="71"/>
      <c r="E1170" s="22"/>
      <c r="F1170" s="22"/>
      <c r="G1170" s="31"/>
      <c r="J1170" s="23"/>
      <c r="K1170" s="27"/>
    </row>
    <row r="1171" spans="1:11" x14ac:dyDescent="0.25">
      <c r="A1171" s="77"/>
      <c r="B1171" s="69"/>
      <c r="C1171" s="71"/>
      <c r="E1171" s="22"/>
      <c r="F1171" s="22"/>
      <c r="G1171" s="31"/>
      <c r="J1171" s="23"/>
      <c r="K1171" s="27"/>
    </row>
    <row r="1172" spans="1:11" x14ac:dyDescent="0.25">
      <c r="A1172" s="77"/>
      <c r="B1172" s="69"/>
      <c r="C1172" s="71"/>
      <c r="E1172" s="22"/>
      <c r="F1172" s="22"/>
      <c r="G1172" s="31"/>
      <c r="J1172" s="23"/>
      <c r="K1172" s="27"/>
    </row>
    <row r="1173" spans="1:11" x14ac:dyDescent="0.25">
      <c r="A1173" s="77"/>
      <c r="B1173" s="69"/>
      <c r="C1173" s="71"/>
      <c r="E1173" s="22"/>
      <c r="F1173" s="22"/>
      <c r="G1173" s="31"/>
      <c r="J1173" s="23"/>
      <c r="K1173" s="27"/>
    </row>
    <row r="1174" spans="1:11" x14ac:dyDescent="0.25">
      <c r="A1174" s="77"/>
      <c r="B1174" s="69"/>
      <c r="C1174" s="71"/>
      <c r="E1174" s="22"/>
      <c r="F1174" s="22"/>
      <c r="G1174" s="31"/>
      <c r="J1174" s="23"/>
      <c r="K1174" s="27"/>
    </row>
    <row r="1175" spans="1:11" x14ac:dyDescent="0.25">
      <c r="A1175" s="77"/>
      <c r="B1175" s="69"/>
      <c r="C1175" s="71"/>
      <c r="E1175" s="22"/>
      <c r="F1175" s="22"/>
      <c r="G1175" s="31"/>
      <c r="J1175" s="23"/>
      <c r="K1175" s="27"/>
    </row>
    <row r="1176" spans="1:11" x14ac:dyDescent="0.25">
      <c r="A1176" s="77"/>
      <c r="B1176" s="69"/>
      <c r="C1176" s="71"/>
      <c r="E1176" s="22"/>
      <c r="F1176" s="22"/>
      <c r="G1176" s="31"/>
      <c r="J1176" s="23"/>
      <c r="K1176" s="27"/>
    </row>
    <row r="1177" spans="1:11" x14ac:dyDescent="0.25">
      <c r="A1177" s="77"/>
      <c r="B1177" s="69"/>
      <c r="C1177" s="71"/>
      <c r="E1177" s="22"/>
      <c r="F1177" s="22"/>
      <c r="G1177" s="31"/>
      <c r="J1177" s="23"/>
      <c r="K1177" s="27"/>
    </row>
    <row r="1178" spans="1:11" x14ac:dyDescent="0.25">
      <c r="A1178" s="77"/>
      <c r="B1178" s="69"/>
      <c r="C1178" s="71"/>
      <c r="E1178" s="22"/>
      <c r="F1178" s="22"/>
      <c r="G1178" s="31"/>
      <c r="J1178" s="23"/>
      <c r="K1178" s="27"/>
    </row>
    <row r="1179" spans="1:11" x14ac:dyDescent="0.25">
      <c r="A1179" s="77"/>
      <c r="B1179" s="69"/>
      <c r="C1179" s="71"/>
      <c r="E1179" s="22"/>
      <c r="F1179" s="22"/>
      <c r="G1179" s="31"/>
      <c r="J1179" s="23"/>
      <c r="K1179" s="27"/>
    </row>
    <row r="1180" spans="1:11" x14ac:dyDescent="0.25">
      <c r="A1180" s="77"/>
      <c r="B1180" s="69"/>
      <c r="C1180" s="71"/>
      <c r="E1180" s="22"/>
      <c r="F1180" s="22"/>
      <c r="G1180" s="31"/>
      <c r="J1180" s="23"/>
      <c r="K1180" s="27"/>
    </row>
    <row r="1181" spans="1:11" x14ac:dyDescent="0.25">
      <c r="A1181" s="77"/>
      <c r="B1181" s="69"/>
      <c r="C1181" s="71"/>
      <c r="E1181" s="22"/>
      <c r="F1181" s="22"/>
      <c r="G1181" s="31"/>
      <c r="J1181" s="23"/>
      <c r="K1181" s="27"/>
    </row>
    <row r="1182" spans="1:11" x14ac:dyDescent="0.25">
      <c r="A1182" s="77"/>
      <c r="B1182" s="69"/>
      <c r="C1182" s="71"/>
      <c r="E1182" s="22"/>
      <c r="F1182" s="22"/>
      <c r="G1182" s="31"/>
      <c r="J1182" s="23"/>
      <c r="K1182" s="27"/>
    </row>
    <row r="1183" spans="1:11" x14ac:dyDescent="0.25">
      <c r="A1183" s="77"/>
      <c r="B1183" s="69"/>
      <c r="C1183" s="71"/>
      <c r="E1183" s="22"/>
      <c r="F1183" s="22"/>
      <c r="G1183" s="31"/>
      <c r="J1183" s="23"/>
      <c r="K1183" s="27"/>
    </row>
    <row r="1184" spans="1:11" x14ac:dyDescent="0.25">
      <c r="A1184" s="77"/>
      <c r="B1184" s="69"/>
      <c r="C1184" s="71"/>
      <c r="E1184" s="22"/>
      <c r="F1184" s="22"/>
      <c r="G1184" s="31"/>
      <c r="J1184" s="23"/>
      <c r="K1184" s="27"/>
    </row>
    <row r="1185" spans="1:11" x14ac:dyDescent="0.25">
      <c r="A1185" s="77"/>
      <c r="B1185" s="69"/>
      <c r="C1185" s="71"/>
      <c r="E1185" s="22"/>
      <c r="F1185" s="22"/>
      <c r="G1185" s="31"/>
      <c r="J1185" s="23"/>
      <c r="K1185" s="27"/>
    </row>
    <row r="1186" spans="1:11" x14ac:dyDescent="0.25">
      <c r="A1186" s="77"/>
      <c r="B1186" s="69"/>
      <c r="C1186" s="71"/>
      <c r="E1186" s="22"/>
      <c r="F1186" s="22"/>
      <c r="G1186" s="31"/>
      <c r="J1186" s="23"/>
      <c r="K1186" s="27"/>
    </row>
    <row r="1187" spans="1:11" x14ac:dyDescent="0.25">
      <c r="A1187" s="77"/>
      <c r="B1187" s="69"/>
      <c r="C1187" s="71"/>
      <c r="E1187" s="22"/>
      <c r="F1187" s="22"/>
      <c r="G1187" s="31"/>
      <c r="J1187" s="23"/>
      <c r="K1187" s="27"/>
    </row>
    <row r="1188" spans="1:11" x14ac:dyDescent="0.25">
      <c r="A1188" s="77"/>
      <c r="B1188" s="69"/>
      <c r="C1188" s="71"/>
      <c r="E1188" s="22"/>
      <c r="F1188" s="22"/>
      <c r="G1188" s="31"/>
      <c r="J1188" s="23"/>
      <c r="K1188" s="27"/>
    </row>
    <row r="1189" spans="1:11" x14ac:dyDescent="0.25">
      <c r="A1189" s="77"/>
      <c r="B1189" s="69"/>
      <c r="C1189" s="71"/>
      <c r="E1189" s="22"/>
      <c r="F1189" s="22"/>
      <c r="G1189" s="31"/>
      <c r="J1189" s="23"/>
      <c r="K1189" s="27"/>
    </row>
    <row r="1190" spans="1:11" x14ac:dyDescent="0.25">
      <c r="A1190" s="77"/>
      <c r="B1190" s="69"/>
      <c r="C1190" s="71"/>
      <c r="E1190" s="22"/>
      <c r="F1190" s="22"/>
      <c r="G1190" s="31"/>
      <c r="J1190" s="23"/>
      <c r="K1190" s="27"/>
    </row>
    <row r="1191" spans="1:11" x14ac:dyDescent="0.25">
      <c r="A1191" s="77"/>
      <c r="B1191" s="69"/>
      <c r="C1191" s="71"/>
      <c r="E1191" s="22"/>
      <c r="F1191" s="22"/>
      <c r="G1191" s="31"/>
      <c r="J1191" s="23"/>
      <c r="K1191" s="27"/>
    </row>
    <row r="1192" spans="1:11" x14ac:dyDescent="0.25">
      <c r="A1192" s="77"/>
      <c r="B1192" s="69"/>
      <c r="C1192" s="71"/>
      <c r="E1192" s="22"/>
      <c r="F1192" s="22"/>
      <c r="G1192" s="31"/>
      <c r="J1192" s="23"/>
      <c r="K1192" s="27"/>
    </row>
    <row r="1193" spans="1:11" x14ac:dyDescent="0.25">
      <c r="A1193" s="77"/>
      <c r="B1193" s="69"/>
      <c r="C1193" s="71"/>
      <c r="E1193" s="22"/>
      <c r="F1193" s="22"/>
      <c r="G1193" s="31"/>
      <c r="J1193" s="23"/>
      <c r="K1193" s="27"/>
    </row>
    <row r="1194" spans="1:11" x14ac:dyDescent="0.25">
      <c r="A1194" s="77"/>
      <c r="B1194" s="69"/>
      <c r="C1194" s="71"/>
      <c r="E1194" s="22"/>
      <c r="F1194" s="22"/>
      <c r="G1194" s="31"/>
      <c r="J1194" s="23"/>
      <c r="K1194" s="27"/>
    </row>
    <row r="1195" spans="1:11" x14ac:dyDescent="0.25">
      <c r="A1195" s="77"/>
      <c r="B1195" s="69"/>
      <c r="C1195" s="71"/>
      <c r="E1195" s="22"/>
      <c r="F1195" s="22"/>
      <c r="G1195" s="31"/>
      <c r="J1195" s="23"/>
      <c r="K1195" s="27"/>
    </row>
    <row r="1196" spans="1:11" x14ac:dyDescent="0.25">
      <c r="A1196" s="77"/>
      <c r="B1196" s="69"/>
      <c r="C1196" s="71"/>
      <c r="E1196" s="22"/>
      <c r="F1196" s="22"/>
      <c r="G1196" s="31"/>
      <c r="J1196" s="23"/>
      <c r="K1196" s="27"/>
    </row>
    <row r="1197" spans="1:11" x14ac:dyDescent="0.25">
      <c r="A1197" s="77"/>
      <c r="B1197" s="69"/>
      <c r="C1197" s="71"/>
      <c r="E1197" s="22"/>
      <c r="F1197" s="22"/>
      <c r="G1197" s="31"/>
      <c r="J1197" s="23"/>
      <c r="K1197" s="27"/>
    </row>
    <row r="1198" spans="1:11" x14ac:dyDescent="0.25">
      <c r="A1198" s="77"/>
      <c r="B1198" s="69"/>
      <c r="C1198" s="71"/>
      <c r="E1198" s="22"/>
      <c r="F1198" s="22"/>
      <c r="G1198" s="31"/>
      <c r="J1198" s="23"/>
      <c r="K1198" s="27"/>
    </row>
    <row r="1199" spans="1:11" x14ac:dyDescent="0.25">
      <c r="A1199" s="77"/>
      <c r="B1199" s="69"/>
      <c r="C1199" s="71"/>
      <c r="E1199" s="22"/>
      <c r="F1199" s="22"/>
      <c r="G1199" s="31"/>
      <c r="J1199" s="23"/>
      <c r="K1199" s="27"/>
    </row>
    <row r="1200" spans="1:11" x14ac:dyDescent="0.25">
      <c r="A1200" s="77"/>
      <c r="B1200" s="69"/>
      <c r="C1200" s="71"/>
      <c r="E1200" s="22"/>
      <c r="F1200" s="22"/>
      <c r="G1200" s="31"/>
      <c r="J1200" s="23"/>
      <c r="K1200" s="27"/>
    </row>
    <row r="1201" spans="1:11" x14ac:dyDescent="0.25">
      <c r="A1201" s="77"/>
      <c r="B1201" s="69"/>
      <c r="C1201" s="71"/>
      <c r="E1201" s="22"/>
      <c r="F1201" s="22"/>
      <c r="G1201" s="31"/>
      <c r="J1201" s="23"/>
      <c r="K1201" s="27"/>
    </row>
    <row r="1202" spans="1:11" x14ac:dyDescent="0.25">
      <c r="A1202" s="77"/>
      <c r="B1202" s="69"/>
      <c r="C1202" s="71"/>
      <c r="E1202" s="22"/>
      <c r="F1202" s="22"/>
      <c r="G1202" s="31"/>
      <c r="J1202" s="23"/>
      <c r="K1202" s="27"/>
    </row>
    <row r="1203" spans="1:11" x14ac:dyDescent="0.25">
      <c r="A1203" s="77"/>
      <c r="B1203" s="69"/>
      <c r="C1203" s="71"/>
      <c r="E1203" s="22"/>
      <c r="F1203" s="22"/>
      <c r="G1203" s="31"/>
      <c r="J1203" s="23"/>
      <c r="K1203" s="27"/>
    </row>
    <row r="1204" spans="1:11" x14ac:dyDescent="0.25">
      <c r="A1204" s="77"/>
      <c r="B1204" s="69"/>
      <c r="C1204" s="71"/>
      <c r="E1204" s="22"/>
      <c r="F1204" s="22"/>
      <c r="G1204" s="31"/>
      <c r="J1204" s="23"/>
      <c r="K1204" s="27"/>
    </row>
    <row r="1205" spans="1:11" x14ac:dyDescent="0.25">
      <c r="A1205" s="77"/>
      <c r="B1205" s="69"/>
      <c r="C1205" s="71"/>
      <c r="E1205" s="22"/>
      <c r="F1205" s="22"/>
      <c r="G1205" s="31"/>
      <c r="J1205" s="23"/>
      <c r="K1205" s="27"/>
    </row>
    <row r="1206" spans="1:11" x14ac:dyDescent="0.25">
      <c r="A1206" s="77"/>
      <c r="B1206" s="69"/>
      <c r="C1206" s="71"/>
      <c r="E1206" s="22"/>
      <c r="F1206" s="22"/>
      <c r="G1206" s="31"/>
      <c r="J1206" s="23"/>
      <c r="K1206" s="27"/>
    </row>
    <row r="1207" spans="1:11" x14ac:dyDescent="0.25">
      <c r="A1207" s="77"/>
      <c r="B1207" s="69"/>
      <c r="C1207" s="71"/>
      <c r="E1207" s="22"/>
      <c r="F1207" s="22"/>
      <c r="G1207" s="31"/>
      <c r="J1207" s="23"/>
      <c r="K1207" s="27"/>
    </row>
    <row r="1208" spans="1:11" x14ac:dyDescent="0.25">
      <c r="A1208" s="77"/>
      <c r="B1208" s="69"/>
      <c r="C1208" s="71"/>
      <c r="E1208" s="22"/>
      <c r="F1208" s="22"/>
      <c r="G1208" s="31"/>
      <c r="J1208" s="23"/>
      <c r="K1208" s="27"/>
    </row>
    <row r="1209" spans="1:11" x14ac:dyDescent="0.25">
      <c r="A1209" s="77"/>
      <c r="B1209" s="69"/>
      <c r="C1209" s="71"/>
      <c r="E1209" s="22"/>
      <c r="F1209" s="22"/>
      <c r="G1209" s="31"/>
      <c r="J1209" s="23"/>
      <c r="K1209" s="27"/>
    </row>
    <row r="1210" spans="1:11" x14ac:dyDescent="0.25">
      <c r="A1210" s="77"/>
      <c r="B1210" s="69"/>
      <c r="C1210" s="71"/>
      <c r="E1210" s="22"/>
      <c r="F1210" s="22"/>
      <c r="G1210" s="31"/>
      <c r="J1210" s="23"/>
      <c r="K1210" s="27"/>
    </row>
    <row r="1211" spans="1:11" x14ac:dyDescent="0.25">
      <c r="A1211" s="77"/>
      <c r="B1211" s="69"/>
      <c r="C1211" s="71"/>
      <c r="E1211" s="22"/>
      <c r="F1211" s="22"/>
      <c r="G1211" s="31"/>
      <c r="J1211" s="23"/>
      <c r="K1211" s="27"/>
    </row>
    <row r="1212" spans="1:11" x14ac:dyDescent="0.25">
      <c r="A1212" s="77"/>
      <c r="B1212" s="69"/>
      <c r="C1212" s="71"/>
      <c r="E1212" s="22"/>
      <c r="F1212" s="22"/>
      <c r="G1212" s="31"/>
      <c r="J1212" s="23"/>
      <c r="K1212" s="27"/>
    </row>
    <row r="1213" spans="1:11" x14ac:dyDescent="0.25">
      <c r="A1213" s="77"/>
      <c r="B1213" s="69"/>
      <c r="C1213" s="71"/>
      <c r="E1213" s="22"/>
      <c r="F1213" s="22"/>
      <c r="G1213" s="31"/>
      <c r="J1213" s="23"/>
      <c r="K1213" s="27"/>
    </row>
    <row r="1214" spans="1:11" x14ac:dyDescent="0.25">
      <c r="A1214" s="77"/>
      <c r="B1214" s="69"/>
      <c r="C1214" s="71"/>
      <c r="E1214" s="22"/>
      <c r="F1214" s="22"/>
      <c r="G1214" s="31"/>
      <c r="J1214" s="23"/>
      <c r="K1214" s="27"/>
    </row>
    <row r="1215" spans="1:11" x14ac:dyDescent="0.25">
      <c r="A1215" s="77"/>
      <c r="B1215" s="69"/>
      <c r="C1215" s="71"/>
      <c r="E1215" s="22"/>
      <c r="F1215" s="22"/>
      <c r="G1215" s="31"/>
      <c r="J1215" s="23"/>
      <c r="K1215" s="27"/>
    </row>
    <row r="1216" spans="1:11" x14ac:dyDescent="0.25">
      <c r="A1216" s="77"/>
      <c r="B1216" s="69"/>
      <c r="C1216" s="71"/>
      <c r="E1216" s="22"/>
      <c r="F1216" s="22"/>
      <c r="G1216" s="31"/>
      <c r="J1216" s="23"/>
      <c r="K1216" s="27"/>
    </row>
    <row r="1217" spans="1:11" x14ac:dyDescent="0.25">
      <c r="A1217" s="77"/>
      <c r="B1217" s="69"/>
      <c r="C1217" s="71"/>
      <c r="E1217" s="22"/>
      <c r="F1217" s="22"/>
      <c r="G1217" s="31"/>
      <c r="J1217" s="23"/>
      <c r="K1217" s="27"/>
    </row>
    <row r="1218" spans="1:11" x14ac:dyDescent="0.25">
      <c r="A1218" s="77"/>
      <c r="B1218" s="69"/>
      <c r="C1218" s="71"/>
      <c r="E1218" s="22"/>
      <c r="F1218" s="22"/>
      <c r="G1218" s="31"/>
      <c r="J1218" s="23"/>
      <c r="K1218" s="27"/>
    </row>
    <row r="1219" spans="1:11" x14ac:dyDescent="0.25">
      <c r="A1219" s="77"/>
      <c r="B1219" s="69"/>
      <c r="C1219" s="71"/>
      <c r="E1219" s="22"/>
      <c r="F1219" s="22"/>
      <c r="G1219" s="31"/>
      <c r="J1219" s="23"/>
      <c r="K1219" s="27"/>
    </row>
    <row r="1220" spans="1:11" x14ac:dyDescent="0.25">
      <c r="A1220" s="77"/>
      <c r="B1220" s="69"/>
      <c r="C1220" s="71"/>
      <c r="E1220" s="22"/>
      <c r="F1220" s="22"/>
      <c r="G1220" s="31"/>
      <c r="J1220" s="23"/>
      <c r="K1220" s="27"/>
    </row>
    <row r="1221" spans="1:11" x14ac:dyDescent="0.25">
      <c r="A1221" s="77"/>
      <c r="B1221" s="69"/>
      <c r="C1221" s="71"/>
      <c r="E1221" s="22"/>
      <c r="F1221" s="22"/>
      <c r="G1221" s="31"/>
      <c r="J1221" s="23"/>
      <c r="K1221" s="27"/>
    </row>
    <row r="1222" spans="1:11" x14ac:dyDescent="0.25">
      <c r="A1222" s="77"/>
      <c r="B1222" s="69"/>
      <c r="C1222" s="71"/>
      <c r="E1222" s="22"/>
      <c r="F1222" s="22"/>
      <c r="G1222" s="31"/>
      <c r="J1222" s="23"/>
      <c r="K1222" s="27"/>
    </row>
    <row r="1223" spans="1:11" x14ac:dyDescent="0.25">
      <c r="A1223" s="77"/>
      <c r="B1223" s="69"/>
      <c r="C1223" s="71"/>
      <c r="E1223" s="22"/>
      <c r="F1223" s="22"/>
      <c r="G1223" s="31"/>
      <c r="J1223" s="23"/>
      <c r="K1223" s="27"/>
    </row>
    <row r="1224" spans="1:11" x14ac:dyDescent="0.25">
      <c r="A1224" s="77"/>
      <c r="B1224" s="69"/>
      <c r="C1224" s="71"/>
      <c r="E1224" s="22"/>
      <c r="F1224" s="22"/>
      <c r="G1224" s="31"/>
      <c r="J1224" s="23"/>
      <c r="K1224" s="27"/>
    </row>
    <row r="1225" spans="1:11" x14ac:dyDescent="0.25">
      <c r="A1225" s="77"/>
      <c r="B1225" s="69"/>
      <c r="C1225" s="71"/>
      <c r="E1225" s="22"/>
      <c r="F1225" s="22"/>
      <c r="G1225" s="31"/>
      <c r="J1225" s="23"/>
      <c r="K1225" s="27"/>
    </row>
    <row r="1226" spans="1:11" x14ac:dyDescent="0.25">
      <c r="A1226" s="77"/>
      <c r="B1226" s="69"/>
      <c r="C1226" s="71"/>
      <c r="E1226" s="22"/>
      <c r="F1226" s="22"/>
      <c r="G1226" s="31"/>
      <c r="J1226" s="23"/>
      <c r="K1226" s="27"/>
    </row>
    <row r="1227" spans="1:11" x14ac:dyDescent="0.25">
      <c r="A1227" s="77"/>
      <c r="B1227" s="69"/>
      <c r="C1227" s="71"/>
      <c r="E1227" s="22"/>
      <c r="F1227" s="22"/>
      <c r="G1227" s="31"/>
      <c r="J1227" s="23"/>
      <c r="K1227" s="27"/>
    </row>
    <row r="1228" spans="1:11" x14ac:dyDescent="0.25">
      <c r="A1228" s="77"/>
      <c r="B1228" s="69"/>
      <c r="C1228" s="71"/>
      <c r="E1228" s="22"/>
      <c r="F1228" s="22"/>
      <c r="G1228" s="31"/>
      <c r="J1228" s="23"/>
      <c r="K1228" s="27"/>
    </row>
    <row r="1229" spans="1:11" x14ac:dyDescent="0.25">
      <c r="A1229" s="77"/>
      <c r="B1229" s="69"/>
      <c r="C1229" s="71"/>
      <c r="E1229" s="22"/>
      <c r="F1229" s="22"/>
      <c r="G1229" s="31"/>
      <c r="J1229" s="23"/>
      <c r="K1229" s="27"/>
    </row>
    <row r="1230" spans="1:11" x14ac:dyDescent="0.25">
      <c r="A1230" s="77"/>
      <c r="B1230" s="69"/>
      <c r="C1230" s="71"/>
      <c r="E1230" s="22"/>
      <c r="F1230" s="22"/>
      <c r="G1230" s="31"/>
      <c r="J1230" s="23"/>
      <c r="K1230" s="27"/>
    </row>
    <row r="1231" spans="1:11" x14ac:dyDescent="0.25">
      <c r="A1231" s="77"/>
      <c r="B1231" s="69"/>
      <c r="C1231" s="71"/>
      <c r="E1231" s="22"/>
      <c r="F1231" s="22"/>
      <c r="G1231" s="31"/>
      <c r="J1231" s="23"/>
      <c r="K1231" s="27"/>
    </row>
    <row r="1232" spans="1:11" x14ac:dyDescent="0.25">
      <c r="A1232" s="77"/>
      <c r="B1232" s="69"/>
      <c r="C1232" s="71"/>
      <c r="E1232" s="22"/>
      <c r="F1232" s="22"/>
      <c r="G1232" s="31"/>
      <c r="J1232" s="23"/>
      <c r="K1232" s="27"/>
    </row>
    <row r="1233" spans="1:11" x14ac:dyDescent="0.25">
      <c r="A1233" s="77"/>
      <c r="B1233" s="69"/>
      <c r="C1233" s="71"/>
      <c r="E1233" s="22"/>
      <c r="F1233" s="22"/>
      <c r="G1233" s="31"/>
      <c r="J1233" s="23"/>
      <c r="K1233" s="27"/>
    </row>
    <row r="1234" spans="1:11" x14ac:dyDescent="0.25">
      <c r="A1234" s="77"/>
      <c r="B1234" s="69"/>
      <c r="C1234" s="71"/>
      <c r="E1234" s="22"/>
      <c r="F1234" s="22"/>
      <c r="G1234" s="31"/>
      <c r="J1234" s="23"/>
      <c r="K1234" s="27"/>
    </row>
    <row r="1235" spans="1:11" x14ac:dyDescent="0.25">
      <c r="A1235" s="77"/>
      <c r="B1235" s="69"/>
      <c r="C1235" s="71"/>
      <c r="E1235" s="22"/>
      <c r="F1235" s="22"/>
      <c r="G1235" s="31"/>
      <c r="J1235" s="23"/>
      <c r="K1235" s="27"/>
    </row>
    <row r="1236" spans="1:11" x14ac:dyDescent="0.25">
      <c r="A1236" s="77"/>
      <c r="B1236" s="69"/>
      <c r="C1236" s="71"/>
      <c r="E1236" s="22"/>
      <c r="F1236" s="22"/>
      <c r="G1236" s="31"/>
      <c r="J1236" s="23"/>
      <c r="K1236" s="27"/>
    </row>
    <row r="1237" spans="1:11" x14ac:dyDescent="0.25">
      <c r="A1237" s="77"/>
      <c r="B1237" s="69"/>
      <c r="C1237" s="71"/>
      <c r="E1237" s="22"/>
      <c r="F1237" s="22"/>
      <c r="G1237" s="31"/>
      <c r="J1237" s="23"/>
      <c r="K1237" s="27"/>
    </row>
    <row r="1238" spans="1:11" x14ac:dyDescent="0.25">
      <c r="A1238" s="77"/>
      <c r="B1238" s="69"/>
      <c r="C1238" s="71"/>
      <c r="E1238" s="22"/>
      <c r="F1238" s="22"/>
      <c r="G1238" s="31"/>
      <c r="J1238" s="23"/>
      <c r="K1238" s="27"/>
    </row>
    <row r="1239" spans="1:11" x14ac:dyDescent="0.25">
      <c r="A1239" s="77"/>
      <c r="B1239" s="69"/>
      <c r="C1239" s="71"/>
      <c r="E1239" s="22"/>
      <c r="F1239" s="22"/>
      <c r="G1239" s="31"/>
      <c r="J1239" s="23"/>
      <c r="K1239" s="27"/>
    </row>
    <row r="1240" spans="1:11" x14ac:dyDescent="0.25">
      <c r="A1240" s="77"/>
      <c r="B1240" s="69"/>
      <c r="C1240" s="71"/>
      <c r="E1240" s="22"/>
      <c r="F1240" s="22"/>
      <c r="G1240" s="31"/>
      <c r="J1240" s="23"/>
      <c r="K1240" s="27"/>
    </row>
    <row r="1241" spans="1:11" x14ac:dyDescent="0.25">
      <c r="A1241" s="77"/>
      <c r="B1241" s="69"/>
      <c r="C1241" s="71"/>
      <c r="E1241" s="22"/>
      <c r="F1241" s="22"/>
      <c r="G1241" s="31"/>
      <c r="J1241" s="23"/>
      <c r="K1241" s="27"/>
    </row>
    <row r="1242" spans="1:11" x14ac:dyDescent="0.25">
      <c r="A1242" s="77"/>
      <c r="B1242" s="69"/>
      <c r="C1242" s="71"/>
      <c r="E1242" s="22"/>
      <c r="F1242" s="22"/>
      <c r="G1242" s="31"/>
      <c r="J1242" s="23"/>
      <c r="K1242" s="27"/>
    </row>
    <row r="1243" spans="1:11" x14ac:dyDescent="0.25">
      <c r="A1243" s="77"/>
      <c r="B1243" s="69"/>
      <c r="C1243" s="71"/>
      <c r="E1243" s="22"/>
      <c r="F1243" s="22"/>
      <c r="G1243" s="31"/>
      <c r="J1243" s="23"/>
      <c r="K1243" s="27"/>
    </row>
    <row r="1244" spans="1:11" x14ac:dyDescent="0.25">
      <c r="A1244" s="77"/>
      <c r="B1244" s="69"/>
      <c r="C1244" s="71"/>
      <c r="E1244" s="22"/>
      <c r="F1244" s="22"/>
      <c r="G1244" s="31"/>
      <c r="J1244" s="23"/>
      <c r="K1244" s="27"/>
    </row>
    <row r="1245" spans="1:11" x14ac:dyDescent="0.25">
      <c r="A1245" s="77"/>
      <c r="B1245" s="69"/>
      <c r="C1245" s="71"/>
      <c r="E1245" s="22"/>
      <c r="F1245" s="22"/>
      <c r="G1245" s="31"/>
      <c r="J1245" s="23"/>
      <c r="K1245" s="27"/>
    </row>
    <row r="1246" spans="1:11" x14ac:dyDescent="0.25">
      <c r="A1246" s="77"/>
      <c r="B1246" s="69"/>
      <c r="C1246" s="71"/>
      <c r="E1246" s="22"/>
      <c r="F1246" s="22"/>
      <c r="G1246" s="31"/>
      <c r="J1246" s="23"/>
      <c r="K1246" s="27"/>
    </row>
    <row r="1247" spans="1:11" x14ac:dyDescent="0.25">
      <c r="A1247" s="77"/>
      <c r="B1247" s="69"/>
      <c r="C1247" s="71"/>
      <c r="E1247" s="22"/>
      <c r="F1247" s="22"/>
      <c r="G1247" s="31"/>
      <c r="J1247" s="23"/>
      <c r="K1247" s="27"/>
    </row>
    <row r="1248" spans="1:11" x14ac:dyDescent="0.25">
      <c r="A1248" s="77"/>
      <c r="B1248" s="69"/>
      <c r="C1248" s="71"/>
      <c r="E1248" s="22"/>
      <c r="F1248" s="22"/>
      <c r="G1248" s="31"/>
      <c r="J1248" s="23"/>
      <c r="K1248" s="27"/>
    </row>
    <row r="1249" spans="1:11" x14ac:dyDescent="0.25">
      <c r="A1249" s="77"/>
      <c r="B1249" s="69"/>
      <c r="C1249" s="71"/>
      <c r="E1249" s="22"/>
      <c r="F1249" s="22"/>
      <c r="G1249" s="31"/>
      <c r="J1249" s="23"/>
      <c r="K1249" s="27"/>
    </row>
    <row r="1250" spans="1:11" x14ac:dyDescent="0.25">
      <c r="A1250" s="77"/>
      <c r="B1250" s="69"/>
      <c r="C1250" s="71"/>
      <c r="E1250" s="22"/>
      <c r="F1250" s="22"/>
      <c r="G1250" s="31"/>
      <c r="J1250" s="23"/>
      <c r="K1250" s="27"/>
    </row>
    <row r="1251" spans="1:11" x14ac:dyDescent="0.25">
      <c r="A1251" s="77"/>
      <c r="B1251" s="69"/>
      <c r="C1251" s="71"/>
      <c r="E1251" s="22"/>
      <c r="F1251" s="22"/>
      <c r="G1251" s="31"/>
      <c r="J1251" s="23"/>
      <c r="K1251" s="27"/>
    </row>
    <row r="1252" spans="1:11" x14ac:dyDescent="0.25">
      <c r="A1252" s="77"/>
      <c r="B1252" s="69"/>
      <c r="C1252" s="71"/>
      <c r="E1252" s="22"/>
      <c r="F1252" s="22"/>
      <c r="G1252" s="31"/>
      <c r="J1252" s="23"/>
      <c r="K1252" s="27"/>
    </row>
    <row r="1253" spans="1:11" x14ac:dyDescent="0.25">
      <c r="A1253" s="77"/>
      <c r="B1253" s="69"/>
      <c r="C1253" s="71"/>
      <c r="E1253" s="22"/>
      <c r="F1253" s="22"/>
      <c r="G1253" s="31"/>
      <c r="J1253" s="23"/>
      <c r="K1253" s="27"/>
    </row>
    <row r="1254" spans="1:11" x14ac:dyDescent="0.25">
      <c r="A1254" s="77"/>
      <c r="B1254" s="69"/>
      <c r="C1254" s="71"/>
      <c r="E1254" s="22"/>
      <c r="F1254" s="22"/>
      <c r="G1254" s="31"/>
      <c r="J1254" s="23"/>
      <c r="K1254" s="27"/>
    </row>
    <row r="1255" spans="1:11" x14ac:dyDescent="0.25">
      <c r="A1255" s="77"/>
      <c r="B1255" s="69"/>
      <c r="C1255" s="71"/>
      <c r="E1255" s="22"/>
      <c r="F1255" s="22"/>
      <c r="G1255" s="31"/>
      <c r="J1255" s="23"/>
      <c r="K1255" s="27"/>
    </row>
    <row r="1256" spans="1:11" x14ac:dyDescent="0.25">
      <c r="A1256" s="77"/>
      <c r="B1256" s="69"/>
      <c r="C1256" s="71"/>
      <c r="E1256" s="22"/>
      <c r="F1256" s="22"/>
      <c r="G1256" s="31"/>
      <c r="J1256" s="23"/>
      <c r="K1256" s="27"/>
    </row>
    <row r="1257" spans="1:11" x14ac:dyDescent="0.25">
      <c r="A1257" s="77"/>
      <c r="B1257" s="69"/>
      <c r="C1257" s="71"/>
      <c r="E1257" s="22"/>
      <c r="F1257" s="22"/>
      <c r="G1257" s="31"/>
      <c r="J1257" s="23"/>
      <c r="K1257" s="27"/>
    </row>
    <row r="1258" spans="1:11" x14ac:dyDescent="0.25">
      <c r="A1258" s="77"/>
      <c r="B1258" s="69"/>
      <c r="C1258" s="71"/>
      <c r="E1258" s="22"/>
      <c r="F1258" s="22"/>
      <c r="G1258" s="31"/>
      <c r="J1258" s="23"/>
      <c r="K1258" s="27"/>
    </row>
    <row r="1259" spans="1:11" x14ac:dyDescent="0.25">
      <c r="A1259" s="77"/>
      <c r="B1259" s="69"/>
      <c r="C1259" s="71"/>
      <c r="E1259" s="22"/>
      <c r="F1259" s="22"/>
      <c r="G1259" s="31"/>
      <c r="J1259" s="23"/>
      <c r="K1259" s="27"/>
    </row>
    <row r="1260" spans="1:11" x14ac:dyDescent="0.25">
      <c r="A1260" s="77"/>
      <c r="B1260" s="69"/>
      <c r="C1260" s="71"/>
      <c r="E1260" s="22"/>
      <c r="F1260" s="22"/>
      <c r="G1260" s="31"/>
      <c r="J1260" s="23"/>
      <c r="K1260" s="27"/>
    </row>
    <row r="1261" spans="1:11" x14ac:dyDescent="0.25">
      <c r="A1261" s="77"/>
      <c r="B1261" s="69"/>
      <c r="C1261" s="71"/>
      <c r="E1261" s="22"/>
      <c r="F1261" s="22"/>
      <c r="G1261" s="31"/>
      <c r="J1261" s="23"/>
      <c r="K1261" s="27"/>
    </row>
    <row r="1262" spans="1:11" x14ac:dyDescent="0.25">
      <c r="A1262" s="77"/>
      <c r="B1262" s="69"/>
      <c r="C1262" s="71"/>
      <c r="E1262" s="22"/>
      <c r="F1262" s="22"/>
      <c r="G1262" s="31"/>
      <c r="J1262" s="23"/>
      <c r="K1262" s="27"/>
    </row>
    <row r="1263" spans="1:11" x14ac:dyDescent="0.25">
      <c r="A1263" s="77"/>
      <c r="B1263" s="69"/>
      <c r="C1263" s="71"/>
      <c r="E1263" s="22"/>
      <c r="F1263" s="22"/>
      <c r="G1263" s="31"/>
      <c r="J1263" s="23"/>
      <c r="K1263" s="27"/>
    </row>
    <row r="1264" spans="1:11" x14ac:dyDescent="0.25">
      <c r="A1264" s="77"/>
      <c r="B1264" s="69"/>
      <c r="C1264" s="71"/>
      <c r="E1264" s="22"/>
      <c r="F1264" s="22"/>
      <c r="G1264" s="31"/>
      <c r="J1264" s="23"/>
      <c r="K1264" s="27"/>
    </row>
    <row r="1265" spans="1:11" x14ac:dyDescent="0.25">
      <c r="A1265" s="77"/>
      <c r="B1265" s="69"/>
      <c r="C1265" s="71"/>
      <c r="E1265" s="22"/>
      <c r="F1265" s="22"/>
      <c r="G1265" s="31"/>
      <c r="J1265" s="23"/>
      <c r="K1265" s="27"/>
    </row>
    <row r="1266" spans="1:11" x14ac:dyDescent="0.25">
      <c r="A1266" s="77"/>
      <c r="B1266" s="69"/>
      <c r="C1266" s="71"/>
      <c r="E1266" s="22"/>
      <c r="F1266" s="22"/>
      <c r="G1266" s="31"/>
      <c r="J1266" s="23"/>
      <c r="K1266" s="27"/>
    </row>
    <row r="1267" spans="1:11" x14ac:dyDescent="0.25">
      <c r="A1267" s="77"/>
      <c r="B1267" s="69"/>
      <c r="C1267" s="71"/>
      <c r="E1267" s="22"/>
      <c r="F1267" s="22"/>
      <c r="G1267" s="31"/>
      <c r="J1267" s="23"/>
      <c r="K1267" s="27"/>
    </row>
    <row r="1268" spans="1:11" x14ac:dyDescent="0.25">
      <c r="A1268" s="77"/>
      <c r="B1268" s="69"/>
      <c r="C1268" s="71"/>
      <c r="E1268" s="22"/>
      <c r="F1268" s="22"/>
      <c r="G1268" s="31"/>
      <c r="J1268" s="23"/>
      <c r="K1268" s="27"/>
    </row>
    <row r="1269" spans="1:11" x14ac:dyDescent="0.25">
      <c r="A1269" s="77"/>
      <c r="B1269" s="69"/>
      <c r="C1269" s="71"/>
      <c r="E1269" s="22"/>
      <c r="F1269" s="22"/>
      <c r="G1269" s="31"/>
      <c r="J1269" s="23"/>
      <c r="K1269" s="27"/>
    </row>
    <row r="1270" spans="1:11" x14ac:dyDescent="0.25">
      <c r="A1270" s="77"/>
      <c r="B1270" s="69"/>
      <c r="C1270" s="71"/>
      <c r="E1270" s="22"/>
      <c r="F1270" s="22"/>
      <c r="G1270" s="31"/>
      <c r="J1270" s="23"/>
      <c r="K1270" s="27"/>
    </row>
    <row r="1271" spans="1:11" x14ac:dyDescent="0.25">
      <c r="A1271" s="77"/>
      <c r="B1271" s="69"/>
      <c r="C1271" s="71"/>
      <c r="E1271" s="22"/>
      <c r="F1271" s="22"/>
      <c r="G1271" s="31"/>
      <c r="J1271" s="23"/>
      <c r="K1271" s="27"/>
    </row>
    <row r="1272" spans="1:11" x14ac:dyDescent="0.25">
      <c r="A1272" s="77"/>
      <c r="B1272" s="69"/>
      <c r="C1272" s="71"/>
      <c r="E1272" s="22"/>
      <c r="F1272" s="22"/>
      <c r="G1272" s="31"/>
      <c r="J1272" s="23"/>
      <c r="K1272" s="27"/>
    </row>
    <row r="1273" spans="1:11" x14ac:dyDescent="0.25">
      <c r="A1273" s="77"/>
      <c r="B1273" s="69"/>
      <c r="C1273" s="71"/>
      <c r="E1273" s="22"/>
      <c r="F1273" s="22"/>
      <c r="G1273" s="31"/>
      <c r="J1273" s="23"/>
      <c r="K1273" s="27"/>
    </row>
    <row r="1274" spans="1:11" x14ac:dyDescent="0.25">
      <c r="A1274" s="77"/>
      <c r="B1274" s="69"/>
      <c r="C1274" s="71"/>
      <c r="E1274" s="22"/>
      <c r="F1274" s="22"/>
      <c r="G1274" s="31"/>
      <c r="J1274" s="23"/>
      <c r="K1274" s="27"/>
    </row>
    <row r="1275" spans="1:11" x14ac:dyDescent="0.25">
      <c r="A1275" s="77"/>
      <c r="B1275" s="69"/>
      <c r="C1275" s="71"/>
      <c r="E1275" s="22"/>
      <c r="F1275" s="22"/>
      <c r="G1275" s="31"/>
      <c r="J1275" s="23"/>
      <c r="K1275" s="27"/>
    </row>
    <row r="1276" spans="1:11" x14ac:dyDescent="0.25">
      <c r="A1276" s="77"/>
      <c r="B1276" s="69"/>
      <c r="C1276" s="71"/>
      <c r="E1276" s="22"/>
      <c r="F1276" s="22"/>
      <c r="G1276" s="31"/>
      <c r="J1276" s="23"/>
      <c r="K1276" s="27"/>
    </row>
    <row r="1277" spans="1:11" x14ac:dyDescent="0.25">
      <c r="A1277" s="77"/>
      <c r="B1277" s="69"/>
      <c r="C1277" s="71"/>
      <c r="E1277" s="22"/>
      <c r="F1277" s="22"/>
      <c r="G1277" s="31"/>
      <c r="J1277" s="23"/>
      <c r="K1277" s="27"/>
    </row>
    <row r="1278" spans="1:11" x14ac:dyDescent="0.25">
      <c r="A1278" s="77"/>
      <c r="B1278" s="69"/>
      <c r="C1278" s="71"/>
      <c r="E1278" s="22"/>
      <c r="F1278" s="22"/>
      <c r="G1278" s="31"/>
      <c r="J1278" s="23"/>
      <c r="K1278" s="27"/>
    </row>
    <row r="1279" spans="1:11" x14ac:dyDescent="0.25">
      <c r="A1279" s="77"/>
      <c r="B1279" s="69"/>
      <c r="C1279" s="71"/>
      <c r="E1279" s="22"/>
      <c r="F1279" s="22"/>
      <c r="G1279" s="31"/>
      <c r="J1279" s="23"/>
      <c r="K1279" s="27"/>
    </row>
    <row r="1280" spans="1:11" x14ac:dyDescent="0.25">
      <c r="A1280" s="77"/>
      <c r="B1280" s="69"/>
      <c r="C1280" s="71"/>
      <c r="E1280" s="22"/>
      <c r="F1280" s="22"/>
      <c r="G1280" s="31"/>
      <c r="J1280" s="23"/>
      <c r="K1280" s="27"/>
    </row>
    <row r="1281" spans="1:11" x14ac:dyDescent="0.25">
      <c r="A1281" s="77"/>
      <c r="B1281" s="69"/>
      <c r="C1281" s="71"/>
      <c r="E1281" s="22"/>
      <c r="F1281" s="22"/>
      <c r="G1281" s="31"/>
      <c r="J1281" s="23"/>
      <c r="K1281" s="27"/>
    </row>
    <row r="1282" spans="1:11" x14ac:dyDescent="0.25">
      <c r="A1282" s="77"/>
      <c r="B1282" s="69"/>
      <c r="C1282" s="71"/>
      <c r="E1282" s="22"/>
      <c r="F1282" s="22"/>
      <c r="G1282" s="31"/>
      <c r="J1282" s="23"/>
      <c r="K1282" s="27"/>
    </row>
    <row r="1283" spans="1:11" x14ac:dyDescent="0.25">
      <c r="A1283" s="77"/>
      <c r="B1283" s="69"/>
      <c r="C1283" s="71"/>
      <c r="E1283" s="22"/>
      <c r="F1283" s="22"/>
      <c r="G1283" s="31"/>
      <c r="J1283" s="23"/>
      <c r="K1283" s="27"/>
    </row>
    <row r="1284" spans="1:11" x14ac:dyDescent="0.25">
      <c r="A1284" s="77"/>
      <c r="B1284" s="69"/>
      <c r="C1284" s="71"/>
      <c r="E1284" s="22"/>
      <c r="F1284" s="22"/>
      <c r="G1284" s="31"/>
      <c r="J1284" s="23"/>
      <c r="K1284" s="27"/>
    </row>
    <row r="1285" spans="1:11" x14ac:dyDescent="0.25">
      <c r="A1285" s="77"/>
      <c r="B1285" s="69"/>
      <c r="C1285" s="71"/>
      <c r="E1285" s="22"/>
      <c r="F1285" s="22"/>
      <c r="G1285" s="31"/>
      <c r="J1285" s="23"/>
      <c r="K1285" s="27"/>
    </row>
    <row r="1286" spans="1:11" x14ac:dyDescent="0.25">
      <c r="A1286" s="77"/>
      <c r="B1286" s="69"/>
      <c r="C1286" s="71"/>
      <c r="E1286" s="22"/>
      <c r="F1286" s="22"/>
      <c r="G1286" s="31"/>
      <c r="J1286" s="23"/>
      <c r="K1286" s="27"/>
    </row>
    <row r="1287" spans="1:11" x14ac:dyDescent="0.25">
      <c r="A1287" s="77"/>
      <c r="B1287" s="69"/>
      <c r="C1287" s="71"/>
      <c r="E1287" s="22"/>
      <c r="F1287" s="22"/>
      <c r="G1287" s="31"/>
      <c r="J1287" s="23"/>
      <c r="K1287" s="27"/>
    </row>
    <row r="1288" spans="1:11" x14ac:dyDescent="0.25">
      <c r="A1288" s="77"/>
      <c r="B1288" s="69"/>
      <c r="C1288" s="71"/>
      <c r="E1288" s="22"/>
      <c r="F1288" s="22"/>
      <c r="G1288" s="31"/>
      <c r="J1288" s="23"/>
      <c r="K1288" s="27"/>
    </row>
    <row r="1289" spans="1:11" x14ac:dyDescent="0.25">
      <c r="A1289" s="77"/>
      <c r="B1289" s="69"/>
      <c r="C1289" s="71"/>
      <c r="E1289" s="22"/>
      <c r="F1289" s="22"/>
      <c r="G1289" s="31"/>
      <c r="J1289" s="23"/>
      <c r="K1289" s="27"/>
    </row>
    <row r="1290" spans="1:11" x14ac:dyDescent="0.25">
      <c r="A1290" s="77"/>
      <c r="B1290" s="69"/>
      <c r="C1290" s="71"/>
      <c r="E1290" s="22"/>
      <c r="F1290" s="22"/>
      <c r="G1290" s="31"/>
      <c r="J1290" s="23"/>
      <c r="K1290" s="27"/>
    </row>
    <row r="1291" spans="1:11" x14ac:dyDescent="0.25">
      <c r="A1291" s="77"/>
      <c r="B1291" s="69"/>
      <c r="C1291" s="71"/>
      <c r="E1291" s="22"/>
      <c r="F1291" s="22"/>
      <c r="G1291" s="31"/>
      <c r="J1291" s="23"/>
      <c r="K1291" s="27"/>
    </row>
    <row r="1292" spans="1:11" x14ac:dyDescent="0.25">
      <c r="A1292" s="77"/>
      <c r="B1292" s="69"/>
      <c r="C1292" s="71"/>
      <c r="E1292" s="22"/>
      <c r="F1292" s="22"/>
      <c r="G1292" s="31"/>
      <c r="J1292" s="23"/>
      <c r="K1292" s="27"/>
    </row>
    <row r="1293" spans="1:11" x14ac:dyDescent="0.25">
      <c r="A1293" s="77"/>
      <c r="B1293" s="69"/>
      <c r="C1293" s="71"/>
      <c r="E1293" s="22"/>
      <c r="F1293" s="22"/>
      <c r="G1293" s="31"/>
      <c r="J1293" s="23"/>
      <c r="K1293" s="27"/>
    </row>
    <row r="1294" spans="1:11" x14ac:dyDescent="0.25">
      <c r="A1294" s="77"/>
      <c r="B1294" s="69"/>
      <c r="C1294" s="71"/>
      <c r="E1294" s="22"/>
      <c r="F1294" s="22"/>
      <c r="G1294" s="31"/>
      <c r="J1294" s="23"/>
      <c r="K1294" s="27"/>
    </row>
    <row r="1295" spans="1:11" x14ac:dyDescent="0.25">
      <c r="A1295" s="77"/>
      <c r="B1295" s="69"/>
      <c r="C1295" s="71"/>
      <c r="E1295" s="22"/>
      <c r="F1295" s="22"/>
      <c r="G1295" s="31"/>
      <c r="J1295" s="23"/>
      <c r="K1295" s="27"/>
    </row>
    <row r="1296" spans="1:11" x14ac:dyDescent="0.25">
      <c r="A1296" s="77"/>
      <c r="B1296" s="69"/>
      <c r="C1296" s="71"/>
      <c r="E1296" s="22"/>
      <c r="F1296" s="22"/>
      <c r="G1296" s="31"/>
      <c r="J1296" s="23"/>
      <c r="K1296" s="27"/>
    </row>
    <row r="1297" spans="1:11" x14ac:dyDescent="0.25">
      <c r="A1297" s="77"/>
      <c r="B1297" s="69"/>
      <c r="C1297" s="71"/>
      <c r="E1297" s="22"/>
      <c r="F1297" s="22"/>
      <c r="G1297" s="31"/>
      <c r="J1297" s="23"/>
      <c r="K1297" s="27"/>
    </row>
    <row r="1298" spans="1:11" x14ac:dyDescent="0.25">
      <c r="A1298" s="77"/>
      <c r="B1298" s="69"/>
      <c r="C1298" s="71"/>
      <c r="E1298" s="22"/>
      <c r="F1298" s="22"/>
      <c r="G1298" s="31"/>
      <c r="J1298" s="23"/>
      <c r="K1298" s="27"/>
    </row>
    <row r="1299" spans="1:11" x14ac:dyDescent="0.25">
      <c r="A1299" s="77"/>
      <c r="B1299" s="69"/>
      <c r="C1299" s="71"/>
      <c r="E1299" s="22"/>
      <c r="F1299" s="22"/>
      <c r="G1299" s="31"/>
      <c r="J1299" s="23"/>
      <c r="K1299" s="27"/>
    </row>
    <row r="1300" spans="1:11" x14ac:dyDescent="0.25">
      <c r="A1300" s="77"/>
      <c r="B1300" s="69"/>
      <c r="C1300" s="71"/>
      <c r="E1300" s="22"/>
      <c r="F1300" s="22"/>
      <c r="G1300" s="31"/>
      <c r="J1300" s="23"/>
      <c r="K1300" s="27"/>
    </row>
    <row r="1301" spans="1:11" x14ac:dyDescent="0.25">
      <c r="A1301" s="77"/>
      <c r="B1301" s="69"/>
      <c r="C1301" s="71"/>
      <c r="E1301" s="22"/>
      <c r="F1301" s="22"/>
      <c r="G1301" s="31"/>
      <c r="J1301" s="23"/>
      <c r="K1301" s="27"/>
    </row>
    <row r="1302" spans="1:11" x14ac:dyDescent="0.25">
      <c r="A1302" s="77"/>
      <c r="B1302" s="69"/>
      <c r="C1302" s="71"/>
      <c r="E1302" s="22"/>
      <c r="F1302" s="22"/>
      <c r="G1302" s="31"/>
      <c r="J1302" s="23"/>
      <c r="K1302" s="27"/>
    </row>
    <row r="1303" spans="1:11" x14ac:dyDescent="0.25">
      <c r="A1303" s="77"/>
      <c r="B1303" s="69"/>
      <c r="C1303" s="71"/>
      <c r="E1303" s="22"/>
      <c r="F1303" s="22"/>
      <c r="G1303" s="31"/>
      <c r="J1303" s="23"/>
      <c r="K1303" s="27"/>
    </row>
    <row r="1304" spans="1:11" x14ac:dyDescent="0.25">
      <c r="A1304" s="77"/>
      <c r="B1304" s="69"/>
      <c r="C1304" s="71"/>
      <c r="E1304" s="22"/>
      <c r="F1304" s="22"/>
      <c r="G1304" s="31"/>
      <c r="J1304" s="23"/>
      <c r="K1304" s="27"/>
    </row>
    <row r="1305" spans="1:11" x14ac:dyDescent="0.25">
      <c r="A1305" s="77"/>
      <c r="B1305" s="69"/>
      <c r="C1305" s="71"/>
      <c r="E1305" s="22"/>
      <c r="F1305" s="22"/>
      <c r="G1305" s="31"/>
      <c r="J1305" s="23"/>
      <c r="K1305" s="27"/>
    </row>
    <row r="1306" spans="1:11" x14ac:dyDescent="0.25">
      <c r="A1306" s="77"/>
      <c r="B1306" s="69"/>
      <c r="C1306" s="71"/>
      <c r="E1306" s="22"/>
      <c r="F1306" s="22"/>
      <c r="G1306" s="31"/>
      <c r="J1306" s="23"/>
      <c r="K1306" s="27"/>
    </row>
    <row r="1307" spans="1:11" x14ac:dyDescent="0.25">
      <c r="A1307" s="77"/>
      <c r="B1307" s="69"/>
      <c r="C1307" s="71"/>
      <c r="E1307" s="22"/>
      <c r="F1307" s="22"/>
      <c r="G1307" s="31"/>
      <c r="J1307" s="23"/>
      <c r="K1307" s="27"/>
    </row>
    <row r="1308" spans="1:11" x14ac:dyDescent="0.25">
      <c r="A1308" s="77"/>
      <c r="B1308" s="69"/>
      <c r="C1308" s="71"/>
      <c r="E1308" s="22"/>
      <c r="F1308" s="22"/>
      <c r="G1308" s="31"/>
      <c r="J1308" s="23"/>
      <c r="K1308" s="27"/>
    </row>
    <row r="1309" spans="1:11" x14ac:dyDescent="0.25">
      <c r="A1309" s="77"/>
      <c r="B1309" s="69"/>
      <c r="C1309" s="71"/>
      <c r="E1309" s="22"/>
      <c r="F1309" s="22"/>
      <c r="G1309" s="31"/>
      <c r="J1309" s="23"/>
      <c r="K1309" s="27"/>
    </row>
    <row r="1310" spans="1:11" x14ac:dyDescent="0.25">
      <c r="A1310" s="77"/>
      <c r="B1310" s="69"/>
      <c r="C1310" s="71"/>
      <c r="E1310" s="22"/>
      <c r="F1310" s="22"/>
      <c r="G1310" s="31"/>
      <c r="J1310" s="23"/>
      <c r="K1310" s="27"/>
    </row>
    <row r="1311" spans="1:11" x14ac:dyDescent="0.25">
      <c r="A1311" s="77"/>
      <c r="B1311" s="69"/>
      <c r="C1311" s="71"/>
      <c r="E1311" s="22"/>
      <c r="F1311" s="22"/>
      <c r="G1311" s="31"/>
      <c r="J1311" s="23"/>
      <c r="K1311" s="27"/>
    </row>
    <row r="1312" spans="1:11" x14ac:dyDescent="0.25">
      <c r="A1312" s="77"/>
      <c r="B1312" s="69"/>
      <c r="C1312" s="71"/>
      <c r="E1312" s="22"/>
      <c r="F1312" s="22"/>
      <c r="G1312" s="31"/>
      <c r="J1312" s="23"/>
      <c r="K1312" s="27"/>
    </row>
    <row r="1313" spans="1:11" x14ac:dyDescent="0.25">
      <c r="A1313" s="77"/>
      <c r="B1313" s="69"/>
      <c r="C1313" s="71"/>
      <c r="E1313" s="22"/>
      <c r="F1313" s="22"/>
      <c r="G1313" s="31"/>
      <c r="J1313" s="23"/>
      <c r="K1313" s="27"/>
    </row>
    <row r="1314" spans="1:11" x14ac:dyDescent="0.25">
      <c r="A1314" s="77"/>
      <c r="B1314" s="69"/>
      <c r="C1314" s="71"/>
      <c r="E1314" s="22"/>
      <c r="F1314" s="22"/>
      <c r="G1314" s="31"/>
      <c r="J1314" s="23"/>
      <c r="K1314" s="27"/>
    </row>
    <row r="1315" spans="1:11" x14ac:dyDescent="0.25">
      <c r="A1315" s="77"/>
      <c r="B1315" s="69"/>
      <c r="C1315" s="71"/>
      <c r="E1315" s="22"/>
      <c r="F1315" s="22"/>
      <c r="G1315" s="31"/>
      <c r="J1315" s="23"/>
      <c r="K1315" s="27"/>
    </row>
    <row r="1316" spans="1:11" x14ac:dyDescent="0.25">
      <c r="A1316" s="77"/>
      <c r="B1316" s="69"/>
      <c r="C1316" s="71"/>
      <c r="E1316" s="22"/>
      <c r="F1316" s="22"/>
      <c r="G1316" s="31"/>
      <c r="J1316" s="23"/>
      <c r="K1316" s="27"/>
    </row>
    <row r="1317" spans="1:11" x14ac:dyDescent="0.25">
      <c r="A1317" s="77"/>
      <c r="B1317" s="69"/>
      <c r="C1317" s="71"/>
      <c r="E1317" s="22"/>
      <c r="F1317" s="22"/>
      <c r="G1317" s="31"/>
      <c r="J1317" s="23"/>
      <c r="K1317" s="27"/>
    </row>
    <row r="1318" spans="1:11" x14ac:dyDescent="0.25">
      <c r="A1318" s="77"/>
      <c r="B1318" s="69"/>
      <c r="C1318" s="71"/>
      <c r="E1318" s="22"/>
      <c r="F1318" s="22"/>
      <c r="G1318" s="31"/>
      <c r="J1318" s="23"/>
      <c r="K1318" s="27"/>
    </row>
    <row r="1319" spans="1:11" x14ac:dyDescent="0.25">
      <c r="A1319" s="77"/>
      <c r="B1319" s="69"/>
      <c r="C1319" s="71"/>
      <c r="E1319" s="22"/>
      <c r="F1319" s="22"/>
      <c r="G1319" s="31"/>
      <c r="J1319" s="23"/>
      <c r="K1319" s="27"/>
    </row>
    <row r="1320" spans="1:11" x14ac:dyDescent="0.25">
      <c r="A1320" s="77"/>
      <c r="B1320" s="69"/>
      <c r="C1320" s="71"/>
      <c r="E1320" s="22"/>
      <c r="F1320" s="22"/>
      <c r="G1320" s="31"/>
      <c r="J1320" s="23"/>
      <c r="K1320" s="27"/>
    </row>
    <row r="1321" spans="1:11" x14ac:dyDescent="0.25">
      <c r="A1321" s="77"/>
      <c r="B1321" s="69"/>
      <c r="C1321" s="71"/>
      <c r="E1321" s="22"/>
      <c r="F1321" s="22"/>
      <c r="G1321" s="31"/>
      <c r="J1321" s="23"/>
      <c r="K1321" s="27"/>
    </row>
    <row r="1322" spans="1:11" x14ac:dyDescent="0.25">
      <c r="A1322" s="77"/>
      <c r="B1322" s="69"/>
      <c r="C1322" s="71"/>
      <c r="E1322" s="22"/>
      <c r="F1322" s="22"/>
      <c r="G1322" s="31"/>
      <c r="J1322" s="23"/>
      <c r="K1322" s="27"/>
    </row>
    <row r="1323" spans="1:11" x14ac:dyDescent="0.25">
      <c r="A1323" s="77"/>
      <c r="B1323" s="69"/>
      <c r="C1323" s="71"/>
      <c r="E1323" s="22"/>
      <c r="F1323" s="22"/>
      <c r="G1323" s="31"/>
      <c r="J1323" s="23"/>
      <c r="K1323" s="27"/>
    </row>
    <row r="1324" spans="1:11" x14ac:dyDescent="0.25">
      <c r="A1324" s="77"/>
      <c r="B1324" s="69"/>
      <c r="C1324" s="71"/>
      <c r="E1324" s="22"/>
      <c r="F1324" s="22"/>
      <c r="G1324" s="31"/>
      <c r="J1324" s="23"/>
      <c r="K1324" s="27"/>
    </row>
    <row r="1325" spans="1:11" x14ac:dyDescent="0.25">
      <c r="A1325" s="77"/>
      <c r="B1325" s="69"/>
      <c r="C1325" s="71"/>
      <c r="E1325" s="22"/>
      <c r="F1325" s="22"/>
      <c r="G1325" s="31"/>
      <c r="J1325" s="23"/>
      <c r="K1325" s="27"/>
    </row>
    <row r="1326" spans="1:11" x14ac:dyDescent="0.25">
      <c r="A1326" s="77"/>
      <c r="B1326" s="69"/>
      <c r="C1326" s="71"/>
      <c r="E1326" s="22"/>
      <c r="F1326" s="22"/>
      <c r="G1326" s="31"/>
      <c r="J1326" s="23"/>
      <c r="K1326" s="27"/>
    </row>
    <row r="1327" spans="1:11" x14ac:dyDescent="0.25">
      <c r="A1327" s="77"/>
      <c r="B1327" s="69"/>
      <c r="C1327" s="71"/>
      <c r="E1327" s="22"/>
      <c r="F1327" s="22"/>
      <c r="G1327" s="31"/>
      <c r="J1327" s="23"/>
      <c r="K1327" s="27"/>
    </row>
    <row r="1328" spans="1:11" x14ac:dyDescent="0.25">
      <c r="A1328" s="77"/>
      <c r="B1328" s="69"/>
      <c r="C1328" s="71"/>
      <c r="E1328" s="22"/>
      <c r="F1328" s="22"/>
      <c r="G1328" s="31"/>
      <c r="J1328" s="23"/>
      <c r="K1328" s="27"/>
    </row>
    <row r="1329" spans="1:11" x14ac:dyDescent="0.25">
      <c r="A1329" s="77"/>
      <c r="B1329" s="69"/>
      <c r="C1329" s="71"/>
      <c r="E1329" s="22"/>
      <c r="F1329" s="22"/>
      <c r="G1329" s="31"/>
      <c r="J1329" s="23"/>
      <c r="K1329" s="27"/>
    </row>
    <row r="1330" spans="1:11" x14ac:dyDescent="0.25">
      <c r="A1330" s="77"/>
      <c r="B1330" s="69"/>
      <c r="C1330" s="71"/>
      <c r="E1330" s="22"/>
      <c r="F1330" s="22"/>
      <c r="G1330" s="31"/>
      <c r="J1330" s="23"/>
      <c r="K1330" s="27"/>
    </row>
    <row r="1331" spans="1:11" x14ac:dyDescent="0.25">
      <c r="A1331" s="77"/>
      <c r="B1331" s="69"/>
      <c r="C1331" s="71"/>
      <c r="E1331" s="22"/>
      <c r="F1331" s="22"/>
      <c r="G1331" s="31"/>
      <c r="J1331" s="23"/>
      <c r="K1331" s="27"/>
    </row>
    <row r="1332" spans="1:11" x14ac:dyDescent="0.25">
      <c r="A1332" s="77"/>
      <c r="B1332" s="69"/>
      <c r="C1332" s="71"/>
      <c r="E1332" s="22"/>
      <c r="F1332" s="22"/>
      <c r="G1332" s="31"/>
      <c r="J1332" s="23"/>
      <c r="K1332" s="27"/>
    </row>
    <row r="1333" spans="1:11" x14ac:dyDescent="0.25">
      <c r="A1333" s="77"/>
      <c r="B1333" s="69"/>
      <c r="C1333" s="71"/>
      <c r="E1333" s="22"/>
      <c r="F1333" s="22"/>
      <c r="G1333" s="31"/>
      <c r="J1333" s="23"/>
      <c r="K1333" s="27"/>
    </row>
    <row r="1334" spans="1:11" x14ac:dyDescent="0.25">
      <c r="A1334" s="77"/>
      <c r="B1334" s="69"/>
      <c r="C1334" s="71"/>
      <c r="E1334" s="22"/>
      <c r="F1334" s="22"/>
      <c r="G1334" s="31"/>
      <c r="J1334" s="23"/>
      <c r="K1334" s="27"/>
    </row>
    <row r="1335" spans="1:11" x14ac:dyDescent="0.25">
      <c r="A1335" s="77"/>
      <c r="B1335" s="69"/>
      <c r="C1335" s="71"/>
      <c r="E1335" s="22"/>
      <c r="F1335" s="22"/>
      <c r="G1335" s="31"/>
      <c r="J1335" s="23"/>
      <c r="K1335" s="27"/>
    </row>
    <row r="1336" spans="1:11" x14ac:dyDescent="0.25">
      <c r="A1336" s="77"/>
      <c r="B1336" s="69"/>
      <c r="C1336" s="71"/>
      <c r="E1336" s="22"/>
      <c r="F1336" s="22"/>
      <c r="G1336" s="31"/>
      <c r="J1336" s="23"/>
      <c r="K1336" s="27"/>
    </row>
    <row r="1337" spans="1:11" x14ac:dyDescent="0.25">
      <c r="A1337" s="77"/>
      <c r="B1337" s="69"/>
      <c r="C1337" s="71"/>
      <c r="E1337" s="22"/>
      <c r="F1337" s="22"/>
      <c r="G1337" s="31"/>
      <c r="J1337" s="23"/>
      <c r="K1337" s="27"/>
    </row>
    <row r="1338" spans="1:11" x14ac:dyDescent="0.25">
      <c r="A1338" s="77"/>
      <c r="B1338" s="69"/>
      <c r="C1338" s="71"/>
      <c r="E1338" s="22"/>
      <c r="F1338" s="22"/>
      <c r="G1338" s="31"/>
      <c r="J1338" s="23"/>
      <c r="K1338" s="27"/>
    </row>
    <row r="1339" spans="1:11" x14ac:dyDescent="0.25">
      <c r="A1339" s="77"/>
      <c r="B1339" s="69"/>
      <c r="C1339" s="71"/>
      <c r="E1339" s="22"/>
      <c r="F1339" s="22"/>
      <c r="G1339" s="31"/>
      <c r="J1339" s="23"/>
      <c r="K1339" s="27"/>
    </row>
    <row r="1340" spans="1:11" x14ac:dyDescent="0.25">
      <c r="A1340" s="77"/>
      <c r="B1340" s="69"/>
      <c r="C1340" s="71"/>
      <c r="E1340" s="22"/>
      <c r="F1340" s="22"/>
      <c r="G1340" s="31"/>
      <c r="J1340" s="23"/>
      <c r="K1340" s="27"/>
    </row>
    <row r="1341" spans="1:11" x14ac:dyDescent="0.25">
      <c r="A1341" s="77"/>
      <c r="B1341" s="69"/>
      <c r="C1341" s="71"/>
      <c r="E1341" s="22"/>
      <c r="F1341" s="22"/>
      <c r="G1341" s="31"/>
      <c r="J1341" s="23"/>
      <c r="K1341" s="27"/>
    </row>
    <row r="1342" spans="1:11" x14ac:dyDescent="0.25">
      <c r="A1342" s="77"/>
      <c r="B1342" s="69"/>
      <c r="C1342" s="71"/>
      <c r="E1342" s="22"/>
      <c r="F1342" s="22"/>
      <c r="G1342" s="31"/>
      <c r="J1342" s="23"/>
      <c r="K1342" s="27"/>
    </row>
    <row r="1343" spans="1:11" x14ac:dyDescent="0.25">
      <c r="A1343" s="77"/>
      <c r="B1343" s="69"/>
      <c r="C1343" s="71"/>
      <c r="E1343" s="22"/>
      <c r="F1343" s="22"/>
      <c r="G1343" s="31"/>
      <c r="J1343" s="23"/>
      <c r="K1343" s="27"/>
    </row>
    <row r="1344" spans="1:11" x14ac:dyDescent="0.25">
      <c r="A1344" s="77"/>
      <c r="B1344" s="69"/>
      <c r="C1344" s="71"/>
      <c r="E1344" s="22"/>
      <c r="F1344" s="22"/>
      <c r="G1344" s="31"/>
      <c r="J1344" s="23"/>
      <c r="K1344" s="27"/>
    </row>
    <row r="1345" spans="1:11" x14ac:dyDescent="0.25">
      <c r="A1345" s="77"/>
      <c r="B1345" s="69"/>
      <c r="C1345" s="71"/>
      <c r="E1345" s="22"/>
      <c r="F1345" s="22"/>
      <c r="G1345" s="31"/>
      <c r="J1345" s="23"/>
      <c r="K1345" s="27"/>
    </row>
    <row r="1346" spans="1:11" x14ac:dyDescent="0.25">
      <c r="A1346" s="77"/>
      <c r="B1346" s="69"/>
      <c r="C1346" s="71"/>
      <c r="E1346" s="22"/>
      <c r="F1346" s="22"/>
      <c r="G1346" s="31"/>
      <c r="J1346" s="23"/>
      <c r="K1346" s="27"/>
    </row>
    <row r="1347" spans="1:11" x14ac:dyDescent="0.25">
      <c r="A1347" s="77"/>
      <c r="B1347" s="69"/>
      <c r="C1347" s="71"/>
      <c r="E1347" s="22"/>
      <c r="F1347" s="22"/>
      <c r="G1347" s="31"/>
      <c r="J1347" s="23"/>
      <c r="K1347" s="27"/>
    </row>
    <row r="1348" spans="1:11" x14ac:dyDescent="0.25">
      <c r="A1348" s="77"/>
      <c r="B1348" s="69"/>
      <c r="C1348" s="71"/>
      <c r="E1348" s="22"/>
      <c r="F1348" s="22"/>
      <c r="G1348" s="31"/>
      <c r="J1348" s="23"/>
      <c r="K1348" s="27"/>
    </row>
    <row r="1349" spans="1:11" x14ac:dyDescent="0.25">
      <c r="A1349" s="77"/>
      <c r="B1349" s="69"/>
      <c r="C1349" s="71"/>
      <c r="E1349" s="22"/>
      <c r="F1349" s="22"/>
      <c r="G1349" s="31"/>
      <c r="J1349" s="23"/>
      <c r="K1349" s="27"/>
    </row>
    <row r="1350" spans="1:11" x14ac:dyDescent="0.25">
      <c r="A1350" s="77"/>
      <c r="B1350" s="69"/>
      <c r="C1350" s="71"/>
      <c r="E1350" s="22"/>
      <c r="F1350" s="22"/>
      <c r="G1350" s="31"/>
      <c r="J1350" s="23"/>
      <c r="K1350" s="27"/>
    </row>
    <row r="1351" spans="1:11" x14ac:dyDescent="0.25">
      <c r="A1351" s="77"/>
      <c r="B1351" s="69"/>
      <c r="C1351" s="71"/>
      <c r="E1351" s="22"/>
      <c r="F1351" s="22"/>
      <c r="G1351" s="31"/>
      <c r="J1351" s="23"/>
      <c r="K1351" s="27"/>
    </row>
    <row r="1352" spans="1:11" x14ac:dyDescent="0.25">
      <c r="A1352" s="77"/>
      <c r="B1352" s="69"/>
      <c r="C1352" s="71"/>
      <c r="E1352" s="22"/>
      <c r="F1352" s="22"/>
      <c r="G1352" s="31"/>
      <c r="J1352" s="23"/>
      <c r="K1352" s="27"/>
    </row>
    <row r="1353" spans="1:11" x14ac:dyDescent="0.25">
      <c r="A1353" s="77"/>
      <c r="B1353" s="69"/>
      <c r="C1353" s="71"/>
      <c r="E1353" s="22"/>
      <c r="F1353" s="22"/>
      <c r="G1353" s="31"/>
      <c r="J1353" s="23"/>
      <c r="K1353" s="27"/>
    </row>
    <row r="1354" spans="1:11" x14ac:dyDescent="0.25">
      <c r="A1354" s="77"/>
      <c r="B1354" s="69"/>
      <c r="C1354" s="71"/>
      <c r="E1354" s="22"/>
      <c r="F1354" s="22"/>
      <c r="G1354" s="31"/>
      <c r="J1354" s="23"/>
      <c r="K1354" s="27"/>
    </row>
    <row r="1355" spans="1:11" x14ac:dyDescent="0.25">
      <c r="A1355" s="77"/>
      <c r="B1355" s="69"/>
      <c r="C1355" s="71"/>
      <c r="E1355" s="22"/>
      <c r="F1355" s="22"/>
      <c r="G1355" s="31"/>
      <c r="J1355" s="23"/>
      <c r="K1355" s="27"/>
    </row>
    <row r="1356" spans="1:11" x14ac:dyDescent="0.25">
      <c r="A1356" s="77"/>
      <c r="B1356" s="69"/>
      <c r="C1356" s="71"/>
      <c r="E1356" s="22"/>
      <c r="F1356" s="22"/>
      <c r="G1356" s="31"/>
      <c r="J1356" s="23"/>
      <c r="K1356" s="27"/>
    </row>
    <row r="1357" spans="1:11" x14ac:dyDescent="0.25">
      <c r="A1357" s="77"/>
      <c r="B1357" s="69"/>
      <c r="C1357" s="71"/>
      <c r="E1357" s="22"/>
      <c r="F1357" s="22"/>
      <c r="G1357" s="31"/>
      <c r="J1357" s="23"/>
      <c r="K1357" s="27"/>
    </row>
    <row r="1358" spans="1:11" x14ac:dyDescent="0.25">
      <c r="A1358" s="77"/>
      <c r="B1358" s="69"/>
      <c r="C1358" s="71"/>
      <c r="E1358" s="22"/>
      <c r="F1358" s="22"/>
      <c r="G1358" s="31"/>
      <c r="J1358" s="23"/>
      <c r="K1358" s="27"/>
    </row>
    <row r="1359" spans="1:11" x14ac:dyDescent="0.25">
      <c r="A1359" s="77"/>
      <c r="B1359" s="69"/>
      <c r="C1359" s="71"/>
      <c r="E1359" s="22"/>
      <c r="F1359" s="22"/>
      <c r="G1359" s="31"/>
      <c r="J1359" s="23"/>
      <c r="K1359" s="27"/>
    </row>
    <row r="1360" spans="1:11" x14ac:dyDescent="0.25">
      <c r="A1360" s="77"/>
      <c r="B1360" s="69"/>
      <c r="C1360" s="71"/>
      <c r="E1360" s="22"/>
      <c r="F1360" s="22"/>
      <c r="G1360" s="31"/>
      <c r="J1360" s="23"/>
      <c r="K1360" s="27"/>
    </row>
    <row r="1361" spans="1:11" x14ac:dyDescent="0.25">
      <c r="A1361" s="77"/>
      <c r="B1361" s="69"/>
      <c r="C1361" s="71"/>
      <c r="E1361" s="22"/>
      <c r="F1361" s="22"/>
      <c r="G1361" s="31"/>
      <c r="J1361" s="23"/>
      <c r="K1361" s="27"/>
    </row>
    <row r="1362" spans="1:11" x14ac:dyDescent="0.25">
      <c r="A1362" s="77"/>
      <c r="B1362" s="69"/>
      <c r="C1362" s="71"/>
      <c r="E1362" s="22"/>
      <c r="F1362" s="22"/>
      <c r="G1362" s="31"/>
      <c r="J1362" s="23"/>
      <c r="K1362" s="27"/>
    </row>
    <row r="1363" spans="1:11" x14ac:dyDescent="0.25">
      <c r="A1363" s="77"/>
      <c r="B1363" s="69"/>
      <c r="C1363" s="71"/>
      <c r="E1363" s="22"/>
      <c r="F1363" s="22"/>
      <c r="G1363" s="31"/>
      <c r="J1363" s="23"/>
      <c r="K1363" s="27"/>
    </row>
    <row r="1364" spans="1:11" x14ac:dyDescent="0.25">
      <c r="A1364" s="77"/>
      <c r="B1364" s="69"/>
      <c r="C1364" s="71"/>
      <c r="E1364" s="22"/>
      <c r="F1364" s="22"/>
      <c r="G1364" s="31"/>
      <c r="J1364" s="23"/>
      <c r="K1364" s="27"/>
    </row>
    <row r="1365" spans="1:11" x14ac:dyDescent="0.25">
      <c r="A1365" s="77"/>
      <c r="B1365" s="69"/>
      <c r="C1365" s="71"/>
      <c r="E1365" s="22"/>
      <c r="F1365" s="22"/>
      <c r="G1365" s="31"/>
      <c r="J1365" s="23"/>
      <c r="K1365" s="27"/>
    </row>
    <row r="1366" spans="1:11" x14ac:dyDescent="0.25">
      <c r="A1366" s="77"/>
      <c r="B1366" s="69"/>
      <c r="C1366" s="71"/>
      <c r="E1366" s="22"/>
      <c r="F1366" s="22"/>
      <c r="G1366" s="31"/>
      <c r="J1366" s="23"/>
      <c r="K1366" s="27"/>
    </row>
    <row r="1367" spans="1:11" x14ac:dyDescent="0.25">
      <c r="A1367" s="77"/>
      <c r="B1367" s="69"/>
      <c r="C1367" s="71"/>
      <c r="E1367" s="22"/>
      <c r="F1367" s="22"/>
      <c r="G1367" s="31"/>
      <c r="J1367" s="23"/>
      <c r="K1367" s="27"/>
    </row>
    <row r="1368" spans="1:11" x14ac:dyDescent="0.25">
      <c r="A1368" s="77"/>
      <c r="B1368" s="69"/>
      <c r="C1368" s="71"/>
      <c r="E1368" s="22"/>
      <c r="F1368" s="22"/>
      <c r="G1368" s="31"/>
      <c r="J1368" s="23"/>
      <c r="K1368" s="27"/>
    </row>
    <row r="1369" spans="1:11" x14ac:dyDescent="0.25">
      <c r="A1369" s="77"/>
      <c r="B1369" s="69"/>
      <c r="C1369" s="71"/>
      <c r="E1369" s="22"/>
      <c r="F1369" s="22"/>
      <c r="G1369" s="31"/>
      <c r="J1369" s="23"/>
      <c r="K1369" s="27"/>
    </row>
    <row r="1370" spans="1:11" x14ac:dyDescent="0.25">
      <c r="A1370" s="77"/>
      <c r="B1370" s="69"/>
      <c r="C1370" s="71"/>
      <c r="E1370" s="22"/>
      <c r="F1370" s="22"/>
      <c r="G1370" s="31"/>
      <c r="J1370" s="23"/>
      <c r="K1370" s="27"/>
    </row>
    <row r="1371" spans="1:11" x14ac:dyDescent="0.25">
      <c r="A1371" s="77"/>
      <c r="B1371" s="69"/>
      <c r="C1371" s="71"/>
      <c r="E1371" s="22"/>
      <c r="F1371" s="22"/>
      <c r="G1371" s="31"/>
      <c r="J1371" s="23"/>
      <c r="K1371" s="27"/>
    </row>
    <row r="1372" spans="1:11" x14ac:dyDescent="0.25">
      <c r="A1372" s="77"/>
      <c r="B1372" s="69"/>
      <c r="C1372" s="71"/>
      <c r="E1372" s="22"/>
      <c r="F1372" s="22"/>
      <c r="G1372" s="31"/>
      <c r="J1372" s="23"/>
      <c r="K1372" s="27"/>
    </row>
    <row r="1373" spans="1:11" x14ac:dyDescent="0.25">
      <c r="A1373" s="77"/>
      <c r="B1373" s="69"/>
      <c r="C1373" s="71"/>
      <c r="E1373" s="22"/>
      <c r="F1373" s="22"/>
      <c r="G1373" s="31"/>
      <c r="J1373" s="23"/>
      <c r="K1373" s="27"/>
    </row>
    <row r="1374" spans="1:11" x14ac:dyDescent="0.25">
      <c r="A1374" s="77"/>
      <c r="B1374" s="69"/>
      <c r="C1374" s="71"/>
      <c r="E1374" s="22"/>
      <c r="F1374" s="22"/>
      <c r="G1374" s="31"/>
      <c r="J1374" s="23"/>
      <c r="K1374" s="27"/>
    </row>
    <row r="1375" spans="1:11" x14ac:dyDescent="0.25">
      <c r="A1375" s="77"/>
      <c r="B1375" s="69"/>
      <c r="C1375" s="71"/>
      <c r="E1375" s="22"/>
      <c r="F1375" s="22"/>
      <c r="G1375" s="31"/>
      <c r="J1375" s="23"/>
      <c r="K1375" s="27"/>
    </row>
    <row r="1376" spans="1:11" x14ac:dyDescent="0.25">
      <c r="A1376" s="77"/>
      <c r="B1376" s="69"/>
      <c r="C1376" s="71"/>
      <c r="E1376" s="22"/>
      <c r="F1376" s="22"/>
      <c r="G1376" s="31"/>
      <c r="J1376" s="23"/>
      <c r="K1376" s="27"/>
    </row>
    <row r="1377" spans="1:11" x14ac:dyDescent="0.25">
      <c r="A1377" s="77"/>
      <c r="B1377" s="69"/>
      <c r="C1377" s="71"/>
      <c r="E1377" s="22"/>
      <c r="F1377" s="22"/>
      <c r="G1377" s="31"/>
      <c r="J1377" s="23"/>
      <c r="K1377" s="27"/>
    </row>
    <row r="1378" spans="1:11" x14ac:dyDescent="0.25">
      <c r="A1378" s="77"/>
      <c r="B1378" s="69"/>
      <c r="C1378" s="71"/>
      <c r="E1378" s="22"/>
      <c r="F1378" s="22"/>
      <c r="G1378" s="31"/>
      <c r="J1378" s="23"/>
      <c r="K1378" s="27"/>
    </row>
    <row r="1379" spans="1:11" x14ac:dyDescent="0.25">
      <c r="A1379" s="77"/>
      <c r="B1379" s="69"/>
      <c r="C1379" s="71"/>
      <c r="E1379" s="22"/>
      <c r="F1379" s="22"/>
      <c r="G1379" s="31"/>
      <c r="J1379" s="23"/>
      <c r="K1379" s="27"/>
    </row>
    <row r="1380" spans="1:11" x14ac:dyDescent="0.25">
      <c r="A1380" s="77"/>
      <c r="B1380" s="69"/>
      <c r="C1380" s="71"/>
      <c r="E1380" s="22"/>
      <c r="F1380" s="22"/>
      <c r="G1380" s="31"/>
      <c r="J1380" s="23"/>
      <c r="K1380" s="27"/>
    </row>
    <row r="1381" spans="1:11" x14ac:dyDescent="0.25">
      <c r="A1381" s="77"/>
      <c r="B1381" s="69"/>
      <c r="C1381" s="71"/>
      <c r="E1381" s="22"/>
      <c r="F1381" s="22"/>
      <c r="G1381" s="31"/>
      <c r="J1381" s="23"/>
      <c r="K1381" s="27"/>
    </row>
    <row r="1382" spans="1:11" x14ac:dyDescent="0.25">
      <c r="A1382" s="77"/>
      <c r="B1382" s="69"/>
      <c r="C1382" s="71"/>
      <c r="E1382" s="22"/>
      <c r="F1382" s="22"/>
      <c r="G1382" s="31"/>
      <c r="J1382" s="23"/>
      <c r="K1382" s="27"/>
    </row>
    <row r="1383" spans="1:11" x14ac:dyDescent="0.25">
      <c r="A1383" s="77"/>
      <c r="B1383" s="69"/>
      <c r="C1383" s="71"/>
      <c r="E1383" s="22"/>
      <c r="F1383" s="22"/>
      <c r="G1383" s="31"/>
      <c r="J1383" s="23"/>
      <c r="K1383" s="27"/>
    </row>
    <row r="1384" spans="1:11" x14ac:dyDescent="0.25">
      <c r="A1384" s="77"/>
      <c r="B1384" s="69"/>
      <c r="C1384" s="71"/>
      <c r="E1384" s="22"/>
      <c r="F1384" s="22"/>
      <c r="G1384" s="31"/>
      <c r="J1384" s="23"/>
      <c r="K1384" s="27"/>
    </row>
    <row r="1385" spans="1:11" x14ac:dyDescent="0.25">
      <c r="A1385" s="77"/>
      <c r="B1385" s="69"/>
      <c r="C1385" s="71"/>
      <c r="E1385" s="22"/>
      <c r="F1385" s="22"/>
      <c r="G1385" s="31"/>
      <c r="J1385" s="23"/>
      <c r="K1385" s="27"/>
    </row>
    <row r="1386" spans="1:11" x14ac:dyDescent="0.25">
      <c r="A1386" s="77"/>
      <c r="B1386" s="69"/>
      <c r="C1386" s="71"/>
      <c r="E1386" s="22"/>
      <c r="F1386" s="22"/>
      <c r="G1386" s="31"/>
      <c r="J1386" s="23"/>
      <c r="K1386" s="27"/>
    </row>
    <row r="1387" spans="1:11" x14ac:dyDescent="0.25">
      <c r="A1387" s="77"/>
      <c r="B1387" s="69"/>
      <c r="C1387" s="71"/>
      <c r="E1387" s="22"/>
      <c r="F1387" s="22"/>
      <c r="G1387" s="31"/>
      <c r="J1387" s="23"/>
      <c r="K1387" s="27"/>
    </row>
    <row r="1388" spans="1:11" x14ac:dyDescent="0.25">
      <c r="A1388" s="77"/>
      <c r="B1388" s="69"/>
      <c r="C1388" s="71"/>
      <c r="E1388" s="22"/>
      <c r="F1388" s="22"/>
      <c r="G1388" s="31"/>
      <c r="J1388" s="23"/>
      <c r="K1388" s="27"/>
    </row>
    <row r="1389" spans="1:11" x14ac:dyDescent="0.25">
      <c r="A1389" s="77"/>
      <c r="B1389" s="69"/>
      <c r="C1389" s="71"/>
      <c r="E1389" s="22"/>
      <c r="F1389" s="22"/>
      <c r="G1389" s="31"/>
      <c r="J1389" s="23"/>
      <c r="K1389" s="27"/>
    </row>
    <row r="1390" spans="1:11" x14ac:dyDescent="0.25">
      <c r="A1390" s="77"/>
      <c r="B1390" s="69"/>
      <c r="C1390" s="71"/>
      <c r="E1390" s="22"/>
      <c r="F1390" s="22"/>
      <c r="G1390" s="31"/>
      <c r="J1390" s="23"/>
      <c r="K1390" s="27"/>
    </row>
    <row r="1391" spans="1:11" x14ac:dyDescent="0.25">
      <c r="A1391" s="77"/>
      <c r="B1391" s="69"/>
      <c r="C1391" s="71"/>
      <c r="E1391" s="22"/>
      <c r="F1391" s="22"/>
      <c r="G1391" s="31"/>
      <c r="J1391" s="23"/>
      <c r="K1391" s="27"/>
    </row>
    <row r="1392" spans="1:11" x14ac:dyDescent="0.25">
      <c r="A1392" s="77"/>
      <c r="B1392" s="69"/>
      <c r="C1392" s="71"/>
      <c r="E1392" s="22"/>
      <c r="F1392" s="22"/>
      <c r="G1392" s="31"/>
      <c r="J1392" s="23"/>
      <c r="K1392" s="27"/>
    </row>
    <row r="1393" spans="1:11" x14ac:dyDescent="0.25">
      <c r="A1393" s="77"/>
      <c r="B1393" s="69"/>
      <c r="C1393" s="71"/>
      <c r="E1393" s="22"/>
      <c r="F1393" s="22"/>
      <c r="G1393" s="31"/>
      <c r="J1393" s="23"/>
      <c r="K1393" s="27"/>
    </row>
    <row r="1394" spans="1:11" x14ac:dyDescent="0.25">
      <c r="A1394" s="77"/>
      <c r="B1394" s="69"/>
      <c r="C1394" s="71"/>
      <c r="E1394" s="22"/>
      <c r="F1394" s="22"/>
      <c r="G1394" s="31"/>
      <c r="J1394" s="23"/>
      <c r="K1394" s="27"/>
    </row>
    <row r="1395" spans="1:11" x14ac:dyDescent="0.25">
      <c r="A1395" s="77"/>
      <c r="B1395" s="69"/>
      <c r="C1395" s="71"/>
      <c r="E1395" s="22"/>
      <c r="F1395" s="22"/>
      <c r="G1395" s="31"/>
      <c r="J1395" s="23"/>
      <c r="K1395" s="27"/>
    </row>
    <row r="1396" spans="1:11" x14ac:dyDescent="0.25">
      <c r="A1396" s="77"/>
      <c r="B1396" s="69"/>
      <c r="C1396" s="71"/>
      <c r="E1396" s="22"/>
      <c r="F1396" s="22"/>
      <c r="G1396" s="31"/>
      <c r="J1396" s="23"/>
      <c r="K1396" s="27"/>
    </row>
    <row r="1397" spans="1:11" x14ac:dyDescent="0.25">
      <c r="A1397" s="77"/>
      <c r="B1397" s="69"/>
      <c r="C1397" s="71"/>
      <c r="E1397" s="22"/>
      <c r="F1397" s="22"/>
      <c r="G1397" s="31"/>
      <c r="J1397" s="23"/>
      <c r="K1397" s="27"/>
    </row>
    <row r="1398" spans="1:11" x14ac:dyDescent="0.25">
      <c r="A1398" s="77"/>
      <c r="B1398" s="69"/>
      <c r="C1398" s="71"/>
      <c r="E1398" s="22"/>
      <c r="F1398" s="22"/>
      <c r="G1398" s="31"/>
      <c r="J1398" s="23"/>
      <c r="K1398" s="27"/>
    </row>
    <row r="1399" spans="1:11" x14ac:dyDescent="0.25">
      <c r="A1399" s="77"/>
      <c r="B1399" s="69"/>
      <c r="C1399" s="71"/>
      <c r="E1399" s="22"/>
      <c r="F1399" s="22"/>
      <c r="G1399" s="31"/>
      <c r="J1399" s="23"/>
      <c r="K1399" s="27"/>
    </row>
    <row r="1400" spans="1:11" x14ac:dyDescent="0.25">
      <c r="A1400" s="77"/>
      <c r="B1400" s="69"/>
      <c r="C1400" s="71"/>
      <c r="E1400" s="22"/>
      <c r="F1400" s="22"/>
      <c r="G1400" s="31"/>
      <c r="J1400" s="23"/>
      <c r="K1400" s="27"/>
    </row>
    <row r="1401" spans="1:11" x14ac:dyDescent="0.25">
      <c r="A1401" s="77"/>
      <c r="B1401" s="69"/>
      <c r="C1401" s="71"/>
      <c r="E1401" s="22"/>
      <c r="F1401" s="22"/>
      <c r="G1401" s="31"/>
      <c r="J1401" s="23"/>
      <c r="K1401" s="27"/>
    </row>
    <row r="1402" spans="1:11" x14ac:dyDescent="0.25">
      <c r="A1402" s="77"/>
      <c r="B1402" s="69"/>
      <c r="C1402" s="71"/>
      <c r="E1402" s="22"/>
      <c r="F1402" s="22"/>
      <c r="G1402" s="31"/>
      <c r="J1402" s="23"/>
      <c r="K1402" s="27"/>
    </row>
    <row r="1403" spans="1:11" x14ac:dyDescent="0.25">
      <c r="A1403" s="77"/>
      <c r="B1403" s="69"/>
      <c r="C1403" s="71"/>
      <c r="E1403" s="22"/>
      <c r="F1403" s="22"/>
      <c r="G1403" s="31"/>
      <c r="J1403" s="23"/>
      <c r="K1403" s="27"/>
    </row>
    <row r="1404" spans="1:11" x14ac:dyDescent="0.25">
      <c r="A1404" s="77"/>
      <c r="B1404" s="69"/>
      <c r="C1404" s="71"/>
      <c r="E1404" s="22"/>
      <c r="F1404" s="22"/>
      <c r="G1404" s="31"/>
      <c r="J1404" s="23"/>
      <c r="K1404" s="27"/>
    </row>
    <row r="1405" spans="1:11" x14ac:dyDescent="0.25">
      <c r="A1405" s="77"/>
      <c r="B1405" s="69"/>
      <c r="C1405" s="71"/>
      <c r="E1405" s="22"/>
      <c r="F1405" s="22"/>
      <c r="G1405" s="31"/>
      <c r="J1405" s="23"/>
      <c r="K1405" s="27"/>
    </row>
    <row r="1406" spans="1:11" x14ac:dyDescent="0.25">
      <c r="A1406" s="77"/>
      <c r="B1406" s="69"/>
      <c r="C1406" s="71"/>
      <c r="E1406" s="22"/>
      <c r="F1406" s="22"/>
      <c r="G1406" s="31"/>
      <c r="J1406" s="23"/>
      <c r="K1406" s="27"/>
    </row>
    <row r="1407" spans="1:11" x14ac:dyDescent="0.25">
      <c r="A1407" s="77"/>
      <c r="B1407" s="69"/>
      <c r="C1407" s="71"/>
      <c r="E1407" s="22"/>
      <c r="F1407" s="22"/>
      <c r="G1407" s="31"/>
      <c r="J1407" s="23"/>
      <c r="K1407" s="27"/>
    </row>
    <row r="1408" spans="1:11" x14ac:dyDescent="0.25">
      <c r="A1408" s="77"/>
      <c r="B1408" s="69"/>
      <c r="C1408" s="71"/>
      <c r="E1408" s="22"/>
      <c r="F1408" s="22"/>
      <c r="G1408" s="31"/>
      <c r="J1408" s="23"/>
      <c r="K1408" s="27"/>
    </row>
    <row r="1409" spans="1:11" x14ac:dyDescent="0.25">
      <c r="A1409" s="77"/>
      <c r="B1409" s="69"/>
      <c r="C1409" s="71"/>
      <c r="E1409" s="22"/>
      <c r="F1409" s="22"/>
      <c r="G1409" s="31"/>
      <c r="J1409" s="23"/>
      <c r="K1409" s="27"/>
    </row>
    <row r="1410" spans="1:11" x14ac:dyDescent="0.25">
      <c r="A1410" s="77"/>
      <c r="B1410" s="69"/>
      <c r="C1410" s="71"/>
      <c r="E1410" s="22"/>
      <c r="F1410" s="22"/>
      <c r="G1410" s="31"/>
      <c r="J1410" s="23"/>
      <c r="K1410" s="27"/>
    </row>
    <row r="1411" spans="1:11" x14ac:dyDescent="0.25">
      <c r="A1411" s="77"/>
      <c r="B1411" s="69"/>
      <c r="C1411" s="71"/>
      <c r="E1411" s="22"/>
      <c r="F1411" s="22"/>
      <c r="G1411" s="31"/>
      <c r="J1411" s="23"/>
      <c r="K1411" s="27"/>
    </row>
    <row r="1412" spans="1:11" x14ac:dyDescent="0.25">
      <c r="A1412" s="77"/>
      <c r="B1412" s="69"/>
      <c r="C1412" s="71"/>
      <c r="E1412" s="22"/>
      <c r="F1412" s="22"/>
      <c r="G1412" s="31"/>
      <c r="J1412" s="23"/>
      <c r="K1412" s="27"/>
    </row>
    <row r="1413" spans="1:11" x14ac:dyDescent="0.25">
      <c r="A1413" s="77"/>
      <c r="B1413" s="69"/>
      <c r="C1413" s="71"/>
      <c r="E1413" s="22"/>
      <c r="F1413" s="22"/>
      <c r="G1413" s="31"/>
      <c r="J1413" s="23"/>
      <c r="K1413" s="27"/>
    </row>
    <row r="1414" spans="1:11" x14ac:dyDescent="0.25">
      <c r="A1414" s="77"/>
      <c r="B1414" s="69"/>
      <c r="C1414" s="71"/>
      <c r="E1414" s="22"/>
      <c r="F1414" s="22"/>
      <c r="G1414" s="31"/>
      <c r="J1414" s="23"/>
      <c r="K1414" s="27"/>
    </row>
    <row r="1415" spans="1:11" x14ac:dyDescent="0.25">
      <c r="A1415" s="77"/>
      <c r="B1415" s="69"/>
      <c r="C1415" s="71"/>
      <c r="E1415" s="22"/>
      <c r="F1415" s="22"/>
      <c r="G1415" s="31"/>
      <c r="J1415" s="23"/>
      <c r="K1415" s="27"/>
    </row>
    <row r="1416" spans="1:11" x14ac:dyDescent="0.25">
      <c r="A1416" s="77"/>
      <c r="B1416" s="69"/>
      <c r="C1416" s="71"/>
      <c r="E1416" s="22"/>
      <c r="F1416" s="22"/>
      <c r="G1416" s="31"/>
      <c r="J1416" s="23"/>
      <c r="K1416" s="27"/>
    </row>
    <row r="1417" spans="1:11" x14ac:dyDescent="0.25">
      <c r="A1417" s="77"/>
      <c r="B1417" s="69"/>
      <c r="C1417" s="71"/>
      <c r="E1417" s="22"/>
      <c r="F1417" s="22"/>
      <c r="G1417" s="31"/>
      <c r="J1417" s="23"/>
      <c r="K1417" s="27"/>
    </row>
    <row r="1418" spans="1:11" x14ac:dyDescent="0.25">
      <c r="A1418" s="77"/>
      <c r="B1418" s="69"/>
      <c r="C1418" s="71"/>
      <c r="E1418" s="22"/>
      <c r="F1418" s="22"/>
      <c r="G1418" s="31"/>
      <c r="J1418" s="23"/>
      <c r="K1418" s="27"/>
    </row>
    <row r="1419" spans="1:11" x14ac:dyDescent="0.25">
      <c r="A1419" s="77"/>
      <c r="B1419" s="69"/>
      <c r="C1419" s="71"/>
      <c r="E1419" s="22"/>
      <c r="F1419" s="22"/>
      <c r="G1419" s="31"/>
      <c r="J1419" s="23"/>
      <c r="K1419" s="27"/>
    </row>
    <row r="1420" spans="1:11" x14ac:dyDescent="0.25">
      <c r="A1420" s="77"/>
      <c r="B1420" s="69"/>
      <c r="C1420" s="71"/>
      <c r="E1420" s="22"/>
      <c r="F1420" s="22"/>
      <c r="G1420" s="31"/>
      <c r="J1420" s="23"/>
      <c r="K1420" s="27"/>
    </row>
    <row r="1421" spans="1:11" x14ac:dyDescent="0.25">
      <c r="A1421" s="77"/>
      <c r="B1421" s="69"/>
      <c r="C1421" s="71"/>
      <c r="E1421" s="22"/>
      <c r="F1421" s="22"/>
      <c r="G1421" s="31"/>
      <c r="J1421" s="23"/>
      <c r="K1421" s="27"/>
    </row>
    <row r="1422" spans="1:11" x14ac:dyDescent="0.25">
      <c r="A1422" s="77"/>
      <c r="B1422" s="69"/>
      <c r="C1422" s="71"/>
      <c r="E1422" s="22"/>
      <c r="F1422" s="22"/>
      <c r="G1422" s="31"/>
      <c r="J1422" s="23"/>
      <c r="K1422" s="27"/>
    </row>
    <row r="1423" spans="1:11" x14ac:dyDescent="0.25">
      <c r="A1423" s="77"/>
      <c r="B1423" s="69"/>
      <c r="C1423" s="71"/>
      <c r="E1423" s="22"/>
      <c r="F1423" s="22"/>
      <c r="G1423" s="31"/>
      <c r="J1423" s="23"/>
      <c r="K1423" s="27"/>
    </row>
    <row r="1424" spans="1:11" x14ac:dyDescent="0.25">
      <c r="A1424" s="77"/>
      <c r="B1424" s="69"/>
      <c r="C1424" s="71"/>
      <c r="E1424" s="22"/>
      <c r="F1424" s="22"/>
      <c r="G1424" s="31"/>
      <c r="J1424" s="23"/>
      <c r="K1424" s="27"/>
    </row>
    <row r="1425" spans="1:11" x14ac:dyDescent="0.25">
      <c r="A1425" s="77"/>
      <c r="B1425" s="69"/>
      <c r="C1425" s="71"/>
      <c r="E1425" s="22"/>
      <c r="F1425" s="22"/>
      <c r="G1425" s="31"/>
      <c r="J1425" s="23"/>
      <c r="K1425" s="27"/>
    </row>
    <row r="1426" spans="1:11" x14ac:dyDescent="0.25">
      <c r="A1426" s="77"/>
      <c r="B1426" s="69"/>
      <c r="C1426" s="71"/>
      <c r="E1426" s="22"/>
      <c r="F1426" s="22"/>
      <c r="G1426" s="31"/>
      <c r="J1426" s="23"/>
      <c r="K1426" s="27"/>
    </row>
    <row r="1427" spans="1:11" x14ac:dyDescent="0.25">
      <c r="A1427" s="77"/>
      <c r="B1427" s="69"/>
      <c r="C1427" s="71"/>
      <c r="E1427" s="22"/>
      <c r="F1427" s="22"/>
      <c r="G1427" s="31"/>
      <c r="J1427" s="23"/>
      <c r="K1427" s="27"/>
    </row>
    <row r="1428" spans="1:11" x14ac:dyDescent="0.25">
      <c r="A1428" s="77"/>
      <c r="B1428" s="69"/>
      <c r="C1428" s="71"/>
      <c r="E1428" s="22"/>
      <c r="F1428" s="22"/>
      <c r="G1428" s="31"/>
      <c r="J1428" s="23"/>
      <c r="K1428" s="27"/>
    </row>
    <row r="1429" spans="1:11" x14ac:dyDescent="0.25">
      <c r="A1429" s="77"/>
      <c r="B1429" s="69"/>
      <c r="C1429" s="71"/>
      <c r="E1429" s="22"/>
      <c r="F1429" s="22"/>
      <c r="G1429" s="31"/>
      <c r="J1429" s="23"/>
      <c r="K1429" s="27"/>
    </row>
    <row r="1430" spans="1:11" x14ac:dyDescent="0.25">
      <c r="A1430" s="77"/>
      <c r="B1430" s="69"/>
      <c r="C1430" s="71"/>
      <c r="E1430" s="22"/>
      <c r="F1430" s="22"/>
      <c r="G1430" s="31"/>
      <c r="J1430" s="23"/>
      <c r="K1430" s="27"/>
    </row>
    <row r="1431" spans="1:11" x14ac:dyDescent="0.25">
      <c r="A1431" s="77"/>
      <c r="B1431" s="69"/>
      <c r="C1431" s="71"/>
      <c r="E1431" s="22"/>
      <c r="F1431" s="22"/>
      <c r="G1431" s="31"/>
      <c r="J1431" s="23"/>
      <c r="K1431" s="27"/>
    </row>
    <row r="1432" spans="1:11" x14ac:dyDescent="0.25">
      <c r="A1432" s="77"/>
      <c r="B1432" s="69"/>
      <c r="C1432" s="71"/>
      <c r="E1432" s="22"/>
      <c r="F1432" s="22"/>
      <c r="G1432" s="31"/>
      <c r="J1432" s="23"/>
      <c r="K1432" s="27"/>
    </row>
    <row r="1433" spans="1:11" x14ac:dyDescent="0.25">
      <c r="A1433" s="77"/>
      <c r="B1433" s="69"/>
      <c r="C1433" s="71"/>
      <c r="E1433" s="22"/>
      <c r="F1433" s="22"/>
      <c r="G1433" s="31"/>
      <c r="J1433" s="23"/>
      <c r="K1433" s="27"/>
    </row>
    <row r="1434" spans="1:11" x14ac:dyDescent="0.25">
      <c r="A1434" s="77"/>
      <c r="B1434" s="69"/>
      <c r="C1434" s="71"/>
      <c r="E1434" s="22"/>
      <c r="F1434" s="22"/>
      <c r="G1434" s="31"/>
      <c r="J1434" s="23"/>
      <c r="K1434" s="27"/>
    </row>
    <row r="1435" spans="1:11" x14ac:dyDescent="0.25">
      <c r="A1435" s="77"/>
      <c r="B1435" s="69"/>
      <c r="C1435" s="71"/>
      <c r="E1435" s="22"/>
      <c r="F1435" s="22"/>
      <c r="G1435" s="31"/>
      <c r="J1435" s="23"/>
      <c r="K1435" s="27"/>
    </row>
    <row r="1436" spans="1:11" x14ac:dyDescent="0.25">
      <c r="A1436" s="77"/>
      <c r="B1436" s="69"/>
      <c r="C1436" s="71"/>
      <c r="E1436" s="22"/>
      <c r="F1436" s="22"/>
      <c r="G1436" s="31"/>
      <c r="J1436" s="23"/>
      <c r="K1436" s="27"/>
    </row>
    <row r="1437" spans="1:11" x14ac:dyDescent="0.25">
      <c r="A1437" s="77"/>
      <c r="B1437" s="69"/>
      <c r="C1437" s="71"/>
      <c r="E1437" s="22"/>
      <c r="F1437" s="22"/>
      <c r="G1437" s="31"/>
      <c r="J1437" s="23"/>
      <c r="K1437" s="27"/>
    </row>
    <row r="1438" spans="1:11" x14ac:dyDescent="0.25">
      <c r="A1438" s="77"/>
      <c r="B1438" s="69"/>
      <c r="C1438" s="71"/>
      <c r="E1438" s="22"/>
      <c r="F1438" s="22"/>
      <c r="G1438" s="31"/>
      <c r="J1438" s="23"/>
      <c r="K1438" s="27"/>
    </row>
    <row r="1439" spans="1:11" x14ac:dyDescent="0.25">
      <c r="A1439" s="77"/>
      <c r="B1439" s="69"/>
      <c r="C1439" s="71"/>
      <c r="E1439" s="22"/>
      <c r="F1439" s="22"/>
      <c r="G1439" s="31"/>
      <c r="J1439" s="23"/>
      <c r="K1439" s="27"/>
    </row>
    <row r="1440" spans="1:11" x14ac:dyDescent="0.25">
      <c r="A1440" s="77"/>
      <c r="B1440" s="69"/>
      <c r="C1440" s="71"/>
      <c r="E1440" s="22"/>
      <c r="F1440" s="22"/>
      <c r="G1440" s="31"/>
      <c r="J1440" s="23"/>
      <c r="K1440" s="27"/>
    </row>
    <row r="1441" spans="1:11" x14ac:dyDescent="0.25">
      <c r="A1441" s="77"/>
      <c r="B1441" s="69"/>
      <c r="C1441" s="71"/>
      <c r="E1441" s="22"/>
      <c r="F1441" s="22"/>
      <c r="G1441" s="31"/>
      <c r="J1441" s="23"/>
      <c r="K1441" s="27"/>
    </row>
    <row r="1442" spans="1:11" x14ac:dyDescent="0.25">
      <c r="A1442" s="77"/>
      <c r="B1442" s="69"/>
      <c r="C1442" s="71"/>
      <c r="E1442" s="22"/>
      <c r="F1442" s="22"/>
      <c r="G1442" s="31"/>
      <c r="J1442" s="23"/>
      <c r="K1442" s="27"/>
    </row>
    <row r="1443" spans="1:11" x14ac:dyDescent="0.25">
      <c r="A1443" s="77"/>
      <c r="B1443" s="69"/>
      <c r="C1443" s="71"/>
      <c r="E1443" s="22"/>
      <c r="F1443" s="22"/>
      <c r="G1443" s="31"/>
      <c r="J1443" s="23"/>
      <c r="K1443" s="27"/>
    </row>
    <row r="1444" spans="1:11" x14ac:dyDescent="0.25">
      <c r="A1444" s="77"/>
      <c r="B1444" s="69"/>
      <c r="C1444" s="71"/>
      <c r="E1444" s="22"/>
      <c r="F1444" s="22"/>
      <c r="G1444" s="31"/>
      <c r="J1444" s="23"/>
      <c r="K1444" s="27"/>
    </row>
    <row r="1445" spans="1:11" x14ac:dyDescent="0.25">
      <c r="A1445" s="77"/>
      <c r="B1445" s="69"/>
      <c r="C1445" s="71"/>
      <c r="E1445" s="22"/>
      <c r="F1445" s="22"/>
      <c r="G1445" s="31"/>
      <c r="J1445" s="23"/>
      <c r="K1445" s="27"/>
    </row>
    <row r="1446" spans="1:11" x14ac:dyDescent="0.25">
      <c r="A1446" s="77"/>
      <c r="B1446" s="69"/>
      <c r="C1446" s="71"/>
      <c r="E1446" s="22"/>
      <c r="F1446" s="22"/>
      <c r="G1446" s="31"/>
      <c r="J1446" s="23"/>
      <c r="K1446" s="27"/>
    </row>
    <row r="1447" spans="1:11" x14ac:dyDescent="0.25">
      <c r="A1447" s="77"/>
      <c r="B1447" s="69"/>
      <c r="C1447" s="71"/>
      <c r="E1447" s="22"/>
      <c r="F1447" s="22"/>
      <c r="G1447" s="31"/>
      <c r="J1447" s="23"/>
      <c r="K1447" s="27"/>
    </row>
    <row r="1448" spans="1:11" x14ac:dyDescent="0.25">
      <c r="A1448" s="77"/>
      <c r="B1448" s="69"/>
      <c r="C1448" s="71"/>
      <c r="E1448" s="22"/>
      <c r="F1448" s="22"/>
      <c r="G1448" s="31"/>
      <c r="J1448" s="23"/>
      <c r="K1448" s="27"/>
    </row>
    <row r="1449" spans="1:11" x14ac:dyDescent="0.25">
      <c r="A1449" s="77"/>
      <c r="B1449" s="69"/>
      <c r="C1449" s="71"/>
      <c r="E1449" s="22"/>
      <c r="F1449" s="22"/>
      <c r="G1449" s="31"/>
      <c r="J1449" s="23"/>
      <c r="K1449" s="27"/>
    </row>
    <row r="1450" spans="1:11" x14ac:dyDescent="0.25">
      <c r="A1450" s="77"/>
      <c r="B1450" s="69"/>
      <c r="C1450" s="71"/>
      <c r="E1450" s="22"/>
      <c r="F1450" s="22"/>
      <c r="G1450" s="31"/>
      <c r="J1450" s="23"/>
      <c r="K1450" s="27"/>
    </row>
    <row r="1451" spans="1:11" x14ac:dyDescent="0.25">
      <c r="A1451" s="77"/>
      <c r="B1451" s="69"/>
      <c r="C1451" s="71"/>
      <c r="E1451" s="22"/>
      <c r="F1451" s="22"/>
      <c r="G1451" s="31"/>
      <c r="J1451" s="23"/>
      <c r="K1451" s="27"/>
    </row>
    <row r="1452" spans="1:11" x14ac:dyDescent="0.25">
      <c r="A1452" s="77"/>
      <c r="B1452" s="69"/>
      <c r="C1452" s="71"/>
      <c r="E1452" s="22"/>
      <c r="F1452" s="22"/>
      <c r="G1452" s="31"/>
      <c r="J1452" s="23"/>
      <c r="K1452" s="27"/>
    </row>
    <row r="1453" spans="1:11" x14ac:dyDescent="0.25">
      <c r="A1453" s="77"/>
      <c r="B1453" s="69"/>
      <c r="C1453" s="71"/>
      <c r="E1453" s="22"/>
      <c r="F1453" s="22"/>
      <c r="G1453" s="31"/>
      <c r="J1453" s="23"/>
      <c r="K1453" s="27"/>
    </row>
    <row r="1454" spans="1:11" x14ac:dyDescent="0.25">
      <c r="A1454" s="77"/>
      <c r="B1454" s="69"/>
      <c r="C1454" s="71"/>
      <c r="E1454" s="22"/>
      <c r="F1454" s="22"/>
      <c r="G1454" s="31"/>
      <c r="J1454" s="23"/>
      <c r="K1454" s="27"/>
    </row>
    <row r="1455" spans="1:11" x14ac:dyDescent="0.25">
      <c r="A1455" s="77"/>
      <c r="B1455" s="69"/>
      <c r="C1455" s="71"/>
      <c r="E1455" s="22"/>
      <c r="F1455" s="22"/>
      <c r="G1455" s="31"/>
      <c r="J1455" s="23"/>
      <c r="K1455" s="27"/>
    </row>
    <row r="1456" spans="1:11" x14ac:dyDescent="0.25">
      <c r="A1456" s="77"/>
      <c r="B1456" s="69"/>
      <c r="C1456" s="71"/>
      <c r="E1456" s="22"/>
      <c r="F1456" s="22"/>
      <c r="G1456" s="31"/>
      <c r="J1456" s="23"/>
      <c r="K1456" s="27"/>
    </row>
    <row r="1457" spans="1:11" x14ac:dyDescent="0.25">
      <c r="A1457" s="77"/>
      <c r="B1457" s="69"/>
      <c r="C1457" s="71"/>
      <c r="E1457" s="22"/>
      <c r="F1457" s="22"/>
      <c r="G1457" s="31"/>
      <c r="J1457" s="23"/>
      <c r="K1457" s="27"/>
    </row>
    <row r="1458" spans="1:11" x14ac:dyDescent="0.25">
      <c r="A1458" s="77"/>
      <c r="B1458" s="69"/>
      <c r="C1458" s="71"/>
      <c r="E1458" s="22"/>
      <c r="F1458" s="22"/>
      <c r="G1458" s="31"/>
      <c r="J1458" s="23"/>
      <c r="K1458" s="27"/>
    </row>
    <row r="1459" spans="1:11" x14ac:dyDescent="0.25">
      <c r="A1459" s="77"/>
      <c r="B1459" s="69"/>
      <c r="C1459" s="71"/>
      <c r="E1459" s="22"/>
      <c r="F1459" s="22"/>
      <c r="G1459" s="31"/>
      <c r="J1459" s="23"/>
      <c r="K1459" s="27"/>
    </row>
    <row r="1460" spans="1:11" x14ac:dyDescent="0.25">
      <c r="A1460" s="77"/>
      <c r="B1460" s="69"/>
      <c r="C1460" s="71"/>
      <c r="E1460" s="22"/>
      <c r="F1460" s="22"/>
      <c r="G1460" s="31"/>
      <c r="J1460" s="23"/>
      <c r="K1460" s="27"/>
    </row>
    <row r="1461" spans="1:11" x14ac:dyDescent="0.25">
      <c r="A1461" s="77"/>
      <c r="B1461" s="69"/>
      <c r="C1461" s="71"/>
      <c r="E1461" s="22"/>
      <c r="F1461" s="22"/>
      <c r="G1461" s="31"/>
      <c r="J1461" s="23"/>
      <c r="K1461" s="27"/>
    </row>
    <row r="1462" spans="1:11" x14ac:dyDescent="0.25">
      <c r="A1462" s="77"/>
      <c r="B1462" s="69"/>
      <c r="C1462" s="71"/>
      <c r="E1462" s="22"/>
      <c r="F1462" s="22"/>
      <c r="G1462" s="31"/>
      <c r="J1462" s="23"/>
      <c r="K1462" s="27"/>
    </row>
    <row r="1463" spans="1:11" x14ac:dyDescent="0.25">
      <c r="A1463" s="77"/>
      <c r="B1463" s="69"/>
      <c r="C1463" s="71"/>
      <c r="E1463" s="22"/>
      <c r="F1463" s="22"/>
      <c r="G1463" s="31"/>
      <c r="J1463" s="23"/>
      <c r="K1463" s="27"/>
    </row>
    <row r="1464" spans="1:11" x14ac:dyDescent="0.25">
      <c r="A1464" s="77"/>
      <c r="B1464" s="69"/>
      <c r="C1464" s="71"/>
      <c r="E1464" s="22"/>
      <c r="F1464" s="22"/>
      <c r="G1464" s="31"/>
      <c r="J1464" s="23"/>
      <c r="K1464" s="27"/>
    </row>
    <row r="1465" spans="1:11" x14ac:dyDescent="0.25">
      <c r="A1465" s="77"/>
      <c r="B1465" s="69"/>
      <c r="C1465" s="71"/>
      <c r="E1465" s="22"/>
      <c r="F1465" s="22"/>
      <c r="G1465" s="31"/>
      <c r="J1465" s="23"/>
      <c r="K1465" s="27"/>
    </row>
    <row r="1466" spans="1:11" x14ac:dyDescent="0.25">
      <c r="A1466" s="77"/>
      <c r="B1466" s="69"/>
      <c r="C1466" s="71"/>
      <c r="E1466" s="22"/>
      <c r="F1466" s="22"/>
      <c r="G1466" s="31"/>
      <c r="J1466" s="23"/>
      <c r="K1466" s="27"/>
    </row>
    <row r="1467" spans="1:11" x14ac:dyDescent="0.25">
      <c r="A1467" s="77"/>
      <c r="B1467" s="69"/>
      <c r="C1467" s="71"/>
      <c r="E1467" s="22"/>
      <c r="F1467" s="22"/>
      <c r="G1467" s="31"/>
      <c r="J1467" s="23"/>
      <c r="K1467" s="27"/>
    </row>
    <row r="1468" spans="1:11" x14ac:dyDescent="0.25">
      <c r="A1468" s="77"/>
      <c r="B1468" s="69"/>
      <c r="C1468" s="71"/>
      <c r="E1468" s="22"/>
      <c r="F1468" s="22"/>
      <c r="G1468" s="31"/>
      <c r="J1468" s="23"/>
      <c r="K1468" s="27"/>
    </row>
    <row r="1469" spans="1:11" x14ac:dyDescent="0.25">
      <c r="A1469" s="77"/>
      <c r="B1469" s="69"/>
      <c r="C1469" s="71"/>
      <c r="E1469" s="22"/>
      <c r="F1469" s="22"/>
      <c r="G1469" s="31"/>
      <c r="J1469" s="23"/>
      <c r="K1469" s="27"/>
    </row>
    <row r="1470" spans="1:11" x14ac:dyDescent="0.25">
      <c r="A1470" s="77"/>
      <c r="B1470" s="69"/>
      <c r="C1470" s="71"/>
      <c r="E1470" s="22"/>
      <c r="F1470" s="22"/>
      <c r="G1470" s="31"/>
      <c r="J1470" s="23"/>
      <c r="K1470" s="27"/>
    </row>
    <row r="1471" spans="1:11" x14ac:dyDescent="0.25">
      <c r="A1471" s="77"/>
      <c r="B1471" s="69"/>
      <c r="C1471" s="71"/>
      <c r="E1471" s="22"/>
      <c r="F1471" s="22"/>
      <c r="G1471" s="31"/>
      <c r="J1471" s="23"/>
      <c r="K1471" s="27"/>
    </row>
    <row r="1472" spans="1:11" x14ac:dyDescent="0.25">
      <c r="A1472" s="77"/>
      <c r="B1472" s="69"/>
      <c r="C1472" s="71"/>
      <c r="E1472" s="22"/>
      <c r="F1472" s="22"/>
      <c r="G1472" s="31"/>
      <c r="J1472" s="23"/>
      <c r="K1472" s="27"/>
    </row>
    <row r="1473" spans="1:11" x14ac:dyDescent="0.25">
      <c r="A1473" s="77"/>
      <c r="B1473" s="69"/>
      <c r="C1473" s="71"/>
      <c r="E1473" s="22"/>
      <c r="F1473" s="22"/>
      <c r="G1473" s="31"/>
      <c r="J1473" s="23"/>
      <c r="K1473" s="27"/>
    </row>
    <row r="1474" spans="1:11" x14ac:dyDescent="0.25">
      <c r="A1474" s="77"/>
      <c r="B1474" s="69"/>
      <c r="C1474" s="71"/>
      <c r="E1474" s="22"/>
      <c r="F1474" s="22"/>
      <c r="G1474" s="31"/>
      <c r="J1474" s="23"/>
      <c r="K1474" s="27"/>
    </row>
    <row r="1475" spans="1:11" x14ac:dyDescent="0.25">
      <c r="A1475" s="77"/>
      <c r="B1475" s="69"/>
      <c r="C1475" s="71"/>
      <c r="E1475" s="22"/>
      <c r="F1475" s="22"/>
      <c r="G1475" s="31"/>
      <c r="J1475" s="23"/>
      <c r="K1475" s="27"/>
    </row>
    <row r="1476" spans="1:11" x14ac:dyDescent="0.25">
      <c r="A1476" s="77"/>
      <c r="B1476" s="69"/>
      <c r="C1476" s="71"/>
      <c r="E1476" s="22"/>
      <c r="F1476" s="22"/>
      <c r="G1476" s="31"/>
      <c r="J1476" s="23"/>
      <c r="K1476" s="27"/>
    </row>
    <row r="1477" spans="1:11" x14ac:dyDescent="0.25">
      <c r="A1477" s="77"/>
      <c r="B1477" s="69"/>
      <c r="C1477" s="71"/>
      <c r="E1477" s="22"/>
      <c r="F1477" s="22"/>
      <c r="G1477" s="31"/>
      <c r="J1477" s="23"/>
      <c r="K1477" s="27"/>
    </row>
    <row r="1478" spans="1:11" x14ac:dyDescent="0.25">
      <c r="A1478" s="77"/>
      <c r="B1478" s="69"/>
      <c r="C1478" s="71"/>
      <c r="E1478" s="22"/>
      <c r="F1478" s="22"/>
      <c r="G1478" s="31"/>
      <c r="J1478" s="23"/>
      <c r="K1478" s="27"/>
    </row>
    <row r="1479" spans="1:11" x14ac:dyDescent="0.25">
      <c r="A1479" s="77"/>
      <c r="B1479" s="69"/>
      <c r="C1479" s="71"/>
      <c r="E1479" s="22"/>
      <c r="F1479" s="22"/>
      <c r="G1479" s="31"/>
      <c r="J1479" s="23"/>
      <c r="K1479" s="27"/>
    </row>
    <row r="1480" spans="1:11" x14ac:dyDescent="0.25">
      <c r="A1480" s="77"/>
      <c r="B1480" s="69"/>
      <c r="C1480" s="71"/>
      <c r="E1480" s="22"/>
      <c r="F1480" s="22"/>
      <c r="G1480" s="31"/>
      <c r="J1480" s="23"/>
      <c r="K1480" s="27"/>
    </row>
    <row r="1481" spans="1:11" x14ac:dyDescent="0.25">
      <c r="A1481" s="77"/>
      <c r="B1481" s="69"/>
      <c r="C1481" s="71"/>
      <c r="E1481" s="22"/>
      <c r="F1481" s="22"/>
      <c r="G1481" s="31"/>
      <c r="J1481" s="23"/>
      <c r="K1481" s="27"/>
    </row>
    <row r="1482" spans="1:11" x14ac:dyDescent="0.25">
      <c r="A1482" s="77"/>
      <c r="B1482" s="69"/>
      <c r="C1482" s="71"/>
      <c r="E1482" s="22"/>
      <c r="F1482" s="22"/>
      <c r="G1482" s="31"/>
      <c r="J1482" s="23"/>
      <c r="K1482" s="27"/>
    </row>
    <row r="1483" spans="1:11" x14ac:dyDescent="0.25">
      <c r="A1483" s="77"/>
      <c r="B1483" s="69"/>
      <c r="C1483" s="71"/>
      <c r="E1483" s="22"/>
      <c r="F1483" s="22"/>
      <c r="G1483" s="31"/>
      <c r="J1483" s="23"/>
      <c r="K1483" s="27"/>
    </row>
    <row r="1484" spans="1:11" x14ac:dyDescent="0.25">
      <c r="A1484" s="77"/>
      <c r="B1484" s="69"/>
      <c r="C1484" s="71"/>
      <c r="E1484" s="22"/>
      <c r="F1484" s="22"/>
      <c r="G1484" s="31"/>
      <c r="J1484" s="23"/>
      <c r="K1484" s="27"/>
    </row>
    <row r="1485" spans="1:11" x14ac:dyDescent="0.25">
      <c r="A1485" s="77"/>
      <c r="B1485" s="69"/>
      <c r="C1485" s="71"/>
      <c r="E1485" s="22"/>
      <c r="F1485" s="22"/>
      <c r="G1485" s="31"/>
      <c r="J1485" s="23"/>
      <c r="K1485" s="27"/>
    </row>
    <row r="1486" spans="1:11" x14ac:dyDescent="0.25">
      <c r="A1486" s="77"/>
      <c r="B1486" s="69"/>
      <c r="C1486" s="71"/>
      <c r="E1486" s="22"/>
      <c r="F1486" s="22"/>
      <c r="G1486" s="31"/>
      <c r="J1486" s="23"/>
      <c r="K1486" s="27"/>
    </row>
    <row r="1487" spans="1:11" x14ac:dyDescent="0.25">
      <c r="A1487" s="77"/>
      <c r="B1487" s="69"/>
      <c r="C1487" s="71"/>
      <c r="E1487" s="22"/>
      <c r="F1487" s="22"/>
      <c r="G1487" s="31"/>
      <c r="J1487" s="23"/>
      <c r="K1487" s="27"/>
    </row>
    <row r="1488" spans="1:11" x14ac:dyDescent="0.25">
      <c r="A1488" s="77"/>
      <c r="B1488" s="69"/>
      <c r="C1488" s="71"/>
      <c r="E1488" s="22"/>
      <c r="F1488" s="22"/>
      <c r="G1488" s="31"/>
      <c r="J1488" s="23"/>
      <c r="K1488" s="27"/>
    </row>
    <row r="1489" spans="1:11" x14ac:dyDescent="0.25">
      <c r="A1489" s="77"/>
      <c r="B1489" s="69"/>
      <c r="C1489" s="71"/>
      <c r="E1489" s="22"/>
      <c r="F1489" s="22"/>
      <c r="G1489" s="31"/>
      <c r="J1489" s="23"/>
      <c r="K1489" s="27"/>
    </row>
    <row r="1490" spans="1:11" x14ac:dyDescent="0.25">
      <c r="A1490" s="77"/>
      <c r="B1490" s="69"/>
      <c r="C1490" s="71"/>
      <c r="E1490" s="22"/>
      <c r="F1490" s="22"/>
      <c r="G1490" s="31"/>
      <c r="J1490" s="23"/>
      <c r="K1490" s="27"/>
    </row>
    <row r="1491" spans="1:11" x14ac:dyDescent="0.25">
      <c r="A1491" s="77"/>
      <c r="B1491" s="69"/>
      <c r="C1491" s="71"/>
      <c r="E1491" s="22"/>
      <c r="F1491" s="22"/>
      <c r="G1491" s="31"/>
      <c r="J1491" s="23"/>
      <c r="K1491" s="27"/>
    </row>
    <row r="1492" spans="1:11" x14ac:dyDescent="0.25">
      <c r="A1492" s="77"/>
      <c r="B1492" s="69"/>
      <c r="C1492" s="71"/>
      <c r="E1492" s="22"/>
      <c r="F1492" s="22"/>
      <c r="G1492" s="31"/>
      <c r="J1492" s="23"/>
      <c r="K1492" s="27"/>
    </row>
    <row r="1493" spans="1:11" x14ac:dyDescent="0.25">
      <c r="A1493" s="77"/>
      <c r="B1493" s="69"/>
      <c r="C1493" s="71"/>
      <c r="E1493" s="22"/>
      <c r="F1493" s="22"/>
      <c r="G1493" s="31"/>
      <c r="J1493" s="23"/>
      <c r="K1493" s="27"/>
    </row>
    <row r="1494" spans="1:11" x14ac:dyDescent="0.25">
      <c r="A1494" s="77"/>
      <c r="B1494" s="69"/>
      <c r="C1494" s="71"/>
      <c r="E1494" s="22"/>
      <c r="F1494" s="22"/>
      <c r="G1494" s="31"/>
      <c r="J1494" s="23"/>
      <c r="K1494" s="27"/>
    </row>
    <row r="1495" spans="1:11" x14ac:dyDescent="0.25">
      <c r="A1495" s="77"/>
      <c r="B1495" s="69"/>
      <c r="C1495" s="71"/>
      <c r="E1495" s="22"/>
      <c r="F1495" s="22"/>
      <c r="G1495" s="31"/>
      <c r="J1495" s="23"/>
      <c r="K1495" s="27"/>
    </row>
    <row r="1496" spans="1:11" x14ac:dyDescent="0.25">
      <c r="A1496" s="77"/>
      <c r="B1496" s="69"/>
      <c r="C1496" s="71"/>
      <c r="E1496" s="22"/>
      <c r="F1496" s="22"/>
      <c r="G1496" s="31"/>
      <c r="J1496" s="23"/>
      <c r="K1496" s="27"/>
    </row>
    <row r="1497" spans="1:11" x14ac:dyDescent="0.25">
      <c r="A1497" s="77"/>
      <c r="B1497" s="69"/>
      <c r="C1497" s="71"/>
      <c r="E1497" s="22"/>
      <c r="F1497" s="22"/>
      <c r="G1497" s="31"/>
      <c r="J1497" s="23"/>
      <c r="K1497" s="27"/>
    </row>
    <row r="1498" spans="1:11" x14ac:dyDescent="0.25">
      <c r="A1498" s="77"/>
      <c r="B1498" s="69"/>
      <c r="C1498" s="71"/>
      <c r="E1498" s="22"/>
      <c r="F1498" s="22"/>
      <c r="G1498" s="31"/>
      <c r="J1498" s="23"/>
      <c r="K1498" s="27"/>
    </row>
    <row r="1499" spans="1:11" x14ac:dyDescent="0.25">
      <c r="A1499" s="77"/>
      <c r="B1499" s="69"/>
      <c r="C1499" s="71"/>
      <c r="E1499" s="22"/>
      <c r="F1499" s="22"/>
      <c r="G1499" s="31"/>
      <c r="J1499" s="23"/>
      <c r="K1499" s="27"/>
    </row>
    <row r="1500" spans="1:11" x14ac:dyDescent="0.25">
      <c r="A1500" s="77"/>
      <c r="B1500" s="69"/>
      <c r="C1500" s="71"/>
      <c r="E1500" s="22"/>
      <c r="F1500" s="22"/>
      <c r="G1500" s="31"/>
      <c r="J1500" s="23"/>
      <c r="K1500" s="27"/>
    </row>
    <row r="1501" spans="1:11" x14ac:dyDescent="0.25">
      <c r="A1501" s="77"/>
      <c r="B1501" s="69"/>
      <c r="C1501" s="71"/>
      <c r="E1501" s="22"/>
      <c r="F1501" s="22"/>
      <c r="G1501" s="31"/>
      <c r="J1501" s="23"/>
      <c r="K1501" s="27"/>
    </row>
    <row r="1502" spans="1:11" x14ac:dyDescent="0.25">
      <c r="A1502" s="77"/>
      <c r="B1502" s="69"/>
      <c r="C1502" s="71"/>
      <c r="E1502" s="22"/>
      <c r="F1502" s="22"/>
      <c r="G1502" s="31"/>
      <c r="J1502" s="23"/>
      <c r="K1502" s="27"/>
    </row>
    <row r="1503" spans="1:11" x14ac:dyDescent="0.25">
      <c r="A1503" s="77"/>
      <c r="B1503" s="69"/>
      <c r="C1503" s="71"/>
      <c r="E1503" s="22"/>
      <c r="F1503" s="22"/>
      <c r="G1503" s="31"/>
      <c r="J1503" s="23"/>
      <c r="K1503" s="27"/>
    </row>
    <row r="1504" spans="1:11" x14ac:dyDescent="0.25">
      <c r="A1504" s="77"/>
      <c r="B1504" s="69"/>
      <c r="C1504" s="71"/>
      <c r="E1504" s="22"/>
      <c r="F1504" s="22"/>
      <c r="G1504" s="31"/>
      <c r="J1504" s="23"/>
      <c r="K1504" s="27"/>
    </row>
    <row r="1505" spans="1:11" x14ac:dyDescent="0.25">
      <c r="A1505" s="77"/>
      <c r="B1505" s="69"/>
      <c r="C1505" s="71"/>
      <c r="E1505" s="22"/>
      <c r="F1505" s="22"/>
      <c r="G1505" s="31"/>
      <c r="J1505" s="23"/>
      <c r="K1505" s="27"/>
    </row>
    <row r="1506" spans="1:11" x14ac:dyDescent="0.25">
      <c r="A1506" s="77"/>
      <c r="B1506" s="69"/>
      <c r="C1506" s="71"/>
      <c r="E1506" s="22"/>
      <c r="F1506" s="22"/>
      <c r="G1506" s="31"/>
      <c r="J1506" s="23"/>
      <c r="K1506" s="27"/>
    </row>
    <row r="1507" spans="1:11" x14ac:dyDescent="0.25">
      <c r="A1507" s="77"/>
      <c r="B1507" s="69"/>
      <c r="C1507" s="71"/>
      <c r="E1507" s="22"/>
      <c r="F1507" s="22"/>
      <c r="G1507" s="31"/>
      <c r="J1507" s="23"/>
      <c r="K1507" s="27"/>
    </row>
    <row r="1508" spans="1:11" x14ac:dyDescent="0.25">
      <c r="A1508" s="77"/>
      <c r="B1508" s="69"/>
      <c r="C1508" s="71"/>
      <c r="E1508" s="22"/>
      <c r="F1508" s="22"/>
      <c r="G1508" s="31"/>
      <c r="J1508" s="23"/>
      <c r="K1508" s="27"/>
    </row>
    <row r="1509" spans="1:11" x14ac:dyDescent="0.25">
      <c r="A1509" s="77"/>
      <c r="B1509" s="69"/>
      <c r="C1509" s="71"/>
      <c r="E1509" s="22"/>
      <c r="F1509" s="22"/>
      <c r="G1509" s="31"/>
      <c r="J1509" s="23"/>
      <c r="K1509" s="27"/>
    </row>
    <row r="1510" spans="1:11" x14ac:dyDescent="0.25">
      <c r="A1510" s="77"/>
      <c r="B1510" s="69"/>
      <c r="C1510" s="71"/>
      <c r="E1510" s="22"/>
      <c r="F1510" s="22"/>
      <c r="G1510" s="31"/>
      <c r="J1510" s="23"/>
      <c r="K1510" s="27"/>
    </row>
    <row r="1511" spans="1:11" x14ac:dyDescent="0.25">
      <c r="A1511" s="77"/>
      <c r="B1511" s="69"/>
      <c r="C1511" s="71"/>
      <c r="E1511" s="22"/>
      <c r="F1511" s="22"/>
      <c r="G1511" s="31"/>
      <c r="J1511" s="23"/>
      <c r="K1511" s="27"/>
    </row>
    <row r="1512" spans="1:11" x14ac:dyDescent="0.25">
      <c r="A1512" s="77"/>
      <c r="B1512" s="69"/>
      <c r="C1512" s="71"/>
      <c r="E1512" s="22"/>
      <c r="F1512" s="22"/>
      <c r="G1512" s="31"/>
      <c r="J1512" s="23"/>
      <c r="K1512" s="27"/>
    </row>
    <row r="1513" spans="1:11" x14ac:dyDescent="0.25">
      <c r="A1513" s="77"/>
      <c r="B1513" s="69"/>
      <c r="C1513" s="71"/>
      <c r="E1513" s="22"/>
      <c r="F1513" s="22"/>
      <c r="G1513" s="31"/>
      <c r="J1513" s="23"/>
      <c r="K1513" s="27"/>
    </row>
    <row r="1514" spans="1:11" x14ac:dyDescent="0.25">
      <c r="A1514" s="77"/>
      <c r="B1514" s="69"/>
      <c r="C1514" s="71"/>
      <c r="E1514" s="22"/>
      <c r="F1514" s="22"/>
      <c r="G1514" s="31"/>
      <c r="J1514" s="23"/>
      <c r="K1514" s="27"/>
    </row>
    <row r="1515" spans="1:11" x14ac:dyDescent="0.25">
      <c r="A1515" s="77"/>
      <c r="B1515" s="69"/>
      <c r="C1515" s="71"/>
      <c r="E1515" s="22"/>
      <c r="F1515" s="22"/>
      <c r="G1515" s="31"/>
      <c r="J1515" s="23"/>
      <c r="K1515" s="27"/>
    </row>
    <row r="1516" spans="1:11" x14ac:dyDescent="0.25">
      <c r="A1516" s="77"/>
      <c r="B1516" s="69"/>
      <c r="C1516" s="71"/>
      <c r="E1516" s="22"/>
      <c r="F1516" s="22"/>
      <c r="G1516" s="31"/>
      <c r="J1516" s="23"/>
      <c r="K1516" s="27"/>
    </row>
    <row r="1517" spans="1:11" x14ac:dyDescent="0.25">
      <c r="A1517" s="77"/>
      <c r="B1517" s="69"/>
      <c r="C1517" s="71"/>
      <c r="E1517" s="22"/>
      <c r="F1517" s="22"/>
      <c r="G1517" s="31"/>
      <c r="J1517" s="23"/>
      <c r="K1517" s="27"/>
    </row>
    <row r="1518" spans="1:11" x14ac:dyDescent="0.25">
      <c r="A1518" s="77"/>
      <c r="B1518" s="69"/>
      <c r="C1518" s="71"/>
      <c r="E1518" s="22"/>
      <c r="F1518" s="22"/>
      <c r="G1518" s="31"/>
      <c r="J1518" s="23"/>
      <c r="K1518" s="27"/>
    </row>
    <row r="1519" spans="1:11" x14ac:dyDescent="0.25">
      <c r="A1519" s="77"/>
      <c r="B1519" s="69"/>
      <c r="C1519" s="71"/>
      <c r="E1519" s="22"/>
      <c r="F1519" s="22"/>
      <c r="G1519" s="31"/>
      <c r="J1519" s="23"/>
      <c r="K1519" s="27"/>
    </row>
    <row r="1520" spans="1:11" x14ac:dyDescent="0.25">
      <c r="A1520" s="77"/>
      <c r="B1520" s="69"/>
      <c r="C1520" s="71"/>
      <c r="E1520" s="22"/>
      <c r="F1520" s="22"/>
      <c r="G1520" s="31"/>
      <c r="J1520" s="23"/>
      <c r="K1520" s="27"/>
    </row>
    <row r="1521" spans="1:11" x14ac:dyDescent="0.25">
      <c r="A1521" s="77"/>
      <c r="B1521" s="69"/>
      <c r="C1521" s="71"/>
      <c r="E1521" s="22"/>
      <c r="F1521" s="22"/>
      <c r="G1521" s="31"/>
      <c r="J1521" s="23"/>
      <c r="K1521" s="27"/>
    </row>
    <row r="1522" spans="1:11" x14ac:dyDescent="0.25">
      <c r="A1522" s="77"/>
      <c r="B1522" s="69"/>
      <c r="C1522" s="71"/>
      <c r="E1522" s="22"/>
      <c r="F1522" s="22"/>
      <c r="G1522" s="31"/>
      <c r="J1522" s="23"/>
      <c r="K1522" s="27"/>
    </row>
    <row r="1523" spans="1:11" x14ac:dyDescent="0.25">
      <c r="A1523" s="77"/>
      <c r="B1523" s="69"/>
      <c r="C1523" s="71"/>
      <c r="E1523" s="22"/>
      <c r="F1523" s="22"/>
      <c r="G1523" s="31"/>
      <c r="J1523" s="23"/>
      <c r="K1523" s="27"/>
    </row>
    <row r="1524" spans="1:11" x14ac:dyDescent="0.25">
      <c r="A1524" s="77"/>
      <c r="B1524" s="69"/>
      <c r="C1524" s="71"/>
      <c r="E1524" s="22"/>
      <c r="F1524" s="22"/>
      <c r="G1524" s="31"/>
      <c r="J1524" s="23"/>
      <c r="K1524" s="27"/>
    </row>
    <row r="1525" spans="1:11" x14ac:dyDescent="0.25">
      <c r="A1525" s="77"/>
      <c r="B1525" s="69"/>
      <c r="C1525" s="71"/>
      <c r="E1525" s="22"/>
      <c r="F1525" s="22"/>
      <c r="G1525" s="31"/>
      <c r="J1525" s="23"/>
      <c r="K1525" s="27"/>
    </row>
    <row r="1526" spans="1:11" x14ac:dyDescent="0.25">
      <c r="A1526" s="77"/>
      <c r="B1526" s="69"/>
      <c r="C1526" s="71"/>
      <c r="E1526" s="22"/>
      <c r="F1526" s="22"/>
      <c r="G1526" s="31"/>
      <c r="J1526" s="23"/>
      <c r="K1526" s="27"/>
    </row>
    <row r="1527" spans="1:11" x14ac:dyDescent="0.25">
      <c r="A1527" s="77"/>
      <c r="B1527" s="69"/>
      <c r="C1527" s="71"/>
      <c r="E1527" s="22"/>
      <c r="F1527" s="22"/>
      <c r="G1527" s="31"/>
      <c r="J1527" s="23"/>
      <c r="K1527" s="27"/>
    </row>
    <row r="1528" spans="1:11" x14ac:dyDescent="0.25">
      <c r="A1528" s="77"/>
      <c r="B1528" s="69"/>
      <c r="C1528" s="71"/>
      <c r="E1528" s="22"/>
      <c r="F1528" s="22"/>
      <c r="G1528" s="31"/>
      <c r="J1528" s="23"/>
      <c r="K1528" s="27"/>
    </row>
    <row r="1529" spans="1:11" x14ac:dyDescent="0.25">
      <c r="A1529" s="77"/>
      <c r="B1529" s="69"/>
      <c r="C1529" s="71"/>
      <c r="E1529" s="22"/>
      <c r="F1529" s="22"/>
      <c r="G1529" s="31"/>
      <c r="J1529" s="23"/>
      <c r="K1529" s="27"/>
    </row>
    <row r="1530" spans="1:11" x14ac:dyDescent="0.25">
      <c r="A1530" s="77"/>
      <c r="B1530" s="69"/>
      <c r="C1530" s="71"/>
      <c r="E1530" s="22"/>
      <c r="F1530" s="22"/>
      <c r="G1530" s="31"/>
      <c r="J1530" s="23"/>
      <c r="K1530" s="27"/>
    </row>
    <row r="1531" spans="1:11" x14ac:dyDescent="0.25">
      <c r="A1531" s="77"/>
      <c r="B1531" s="69"/>
      <c r="C1531" s="71"/>
      <c r="E1531" s="22"/>
      <c r="F1531" s="22"/>
      <c r="G1531" s="31"/>
      <c r="J1531" s="23"/>
      <c r="K1531" s="27"/>
    </row>
    <row r="1532" spans="1:11" x14ac:dyDescent="0.25">
      <c r="A1532" s="77"/>
      <c r="B1532" s="69"/>
      <c r="C1532" s="71"/>
      <c r="E1532" s="22"/>
      <c r="F1532" s="22"/>
      <c r="G1532" s="31"/>
      <c r="J1532" s="23"/>
      <c r="K1532" s="27"/>
    </row>
    <row r="1533" spans="1:11" x14ac:dyDescent="0.25">
      <c r="A1533" s="77"/>
      <c r="B1533" s="69"/>
      <c r="C1533" s="71"/>
      <c r="E1533" s="22"/>
      <c r="F1533" s="22"/>
      <c r="G1533" s="31"/>
      <c r="J1533" s="23"/>
      <c r="K1533" s="27"/>
    </row>
    <row r="1534" spans="1:11" x14ac:dyDescent="0.25">
      <c r="A1534" s="77"/>
      <c r="B1534" s="69"/>
      <c r="C1534" s="71"/>
      <c r="E1534" s="22"/>
      <c r="F1534" s="22"/>
      <c r="G1534" s="31"/>
      <c r="J1534" s="23"/>
      <c r="K1534" s="27"/>
    </row>
    <row r="1535" spans="1:11" x14ac:dyDescent="0.25">
      <c r="A1535" s="77"/>
      <c r="B1535" s="69"/>
      <c r="C1535" s="71"/>
      <c r="E1535" s="22"/>
      <c r="F1535" s="22"/>
      <c r="G1535" s="31"/>
      <c r="J1535" s="23"/>
      <c r="K1535" s="27"/>
    </row>
    <row r="1536" spans="1:11" x14ac:dyDescent="0.25">
      <c r="A1536" s="77"/>
      <c r="B1536" s="69"/>
      <c r="C1536" s="71"/>
      <c r="E1536" s="22"/>
      <c r="F1536" s="22"/>
      <c r="G1536" s="31"/>
      <c r="J1536" s="23"/>
      <c r="K1536" s="27"/>
    </row>
    <row r="1537" spans="1:11" x14ac:dyDescent="0.25">
      <c r="A1537" s="77"/>
      <c r="B1537" s="69"/>
      <c r="C1537" s="71"/>
      <c r="E1537" s="22"/>
      <c r="F1537" s="22"/>
      <c r="G1537" s="31"/>
      <c r="J1537" s="23"/>
      <c r="K1537" s="27"/>
    </row>
    <row r="1538" spans="1:11" x14ac:dyDescent="0.25">
      <c r="A1538" s="77"/>
      <c r="B1538" s="69"/>
      <c r="C1538" s="71"/>
      <c r="E1538" s="22"/>
      <c r="F1538" s="22"/>
      <c r="G1538" s="31"/>
      <c r="J1538" s="23"/>
      <c r="K1538" s="27"/>
    </row>
    <row r="1539" spans="1:11" x14ac:dyDescent="0.25">
      <c r="A1539" s="77"/>
      <c r="B1539" s="69"/>
      <c r="C1539" s="71"/>
      <c r="E1539" s="22"/>
      <c r="F1539" s="22"/>
      <c r="G1539" s="31"/>
      <c r="J1539" s="23"/>
      <c r="K1539" s="27"/>
    </row>
    <row r="1540" spans="1:11" x14ac:dyDescent="0.25">
      <c r="A1540" s="77"/>
      <c r="B1540" s="69"/>
      <c r="C1540" s="71"/>
      <c r="E1540" s="22"/>
      <c r="F1540" s="22"/>
      <c r="G1540" s="31"/>
      <c r="J1540" s="23"/>
      <c r="K1540" s="27"/>
    </row>
    <row r="1541" spans="1:11" x14ac:dyDescent="0.25">
      <c r="A1541" s="77"/>
      <c r="B1541" s="69"/>
      <c r="C1541" s="71"/>
      <c r="E1541" s="22"/>
      <c r="F1541" s="22"/>
      <c r="G1541" s="31"/>
      <c r="J1541" s="23"/>
      <c r="K1541" s="27"/>
    </row>
    <row r="1542" spans="1:11" x14ac:dyDescent="0.25">
      <c r="A1542" s="77"/>
      <c r="B1542" s="69"/>
      <c r="C1542" s="71"/>
      <c r="E1542" s="22"/>
      <c r="F1542" s="22"/>
      <c r="G1542" s="31"/>
      <c r="J1542" s="23"/>
      <c r="K1542" s="27"/>
    </row>
    <row r="1543" spans="1:11" x14ac:dyDescent="0.25">
      <c r="A1543" s="77"/>
      <c r="B1543" s="69"/>
      <c r="C1543" s="71"/>
      <c r="E1543" s="22"/>
      <c r="F1543" s="22"/>
      <c r="G1543" s="31"/>
      <c r="J1543" s="23"/>
      <c r="K1543" s="27"/>
    </row>
    <row r="1544" spans="1:11" x14ac:dyDescent="0.25">
      <c r="A1544" s="77"/>
      <c r="B1544" s="69"/>
      <c r="C1544" s="71"/>
      <c r="E1544" s="22"/>
      <c r="F1544" s="22"/>
      <c r="G1544" s="31"/>
      <c r="J1544" s="23"/>
      <c r="K1544" s="27"/>
    </row>
    <row r="1545" spans="1:11" x14ac:dyDescent="0.25">
      <c r="A1545" s="77"/>
      <c r="B1545" s="69"/>
      <c r="C1545" s="71"/>
      <c r="E1545" s="22"/>
      <c r="F1545" s="22"/>
      <c r="G1545" s="31"/>
      <c r="J1545" s="23"/>
      <c r="K1545" s="27"/>
    </row>
    <row r="1546" spans="1:11" x14ac:dyDescent="0.25">
      <c r="A1546" s="77"/>
      <c r="B1546" s="69"/>
      <c r="C1546" s="71"/>
      <c r="E1546" s="22"/>
      <c r="F1546" s="22"/>
      <c r="G1546" s="31"/>
      <c r="J1546" s="23"/>
      <c r="K1546" s="27"/>
    </row>
    <row r="1547" spans="1:11" x14ac:dyDescent="0.25">
      <c r="A1547" s="77"/>
      <c r="B1547" s="69"/>
      <c r="C1547" s="71"/>
      <c r="E1547" s="22"/>
      <c r="F1547" s="22"/>
      <c r="G1547" s="31"/>
      <c r="J1547" s="23"/>
      <c r="K1547" s="27"/>
    </row>
    <row r="1548" spans="1:11" x14ac:dyDescent="0.25">
      <c r="A1548" s="77"/>
      <c r="B1548" s="69"/>
      <c r="C1548" s="71"/>
      <c r="E1548" s="22"/>
      <c r="F1548" s="22"/>
      <c r="G1548" s="31"/>
      <c r="J1548" s="23"/>
      <c r="K1548" s="27"/>
    </row>
    <row r="1549" spans="1:11" x14ac:dyDescent="0.25">
      <c r="A1549" s="77"/>
      <c r="B1549" s="69"/>
      <c r="C1549" s="71"/>
      <c r="E1549" s="22"/>
      <c r="F1549" s="22"/>
      <c r="G1549" s="31"/>
      <c r="J1549" s="23"/>
      <c r="K1549" s="27"/>
    </row>
    <row r="1550" spans="1:11" x14ac:dyDescent="0.25">
      <c r="A1550" s="77"/>
      <c r="B1550" s="69"/>
      <c r="C1550" s="71"/>
      <c r="E1550" s="22"/>
      <c r="F1550" s="22"/>
      <c r="G1550" s="31"/>
      <c r="J1550" s="23"/>
      <c r="K1550" s="27"/>
    </row>
    <row r="1551" spans="1:11" x14ac:dyDescent="0.25">
      <c r="A1551" s="77"/>
      <c r="B1551" s="69"/>
      <c r="C1551" s="71"/>
      <c r="E1551" s="22"/>
      <c r="F1551" s="22"/>
      <c r="G1551" s="31"/>
      <c r="J1551" s="23"/>
      <c r="K1551" s="27"/>
    </row>
    <row r="1552" spans="1:11" x14ac:dyDescent="0.25">
      <c r="A1552" s="77"/>
      <c r="B1552" s="69"/>
      <c r="C1552" s="71"/>
      <c r="E1552" s="22"/>
      <c r="F1552" s="22"/>
      <c r="G1552" s="31"/>
      <c r="J1552" s="23"/>
      <c r="K1552" s="27"/>
    </row>
    <row r="1553" spans="1:11" x14ac:dyDescent="0.25">
      <c r="A1553" s="77"/>
      <c r="B1553" s="69"/>
      <c r="C1553" s="71"/>
      <c r="E1553" s="22"/>
      <c r="F1553" s="22"/>
      <c r="G1553" s="31"/>
      <c r="J1553" s="23"/>
      <c r="K1553" s="27"/>
    </row>
    <row r="1554" spans="1:11" x14ac:dyDescent="0.25">
      <c r="A1554" s="77"/>
      <c r="B1554" s="69"/>
      <c r="C1554" s="71"/>
      <c r="E1554" s="22"/>
      <c r="F1554" s="22"/>
      <c r="G1554" s="31"/>
      <c r="J1554" s="23"/>
      <c r="K1554" s="27"/>
    </row>
    <row r="1555" spans="1:11" x14ac:dyDescent="0.25">
      <c r="A1555" s="77"/>
      <c r="B1555" s="69"/>
      <c r="C1555" s="71"/>
      <c r="E1555" s="22"/>
      <c r="F1555" s="22"/>
      <c r="G1555" s="31"/>
      <c r="J1555" s="23"/>
      <c r="K1555" s="27"/>
    </row>
    <row r="1556" spans="1:11" x14ac:dyDescent="0.25">
      <c r="A1556" s="77"/>
      <c r="B1556" s="69"/>
      <c r="C1556" s="71"/>
      <c r="E1556" s="22"/>
      <c r="F1556" s="22"/>
      <c r="G1556" s="31"/>
      <c r="J1556" s="23"/>
      <c r="K1556" s="27"/>
    </row>
    <row r="1557" spans="1:11" x14ac:dyDescent="0.25">
      <c r="A1557" s="77"/>
      <c r="B1557" s="69"/>
      <c r="C1557" s="71"/>
      <c r="E1557" s="22"/>
      <c r="F1557" s="22"/>
      <c r="G1557" s="31"/>
      <c r="J1557" s="23"/>
      <c r="K1557" s="27"/>
    </row>
    <row r="1558" spans="1:11" x14ac:dyDescent="0.25">
      <c r="A1558" s="77"/>
      <c r="B1558" s="69"/>
      <c r="C1558" s="71"/>
      <c r="E1558" s="22"/>
      <c r="F1558" s="22"/>
      <c r="G1558" s="31"/>
      <c r="J1558" s="23"/>
      <c r="K1558" s="27"/>
    </row>
    <row r="1559" spans="1:11" x14ac:dyDescent="0.25">
      <c r="A1559" s="77"/>
      <c r="B1559" s="69"/>
      <c r="C1559" s="71"/>
      <c r="E1559" s="22"/>
      <c r="F1559" s="22"/>
      <c r="G1559" s="31"/>
      <c r="J1559" s="23"/>
      <c r="K1559" s="27"/>
    </row>
    <row r="1560" spans="1:11" x14ac:dyDescent="0.25">
      <c r="A1560" s="77"/>
      <c r="B1560" s="69"/>
      <c r="C1560" s="71"/>
      <c r="E1560" s="22"/>
      <c r="F1560" s="22"/>
      <c r="G1560" s="31"/>
      <c r="J1560" s="23"/>
      <c r="K1560" s="27"/>
    </row>
    <row r="1561" spans="1:11" x14ac:dyDescent="0.25">
      <c r="A1561" s="77"/>
      <c r="B1561" s="69"/>
      <c r="C1561" s="71"/>
      <c r="E1561" s="22"/>
      <c r="F1561" s="22"/>
      <c r="G1561" s="31"/>
      <c r="J1561" s="23"/>
      <c r="K1561" s="27"/>
    </row>
    <row r="1562" spans="1:11" x14ac:dyDescent="0.25">
      <c r="A1562" s="77"/>
      <c r="B1562" s="69"/>
      <c r="C1562" s="71"/>
      <c r="E1562" s="22"/>
      <c r="F1562" s="22"/>
      <c r="G1562" s="31"/>
      <c r="J1562" s="23"/>
      <c r="K1562" s="27"/>
    </row>
    <row r="1563" spans="1:11" x14ac:dyDescent="0.25">
      <c r="A1563" s="77"/>
      <c r="B1563" s="69"/>
      <c r="C1563" s="71"/>
      <c r="E1563" s="22"/>
      <c r="F1563" s="22"/>
      <c r="G1563" s="31"/>
      <c r="J1563" s="23"/>
      <c r="K1563" s="27"/>
    </row>
    <row r="1564" spans="1:11" x14ac:dyDescent="0.25">
      <c r="A1564" s="77"/>
      <c r="B1564" s="69"/>
      <c r="C1564" s="71"/>
      <c r="E1564" s="22"/>
      <c r="F1564" s="22"/>
      <c r="G1564" s="31"/>
      <c r="J1564" s="23"/>
      <c r="K1564" s="27"/>
    </row>
    <row r="1565" spans="1:11" x14ac:dyDescent="0.25">
      <c r="A1565" s="77"/>
      <c r="B1565" s="69"/>
      <c r="C1565" s="71"/>
      <c r="E1565" s="22"/>
      <c r="F1565" s="22"/>
      <c r="G1565" s="31"/>
      <c r="J1565" s="23"/>
      <c r="K1565" s="27"/>
    </row>
    <row r="1566" spans="1:11" x14ac:dyDescent="0.25">
      <c r="A1566" s="77"/>
      <c r="B1566" s="69"/>
      <c r="C1566" s="71"/>
      <c r="E1566" s="22"/>
      <c r="F1566" s="22"/>
      <c r="G1566" s="31"/>
      <c r="J1566" s="23"/>
      <c r="K1566" s="27"/>
    </row>
    <row r="1567" spans="1:11" x14ac:dyDescent="0.25">
      <c r="A1567" s="77"/>
      <c r="B1567" s="69"/>
      <c r="C1567" s="71"/>
      <c r="E1567" s="22"/>
      <c r="F1567" s="22"/>
      <c r="G1567" s="31"/>
      <c r="J1567" s="23"/>
      <c r="K1567" s="27"/>
    </row>
    <row r="1568" spans="1:11" x14ac:dyDescent="0.25">
      <c r="A1568" s="77"/>
      <c r="B1568" s="69"/>
      <c r="C1568" s="71"/>
      <c r="E1568" s="22"/>
      <c r="F1568" s="22"/>
      <c r="G1568" s="31"/>
      <c r="J1568" s="23"/>
      <c r="K1568" s="27"/>
    </row>
    <row r="1569" spans="1:11" x14ac:dyDescent="0.25">
      <c r="A1569" s="77"/>
      <c r="B1569" s="69"/>
      <c r="C1569" s="71"/>
      <c r="E1569" s="22"/>
      <c r="F1569" s="22"/>
      <c r="G1569" s="31"/>
      <c r="J1569" s="23"/>
      <c r="K1569" s="27"/>
    </row>
    <row r="1570" spans="1:11" x14ac:dyDescent="0.25">
      <c r="A1570" s="77"/>
      <c r="B1570" s="69"/>
      <c r="C1570" s="71"/>
      <c r="E1570" s="22"/>
      <c r="F1570" s="22"/>
      <c r="G1570" s="31"/>
      <c r="J1570" s="23"/>
      <c r="K1570" s="27"/>
    </row>
    <row r="1571" spans="1:11" x14ac:dyDescent="0.25">
      <c r="A1571" s="77"/>
      <c r="B1571" s="69"/>
      <c r="C1571" s="71"/>
      <c r="E1571" s="22"/>
      <c r="F1571" s="22"/>
      <c r="G1571" s="31"/>
      <c r="J1571" s="23"/>
      <c r="K1571" s="27"/>
    </row>
    <row r="1572" spans="1:11" x14ac:dyDescent="0.25">
      <c r="A1572" s="77"/>
      <c r="B1572" s="69"/>
      <c r="C1572" s="71"/>
      <c r="E1572" s="22"/>
      <c r="F1572" s="22"/>
      <c r="G1572" s="31"/>
      <c r="J1572" s="23"/>
      <c r="K1572" s="27"/>
    </row>
    <row r="1573" spans="1:11" x14ac:dyDescent="0.25">
      <c r="A1573" s="77"/>
      <c r="B1573" s="69"/>
      <c r="C1573" s="71"/>
      <c r="E1573" s="22"/>
      <c r="F1573" s="22"/>
      <c r="G1573" s="31"/>
      <c r="J1573" s="23"/>
      <c r="K1573" s="27"/>
    </row>
    <row r="1574" spans="1:11" x14ac:dyDescent="0.25">
      <c r="A1574" s="77"/>
      <c r="B1574" s="69"/>
      <c r="C1574" s="71"/>
      <c r="E1574" s="22"/>
      <c r="F1574" s="22"/>
      <c r="G1574" s="31"/>
      <c r="J1574" s="23"/>
      <c r="K1574" s="27"/>
    </row>
    <row r="1575" spans="1:11" x14ac:dyDescent="0.25">
      <c r="A1575" s="77"/>
      <c r="B1575" s="69"/>
      <c r="C1575" s="71"/>
      <c r="E1575" s="22"/>
      <c r="F1575" s="22"/>
      <c r="G1575" s="31"/>
      <c r="J1575" s="23"/>
      <c r="K1575" s="27"/>
    </row>
    <row r="1576" spans="1:11" x14ac:dyDescent="0.25">
      <c r="A1576" s="77"/>
      <c r="B1576" s="69"/>
      <c r="C1576" s="71"/>
      <c r="E1576" s="22"/>
      <c r="F1576" s="22"/>
      <c r="G1576" s="31"/>
      <c r="J1576" s="23"/>
      <c r="K1576" s="27"/>
    </row>
    <row r="1577" spans="1:11" x14ac:dyDescent="0.25">
      <c r="A1577" s="77"/>
      <c r="B1577" s="69"/>
      <c r="C1577" s="71"/>
      <c r="E1577" s="22"/>
      <c r="F1577" s="22"/>
      <c r="G1577" s="31"/>
      <c r="J1577" s="23"/>
      <c r="K1577" s="27"/>
    </row>
    <row r="1578" spans="1:11" x14ac:dyDescent="0.25">
      <c r="A1578" s="77"/>
      <c r="B1578" s="69"/>
      <c r="C1578" s="71"/>
      <c r="E1578" s="22"/>
      <c r="F1578" s="22"/>
      <c r="G1578" s="31"/>
      <c r="J1578" s="23"/>
      <c r="K1578" s="27"/>
    </row>
    <row r="1579" spans="1:11" x14ac:dyDescent="0.25">
      <c r="A1579" s="77"/>
      <c r="B1579" s="69"/>
      <c r="C1579" s="71"/>
      <c r="E1579" s="22"/>
      <c r="F1579" s="22"/>
      <c r="G1579" s="31"/>
      <c r="J1579" s="23"/>
      <c r="K1579" s="27"/>
    </row>
    <row r="1580" spans="1:11" x14ac:dyDescent="0.25">
      <c r="A1580" s="77"/>
      <c r="B1580" s="69"/>
      <c r="C1580" s="71"/>
      <c r="E1580" s="22"/>
      <c r="F1580" s="22"/>
      <c r="G1580" s="31"/>
      <c r="J1580" s="23"/>
      <c r="K1580" s="27"/>
    </row>
    <row r="1581" spans="1:11" x14ac:dyDescent="0.25">
      <c r="A1581" s="77"/>
      <c r="B1581" s="69"/>
      <c r="C1581" s="71"/>
      <c r="E1581" s="22"/>
      <c r="F1581" s="22"/>
      <c r="G1581" s="31"/>
      <c r="J1581" s="23"/>
      <c r="K1581" s="27"/>
    </row>
    <row r="1582" spans="1:11" x14ac:dyDescent="0.25">
      <c r="A1582" s="77"/>
      <c r="B1582" s="69"/>
      <c r="C1582" s="71"/>
      <c r="E1582" s="22"/>
      <c r="F1582" s="22"/>
      <c r="G1582" s="31"/>
      <c r="J1582" s="23"/>
      <c r="K1582" s="27"/>
    </row>
    <row r="1583" spans="1:11" x14ac:dyDescent="0.25">
      <c r="A1583" s="77"/>
      <c r="B1583" s="69"/>
      <c r="C1583" s="71"/>
      <c r="E1583" s="22"/>
      <c r="F1583" s="22"/>
      <c r="G1583" s="31"/>
      <c r="J1583" s="23"/>
      <c r="K1583" s="27"/>
    </row>
    <row r="1584" spans="1:11" x14ac:dyDescent="0.25">
      <c r="A1584" s="77"/>
      <c r="B1584" s="69"/>
      <c r="C1584" s="71"/>
      <c r="E1584" s="22"/>
      <c r="F1584" s="22"/>
      <c r="G1584" s="31"/>
      <c r="J1584" s="23"/>
      <c r="K1584" s="27"/>
    </row>
    <row r="1585" spans="1:11" x14ac:dyDescent="0.25">
      <c r="A1585" s="77"/>
      <c r="B1585" s="69"/>
      <c r="C1585" s="71"/>
      <c r="E1585" s="22"/>
      <c r="F1585" s="22"/>
      <c r="G1585" s="31"/>
      <c r="J1585" s="23"/>
      <c r="K1585" s="27"/>
    </row>
    <row r="1586" spans="1:11" x14ac:dyDescent="0.25">
      <c r="A1586" s="77"/>
      <c r="B1586" s="69"/>
      <c r="C1586" s="71"/>
      <c r="E1586" s="22"/>
      <c r="F1586" s="22"/>
      <c r="G1586" s="31"/>
      <c r="J1586" s="23"/>
      <c r="K1586" s="27"/>
    </row>
    <row r="1587" spans="1:11" x14ac:dyDescent="0.25">
      <c r="A1587" s="77"/>
      <c r="B1587" s="69"/>
      <c r="C1587" s="71"/>
      <c r="E1587" s="22"/>
      <c r="F1587" s="22"/>
      <c r="G1587" s="31"/>
      <c r="J1587" s="23"/>
      <c r="K1587" s="27"/>
    </row>
    <row r="1588" spans="1:11" x14ac:dyDescent="0.25">
      <c r="A1588" s="77"/>
      <c r="B1588" s="69"/>
      <c r="C1588" s="71"/>
      <c r="E1588" s="22"/>
      <c r="F1588" s="22"/>
      <c r="G1588" s="31"/>
      <c r="J1588" s="23"/>
      <c r="K1588" s="27"/>
    </row>
    <row r="1589" spans="1:11" x14ac:dyDescent="0.25">
      <c r="A1589" s="77"/>
      <c r="B1589" s="69"/>
      <c r="C1589" s="71"/>
      <c r="E1589" s="22"/>
      <c r="F1589" s="22"/>
      <c r="G1589" s="31"/>
      <c r="J1589" s="23"/>
      <c r="K1589" s="27"/>
    </row>
    <row r="1590" spans="1:11" x14ac:dyDescent="0.25">
      <c r="A1590" s="77"/>
      <c r="B1590" s="69"/>
      <c r="C1590" s="71"/>
      <c r="E1590" s="22"/>
      <c r="F1590" s="22"/>
      <c r="G1590" s="31"/>
      <c r="J1590" s="23"/>
      <c r="K1590" s="27"/>
    </row>
    <row r="1591" spans="1:11" x14ac:dyDescent="0.25">
      <c r="A1591" s="77"/>
      <c r="B1591" s="69"/>
      <c r="C1591" s="71"/>
      <c r="E1591" s="22"/>
      <c r="F1591" s="22"/>
      <c r="G1591" s="31"/>
      <c r="J1591" s="23"/>
      <c r="K1591" s="27"/>
    </row>
    <row r="1592" spans="1:11" x14ac:dyDescent="0.25">
      <c r="A1592" s="77"/>
      <c r="B1592" s="69"/>
      <c r="C1592" s="71"/>
      <c r="E1592" s="22"/>
      <c r="F1592" s="22"/>
      <c r="G1592" s="31"/>
      <c r="J1592" s="23"/>
      <c r="K1592" s="27"/>
    </row>
    <row r="1593" spans="1:11" x14ac:dyDescent="0.25">
      <c r="A1593" s="77"/>
      <c r="B1593" s="69"/>
      <c r="C1593" s="71"/>
      <c r="E1593" s="22"/>
      <c r="F1593" s="22"/>
      <c r="G1593" s="31"/>
      <c r="J1593" s="23"/>
      <c r="K1593" s="27"/>
    </row>
    <row r="1594" spans="1:11" x14ac:dyDescent="0.25">
      <c r="A1594" s="77"/>
      <c r="B1594" s="69"/>
      <c r="C1594" s="71"/>
      <c r="E1594" s="22"/>
      <c r="F1594" s="22"/>
      <c r="G1594" s="31"/>
      <c r="J1594" s="23"/>
      <c r="K1594" s="27"/>
    </row>
    <row r="1595" spans="1:11" x14ac:dyDescent="0.25">
      <c r="A1595" s="77"/>
      <c r="B1595" s="69"/>
      <c r="C1595" s="71"/>
      <c r="E1595" s="22"/>
      <c r="F1595" s="22"/>
      <c r="G1595" s="31"/>
      <c r="J1595" s="23"/>
      <c r="K1595" s="27"/>
    </row>
    <row r="1596" spans="1:11" x14ac:dyDescent="0.25">
      <c r="A1596" s="77"/>
      <c r="B1596" s="69"/>
      <c r="C1596" s="71"/>
      <c r="E1596" s="22"/>
      <c r="F1596" s="22"/>
      <c r="G1596" s="31"/>
      <c r="J1596" s="23"/>
      <c r="K1596" s="27"/>
    </row>
    <row r="1597" spans="1:11" x14ac:dyDescent="0.25">
      <c r="A1597" s="77"/>
      <c r="B1597" s="69"/>
      <c r="C1597" s="71"/>
      <c r="E1597" s="22"/>
      <c r="F1597" s="22"/>
      <c r="G1597" s="31"/>
      <c r="J1597" s="23"/>
      <c r="K1597" s="27"/>
    </row>
    <row r="1598" spans="1:11" x14ac:dyDescent="0.25">
      <c r="A1598" s="77"/>
      <c r="B1598" s="69"/>
      <c r="C1598" s="71"/>
      <c r="E1598" s="22"/>
      <c r="F1598" s="22"/>
      <c r="G1598" s="31"/>
      <c r="J1598" s="23"/>
      <c r="K1598" s="27"/>
    </row>
    <row r="1599" spans="1:11" x14ac:dyDescent="0.25">
      <c r="A1599" s="77"/>
      <c r="B1599" s="69"/>
      <c r="C1599" s="71"/>
      <c r="E1599" s="22"/>
      <c r="F1599" s="22"/>
      <c r="G1599" s="31"/>
      <c r="J1599" s="23"/>
      <c r="K1599" s="27"/>
    </row>
    <row r="1600" spans="1:11" x14ac:dyDescent="0.25">
      <c r="A1600" s="77"/>
      <c r="B1600" s="69"/>
      <c r="C1600" s="71"/>
      <c r="E1600" s="22"/>
      <c r="F1600" s="22"/>
      <c r="G1600" s="31"/>
      <c r="J1600" s="23"/>
      <c r="K1600" s="27"/>
    </row>
    <row r="1601" spans="1:11" x14ac:dyDescent="0.25">
      <c r="A1601" s="77"/>
      <c r="B1601" s="69"/>
      <c r="C1601" s="71"/>
      <c r="E1601" s="22"/>
      <c r="F1601" s="22"/>
      <c r="G1601" s="31"/>
      <c r="J1601" s="23"/>
      <c r="K1601" s="27"/>
    </row>
    <row r="1602" spans="1:11" x14ac:dyDescent="0.25">
      <c r="A1602" s="77"/>
      <c r="B1602" s="69"/>
      <c r="C1602" s="71"/>
      <c r="E1602" s="22"/>
      <c r="F1602" s="22"/>
      <c r="G1602" s="31"/>
      <c r="J1602" s="23"/>
      <c r="K1602" s="27"/>
    </row>
    <row r="1603" spans="1:11" x14ac:dyDescent="0.25">
      <c r="A1603" s="77"/>
      <c r="B1603" s="69"/>
      <c r="C1603" s="71"/>
      <c r="E1603" s="22"/>
      <c r="F1603" s="22"/>
      <c r="G1603" s="31"/>
      <c r="J1603" s="23"/>
      <c r="K1603" s="27"/>
    </row>
    <row r="1604" spans="1:11" x14ac:dyDescent="0.25">
      <c r="A1604" s="77"/>
      <c r="B1604" s="69"/>
      <c r="C1604" s="71"/>
      <c r="E1604" s="22"/>
      <c r="F1604" s="22"/>
      <c r="G1604" s="31"/>
      <c r="J1604" s="23"/>
      <c r="K1604" s="27"/>
    </row>
    <row r="1605" spans="1:11" x14ac:dyDescent="0.25">
      <c r="A1605" s="77"/>
      <c r="B1605" s="69"/>
      <c r="C1605" s="71"/>
      <c r="E1605" s="22"/>
      <c r="F1605" s="22"/>
      <c r="G1605" s="31"/>
      <c r="J1605" s="23"/>
      <c r="K1605" s="27"/>
    </row>
    <row r="1606" spans="1:11" x14ac:dyDescent="0.25">
      <c r="A1606" s="77"/>
      <c r="B1606" s="69"/>
      <c r="C1606" s="71"/>
      <c r="E1606" s="22"/>
      <c r="F1606" s="22"/>
      <c r="G1606" s="31"/>
      <c r="J1606" s="23"/>
      <c r="K1606" s="27"/>
    </row>
    <row r="1607" spans="1:11" x14ac:dyDescent="0.25">
      <c r="A1607" s="77"/>
      <c r="B1607" s="69"/>
      <c r="C1607" s="71"/>
      <c r="E1607" s="22"/>
      <c r="F1607" s="22"/>
      <c r="G1607" s="31"/>
      <c r="J1607" s="23"/>
      <c r="K1607" s="27"/>
    </row>
    <row r="1608" spans="1:11" x14ac:dyDescent="0.25">
      <c r="A1608" s="77"/>
      <c r="B1608" s="69"/>
      <c r="C1608" s="71"/>
      <c r="E1608" s="22"/>
      <c r="F1608" s="22"/>
      <c r="G1608" s="31"/>
      <c r="J1608" s="23"/>
      <c r="K1608" s="27"/>
    </row>
    <row r="1609" spans="1:11" x14ac:dyDescent="0.25">
      <c r="A1609" s="77"/>
      <c r="B1609" s="69"/>
      <c r="C1609" s="71"/>
      <c r="E1609" s="22"/>
      <c r="F1609" s="22"/>
      <c r="G1609" s="31"/>
      <c r="J1609" s="23"/>
      <c r="K1609" s="27"/>
    </row>
    <row r="1610" spans="1:11" x14ac:dyDescent="0.25">
      <c r="A1610" s="77"/>
      <c r="B1610" s="69"/>
      <c r="C1610" s="71"/>
      <c r="E1610" s="22"/>
      <c r="F1610" s="22"/>
      <c r="G1610" s="31"/>
      <c r="J1610" s="23"/>
      <c r="K1610" s="27"/>
    </row>
    <row r="1611" spans="1:11" x14ac:dyDescent="0.25">
      <c r="A1611" s="77"/>
      <c r="B1611" s="69"/>
      <c r="C1611" s="71"/>
      <c r="E1611" s="22"/>
      <c r="F1611" s="22"/>
      <c r="G1611" s="31"/>
      <c r="J1611" s="23"/>
      <c r="K1611" s="27"/>
    </row>
    <row r="1612" spans="1:11" x14ac:dyDescent="0.25">
      <c r="A1612" s="77"/>
      <c r="B1612" s="69"/>
      <c r="C1612" s="71"/>
      <c r="E1612" s="22"/>
      <c r="F1612" s="22"/>
      <c r="G1612" s="31"/>
      <c r="J1612" s="23"/>
      <c r="K1612" s="27"/>
    </row>
    <row r="1613" spans="1:11" x14ac:dyDescent="0.25">
      <c r="A1613" s="77"/>
      <c r="B1613" s="69"/>
      <c r="C1613" s="71"/>
      <c r="E1613" s="22"/>
      <c r="F1613" s="22"/>
      <c r="G1613" s="31"/>
      <c r="J1613" s="23"/>
      <c r="K1613" s="27"/>
    </row>
    <row r="1614" spans="1:11" x14ac:dyDescent="0.25">
      <c r="A1614" s="77"/>
      <c r="B1614" s="69"/>
      <c r="C1614" s="71"/>
      <c r="E1614" s="22"/>
      <c r="F1614" s="22"/>
      <c r="G1614" s="31"/>
      <c r="J1614" s="23"/>
      <c r="K1614" s="27"/>
    </row>
    <row r="1615" spans="1:11" x14ac:dyDescent="0.25">
      <c r="A1615" s="77"/>
      <c r="B1615" s="69"/>
      <c r="C1615" s="71"/>
      <c r="E1615" s="22"/>
      <c r="F1615" s="22"/>
      <c r="G1615" s="31"/>
      <c r="J1615" s="23"/>
      <c r="K1615" s="27"/>
    </row>
    <row r="1616" spans="1:11" x14ac:dyDescent="0.25">
      <c r="A1616" s="77"/>
      <c r="B1616" s="69"/>
      <c r="C1616" s="71"/>
      <c r="E1616" s="22"/>
      <c r="F1616" s="22"/>
      <c r="G1616" s="31"/>
      <c r="J1616" s="23"/>
      <c r="K1616" s="27"/>
    </row>
    <row r="1617" spans="1:11" x14ac:dyDescent="0.25">
      <c r="A1617" s="77"/>
      <c r="B1617" s="69"/>
      <c r="C1617" s="71"/>
      <c r="E1617" s="22"/>
      <c r="F1617" s="22"/>
      <c r="G1617" s="31"/>
      <c r="J1617" s="23"/>
      <c r="K1617" s="27"/>
    </row>
    <row r="1618" spans="1:11" x14ac:dyDescent="0.25">
      <c r="A1618" s="77"/>
      <c r="B1618" s="69"/>
      <c r="C1618" s="71"/>
      <c r="E1618" s="22"/>
      <c r="F1618" s="22"/>
      <c r="G1618" s="31"/>
      <c r="J1618" s="23"/>
      <c r="K1618" s="27"/>
    </row>
    <row r="1619" spans="1:11" x14ac:dyDescent="0.25">
      <c r="A1619" s="77"/>
      <c r="B1619" s="69"/>
      <c r="C1619" s="71"/>
      <c r="E1619" s="22"/>
      <c r="F1619" s="22"/>
      <c r="G1619" s="31"/>
      <c r="J1619" s="23"/>
      <c r="K1619" s="27"/>
    </row>
    <row r="1620" spans="1:11" x14ac:dyDescent="0.25">
      <c r="A1620" s="77"/>
      <c r="B1620" s="69"/>
      <c r="C1620" s="71"/>
      <c r="E1620" s="22"/>
      <c r="F1620" s="22"/>
      <c r="G1620" s="31"/>
      <c r="J1620" s="23"/>
      <c r="K1620" s="27"/>
    </row>
    <row r="1621" spans="1:11" x14ac:dyDescent="0.25">
      <c r="A1621" s="77"/>
      <c r="B1621" s="69"/>
      <c r="C1621" s="71"/>
      <c r="E1621" s="22"/>
      <c r="F1621" s="22"/>
      <c r="G1621" s="31"/>
      <c r="J1621" s="23"/>
      <c r="K1621" s="27"/>
    </row>
    <row r="1622" spans="1:11" x14ac:dyDescent="0.25">
      <c r="A1622" s="77"/>
      <c r="B1622" s="69"/>
      <c r="C1622" s="71"/>
      <c r="E1622" s="22"/>
      <c r="F1622" s="22"/>
      <c r="G1622" s="31"/>
      <c r="J1622" s="23"/>
      <c r="K1622" s="27"/>
    </row>
    <row r="1623" spans="1:11" x14ac:dyDescent="0.25">
      <c r="A1623" s="77"/>
      <c r="B1623" s="69"/>
      <c r="C1623" s="71"/>
      <c r="E1623" s="22"/>
      <c r="F1623" s="22"/>
      <c r="G1623" s="31"/>
      <c r="J1623" s="23"/>
      <c r="K1623" s="27"/>
    </row>
    <row r="1624" spans="1:11" x14ac:dyDescent="0.25">
      <c r="A1624" s="77"/>
      <c r="B1624" s="69"/>
      <c r="C1624" s="71"/>
      <c r="E1624" s="22"/>
      <c r="F1624" s="22"/>
      <c r="G1624" s="31"/>
      <c r="J1624" s="23"/>
      <c r="K1624" s="27"/>
    </row>
    <row r="1625" spans="1:11" x14ac:dyDescent="0.25">
      <c r="A1625" s="77"/>
      <c r="B1625" s="69"/>
      <c r="C1625" s="71"/>
      <c r="E1625" s="22"/>
      <c r="F1625" s="22"/>
      <c r="G1625" s="31"/>
      <c r="J1625" s="23"/>
      <c r="K1625" s="27"/>
    </row>
    <row r="1626" spans="1:11" x14ac:dyDescent="0.25">
      <c r="A1626" s="77"/>
      <c r="B1626" s="69"/>
      <c r="C1626" s="71"/>
      <c r="E1626" s="22"/>
      <c r="F1626" s="22"/>
      <c r="G1626" s="31"/>
      <c r="J1626" s="23"/>
      <c r="K1626" s="27"/>
    </row>
    <row r="1627" spans="1:11" x14ac:dyDescent="0.25">
      <c r="A1627" s="77"/>
      <c r="B1627" s="69"/>
      <c r="C1627" s="71"/>
      <c r="E1627" s="22"/>
      <c r="F1627" s="22"/>
      <c r="G1627" s="31"/>
      <c r="J1627" s="23"/>
      <c r="K1627" s="27"/>
    </row>
    <row r="1628" spans="1:11" x14ac:dyDescent="0.25">
      <c r="A1628" s="77"/>
      <c r="B1628" s="69"/>
      <c r="C1628" s="71"/>
      <c r="E1628" s="22"/>
      <c r="F1628" s="22"/>
      <c r="G1628" s="31"/>
      <c r="J1628" s="23"/>
      <c r="K1628" s="27"/>
    </row>
    <row r="1629" spans="1:11" x14ac:dyDescent="0.25">
      <c r="A1629" s="77"/>
      <c r="B1629" s="69"/>
      <c r="C1629" s="71"/>
      <c r="E1629" s="22"/>
      <c r="F1629" s="22"/>
      <c r="G1629" s="31"/>
      <c r="J1629" s="23"/>
      <c r="K1629" s="27"/>
    </row>
    <row r="1630" spans="1:11" x14ac:dyDescent="0.25">
      <c r="A1630" s="77"/>
      <c r="B1630" s="69"/>
      <c r="C1630" s="71"/>
      <c r="E1630" s="22"/>
      <c r="F1630" s="22"/>
      <c r="G1630" s="31"/>
      <c r="J1630" s="23"/>
      <c r="K1630" s="27"/>
    </row>
    <row r="1631" spans="1:11" x14ac:dyDescent="0.25">
      <c r="A1631" s="77"/>
      <c r="B1631" s="69"/>
      <c r="C1631" s="71"/>
      <c r="E1631" s="22"/>
      <c r="F1631" s="22"/>
      <c r="G1631" s="31"/>
      <c r="J1631" s="23"/>
      <c r="K1631" s="27"/>
    </row>
    <row r="1632" spans="1:11" x14ac:dyDescent="0.25">
      <c r="A1632" s="77"/>
      <c r="B1632" s="69"/>
      <c r="C1632" s="71"/>
      <c r="E1632" s="22"/>
      <c r="F1632" s="22"/>
      <c r="G1632" s="31"/>
      <c r="J1632" s="23"/>
      <c r="K1632" s="27"/>
    </row>
    <row r="1633" spans="1:11" x14ac:dyDescent="0.25">
      <c r="A1633" s="77"/>
      <c r="B1633" s="69"/>
      <c r="C1633" s="71"/>
      <c r="E1633" s="22"/>
      <c r="F1633" s="22"/>
      <c r="G1633" s="31"/>
      <c r="J1633" s="23"/>
      <c r="K1633" s="27"/>
    </row>
    <row r="1634" spans="1:11" x14ac:dyDescent="0.25">
      <c r="A1634" s="77"/>
      <c r="B1634" s="69"/>
      <c r="C1634" s="71"/>
      <c r="E1634" s="22"/>
      <c r="F1634" s="22"/>
      <c r="G1634" s="31"/>
      <c r="J1634" s="23"/>
      <c r="K1634" s="27"/>
    </row>
    <row r="1635" spans="1:11" x14ac:dyDescent="0.25">
      <c r="A1635" s="77"/>
      <c r="B1635" s="69"/>
      <c r="C1635" s="71"/>
      <c r="E1635" s="22"/>
      <c r="F1635" s="22"/>
      <c r="G1635" s="31"/>
      <c r="J1635" s="23"/>
      <c r="K1635" s="27"/>
    </row>
    <row r="1636" spans="1:11" x14ac:dyDescent="0.25">
      <c r="A1636" s="77"/>
      <c r="B1636" s="69"/>
      <c r="C1636" s="71"/>
      <c r="E1636" s="22"/>
      <c r="F1636" s="22"/>
      <c r="G1636" s="31"/>
      <c r="J1636" s="23"/>
      <c r="K1636" s="27"/>
    </row>
    <row r="1637" spans="1:11" x14ac:dyDescent="0.25">
      <c r="A1637" s="77"/>
      <c r="B1637" s="69"/>
      <c r="C1637" s="71"/>
      <c r="E1637" s="22"/>
      <c r="F1637" s="22"/>
      <c r="G1637" s="31"/>
      <c r="J1637" s="23"/>
      <c r="K1637" s="27"/>
    </row>
    <row r="1638" spans="1:11" x14ac:dyDescent="0.25">
      <c r="A1638" s="77"/>
      <c r="B1638" s="69"/>
      <c r="C1638" s="71"/>
      <c r="E1638" s="22"/>
      <c r="F1638" s="22"/>
      <c r="G1638" s="31"/>
      <c r="J1638" s="23"/>
      <c r="K1638" s="27"/>
    </row>
    <row r="1639" spans="1:11" x14ac:dyDescent="0.25">
      <c r="A1639" s="77"/>
      <c r="B1639" s="69"/>
      <c r="C1639" s="71"/>
      <c r="E1639" s="22"/>
      <c r="F1639" s="22"/>
      <c r="G1639" s="31"/>
      <c r="J1639" s="23"/>
      <c r="K1639" s="27"/>
    </row>
    <row r="1640" spans="1:11" x14ac:dyDescent="0.25">
      <c r="A1640" s="77"/>
      <c r="B1640" s="69"/>
      <c r="C1640" s="71"/>
      <c r="E1640" s="22"/>
      <c r="F1640" s="22"/>
      <c r="G1640" s="31"/>
      <c r="J1640" s="23"/>
      <c r="K1640" s="27"/>
    </row>
    <row r="1641" spans="1:11" x14ac:dyDescent="0.25">
      <c r="A1641" s="77"/>
      <c r="B1641" s="69"/>
      <c r="C1641" s="71"/>
      <c r="E1641" s="22"/>
      <c r="F1641" s="22"/>
      <c r="G1641" s="31"/>
      <c r="J1641" s="23"/>
      <c r="K1641" s="27"/>
    </row>
    <row r="1642" spans="1:11" x14ac:dyDescent="0.25">
      <c r="A1642" s="77"/>
      <c r="B1642" s="69"/>
      <c r="C1642" s="71"/>
      <c r="E1642" s="22"/>
      <c r="F1642" s="22"/>
      <c r="G1642" s="31"/>
      <c r="J1642" s="23"/>
      <c r="K1642" s="27"/>
    </row>
    <row r="1643" spans="1:11" x14ac:dyDescent="0.25">
      <c r="A1643" s="77"/>
      <c r="B1643" s="69"/>
      <c r="C1643" s="71"/>
      <c r="E1643" s="22"/>
      <c r="F1643" s="22"/>
      <c r="G1643" s="31"/>
      <c r="J1643" s="23"/>
      <c r="K1643" s="27"/>
    </row>
    <row r="1644" spans="1:11" x14ac:dyDescent="0.25">
      <c r="A1644" s="77"/>
      <c r="B1644" s="69"/>
      <c r="C1644" s="71"/>
      <c r="E1644" s="22"/>
      <c r="F1644" s="22"/>
      <c r="G1644" s="31"/>
      <c r="J1644" s="23"/>
      <c r="K1644" s="27"/>
    </row>
    <row r="1645" spans="1:11" x14ac:dyDescent="0.25">
      <c r="A1645" s="77"/>
      <c r="B1645" s="69"/>
      <c r="C1645" s="71"/>
      <c r="E1645" s="22"/>
      <c r="F1645" s="22"/>
      <c r="G1645" s="31"/>
      <c r="J1645" s="23"/>
      <c r="K1645" s="27"/>
    </row>
    <row r="1646" spans="1:11" x14ac:dyDescent="0.25">
      <c r="A1646" s="77"/>
      <c r="B1646" s="69"/>
      <c r="C1646" s="71"/>
      <c r="E1646" s="22"/>
      <c r="F1646" s="22"/>
      <c r="G1646" s="31"/>
      <c r="J1646" s="23"/>
      <c r="K1646" s="27"/>
    </row>
    <row r="1647" spans="1:11" x14ac:dyDescent="0.25">
      <c r="A1647" s="77"/>
      <c r="B1647" s="69"/>
      <c r="C1647" s="71"/>
      <c r="E1647" s="22"/>
      <c r="F1647" s="22"/>
      <c r="G1647" s="31"/>
      <c r="J1647" s="23"/>
      <c r="K1647" s="27"/>
    </row>
    <row r="1648" spans="1:11" x14ac:dyDescent="0.25">
      <c r="A1648" s="77"/>
      <c r="B1648" s="69"/>
      <c r="C1648" s="71"/>
      <c r="E1648" s="22"/>
      <c r="F1648" s="22"/>
      <c r="G1648" s="31"/>
      <c r="J1648" s="23"/>
      <c r="K1648" s="27"/>
    </row>
    <row r="1649" spans="1:11" x14ac:dyDescent="0.25">
      <c r="A1649" s="77"/>
      <c r="B1649" s="69"/>
      <c r="C1649" s="71"/>
      <c r="E1649" s="22"/>
      <c r="F1649" s="22"/>
      <c r="G1649" s="31"/>
      <c r="J1649" s="23"/>
      <c r="K1649" s="27"/>
    </row>
    <row r="1650" spans="1:11" x14ac:dyDescent="0.25">
      <c r="A1650" s="77"/>
      <c r="B1650" s="69"/>
      <c r="C1650" s="71"/>
      <c r="E1650" s="22"/>
      <c r="F1650" s="22"/>
      <c r="G1650" s="31"/>
      <c r="J1650" s="23"/>
      <c r="K1650" s="27"/>
    </row>
    <row r="1651" spans="1:11" x14ac:dyDescent="0.25">
      <c r="A1651" s="77"/>
      <c r="B1651" s="69"/>
      <c r="C1651" s="71"/>
      <c r="E1651" s="22"/>
      <c r="F1651" s="22"/>
      <c r="G1651" s="31"/>
      <c r="J1651" s="23"/>
      <c r="K1651" s="27"/>
    </row>
    <row r="1652" spans="1:11" x14ac:dyDescent="0.25">
      <c r="A1652" s="77"/>
      <c r="B1652" s="69"/>
      <c r="C1652" s="71"/>
      <c r="E1652" s="22"/>
      <c r="F1652" s="22"/>
      <c r="G1652" s="31"/>
      <c r="J1652" s="23"/>
      <c r="K1652" s="27"/>
    </row>
    <row r="1653" spans="1:11" x14ac:dyDescent="0.25">
      <c r="A1653" s="77"/>
      <c r="B1653" s="69"/>
      <c r="C1653" s="71"/>
      <c r="E1653" s="22"/>
      <c r="F1653" s="22"/>
      <c r="G1653" s="31"/>
      <c r="J1653" s="23"/>
      <c r="K1653" s="27"/>
    </row>
    <row r="1654" spans="1:11" x14ac:dyDescent="0.25">
      <c r="A1654" s="77"/>
      <c r="B1654" s="69"/>
      <c r="C1654" s="71"/>
      <c r="E1654" s="22"/>
      <c r="F1654" s="22"/>
      <c r="G1654" s="31"/>
      <c r="J1654" s="23"/>
      <c r="K1654" s="27"/>
    </row>
    <row r="1655" spans="1:11" x14ac:dyDescent="0.25">
      <c r="A1655" s="77"/>
      <c r="B1655" s="69"/>
      <c r="C1655" s="71"/>
      <c r="E1655" s="22"/>
      <c r="F1655" s="22"/>
      <c r="G1655" s="31"/>
      <c r="J1655" s="23"/>
      <c r="K1655" s="27"/>
    </row>
    <row r="1656" spans="1:11" x14ac:dyDescent="0.25">
      <c r="A1656" s="77"/>
      <c r="B1656" s="69"/>
      <c r="C1656" s="71"/>
      <c r="E1656" s="22"/>
      <c r="F1656" s="22"/>
      <c r="G1656" s="31"/>
      <c r="J1656" s="23"/>
      <c r="K1656" s="27"/>
    </row>
    <row r="1657" spans="1:11" x14ac:dyDescent="0.25">
      <c r="A1657" s="77"/>
      <c r="B1657" s="69"/>
      <c r="C1657" s="71"/>
      <c r="E1657" s="22"/>
      <c r="F1657" s="22"/>
      <c r="G1657" s="31"/>
      <c r="J1657" s="23"/>
      <c r="K1657" s="27"/>
    </row>
    <row r="1658" spans="1:11" x14ac:dyDescent="0.25">
      <c r="A1658" s="77"/>
      <c r="B1658" s="69"/>
      <c r="C1658" s="71"/>
      <c r="E1658" s="22"/>
      <c r="F1658" s="22"/>
      <c r="G1658" s="31"/>
      <c r="J1658" s="23"/>
      <c r="K1658" s="27"/>
    </row>
    <row r="1659" spans="1:11" x14ac:dyDescent="0.25">
      <c r="A1659" s="77"/>
      <c r="B1659" s="69"/>
      <c r="C1659" s="71"/>
      <c r="E1659" s="22"/>
      <c r="F1659" s="22"/>
      <c r="G1659" s="31"/>
      <c r="J1659" s="23"/>
      <c r="K1659" s="27"/>
    </row>
    <row r="1660" spans="1:11" x14ac:dyDescent="0.25">
      <c r="A1660" s="77"/>
      <c r="B1660" s="69"/>
      <c r="C1660" s="71"/>
      <c r="E1660" s="22"/>
      <c r="F1660" s="22"/>
      <c r="G1660" s="31"/>
      <c r="J1660" s="23"/>
      <c r="K1660" s="27"/>
    </row>
    <row r="1661" spans="1:11" x14ac:dyDescent="0.25">
      <c r="A1661" s="77"/>
      <c r="B1661" s="69"/>
      <c r="C1661" s="71"/>
      <c r="E1661" s="22"/>
      <c r="F1661" s="22"/>
      <c r="G1661" s="31"/>
      <c r="J1661" s="23"/>
      <c r="K1661" s="27"/>
    </row>
    <row r="1662" spans="1:11" x14ac:dyDescent="0.25">
      <c r="A1662" s="77"/>
      <c r="B1662" s="69"/>
      <c r="C1662" s="71"/>
      <c r="E1662" s="22"/>
      <c r="F1662" s="22"/>
      <c r="G1662" s="31"/>
      <c r="J1662" s="23"/>
      <c r="K1662" s="27"/>
    </row>
    <row r="1663" spans="1:11" x14ac:dyDescent="0.25">
      <c r="A1663" s="77"/>
      <c r="B1663" s="69"/>
      <c r="C1663" s="71"/>
      <c r="E1663" s="22"/>
      <c r="F1663" s="22"/>
      <c r="G1663" s="31"/>
      <c r="J1663" s="23"/>
      <c r="K1663" s="27"/>
    </row>
    <row r="1664" spans="1:11" x14ac:dyDescent="0.25">
      <c r="A1664" s="77"/>
      <c r="B1664" s="69"/>
      <c r="C1664" s="71"/>
      <c r="E1664" s="22"/>
      <c r="F1664" s="22"/>
      <c r="G1664" s="31"/>
      <c r="J1664" s="23"/>
      <c r="K1664" s="27"/>
    </row>
    <row r="1665" spans="1:11" x14ac:dyDescent="0.25">
      <c r="A1665" s="77"/>
      <c r="B1665" s="69"/>
      <c r="C1665" s="71"/>
      <c r="E1665" s="22"/>
      <c r="F1665" s="22"/>
      <c r="G1665" s="31"/>
      <c r="J1665" s="23"/>
      <c r="K1665" s="27"/>
    </row>
    <row r="1666" spans="1:11" x14ac:dyDescent="0.25">
      <c r="A1666" s="77"/>
      <c r="B1666" s="69"/>
      <c r="C1666" s="71"/>
      <c r="E1666" s="22"/>
      <c r="F1666" s="22"/>
      <c r="G1666" s="31"/>
      <c r="J1666" s="23"/>
      <c r="K1666" s="27"/>
    </row>
    <row r="1667" spans="1:11" x14ac:dyDescent="0.25">
      <c r="A1667" s="77"/>
      <c r="B1667" s="69"/>
      <c r="C1667" s="71"/>
      <c r="E1667" s="22"/>
      <c r="F1667" s="22"/>
      <c r="G1667" s="31"/>
      <c r="J1667" s="23"/>
      <c r="K1667" s="27"/>
    </row>
    <row r="1668" spans="1:11" x14ac:dyDescent="0.25">
      <c r="A1668" s="77"/>
      <c r="B1668" s="69"/>
      <c r="C1668" s="71"/>
      <c r="E1668" s="22"/>
      <c r="F1668" s="22"/>
      <c r="G1668" s="31"/>
      <c r="J1668" s="23"/>
      <c r="K1668" s="27"/>
    </row>
    <row r="1669" spans="1:11" x14ac:dyDescent="0.25">
      <c r="A1669" s="77"/>
      <c r="B1669" s="69"/>
      <c r="C1669" s="71"/>
      <c r="E1669" s="22"/>
      <c r="F1669" s="22"/>
      <c r="G1669" s="31"/>
      <c r="J1669" s="23"/>
      <c r="K1669" s="27"/>
    </row>
    <row r="1670" spans="1:11" x14ac:dyDescent="0.25">
      <c r="A1670" s="77"/>
      <c r="B1670" s="69"/>
      <c r="C1670" s="71"/>
      <c r="E1670" s="22"/>
      <c r="F1670" s="22"/>
      <c r="G1670" s="31"/>
      <c r="J1670" s="23"/>
      <c r="K1670" s="27"/>
    </row>
    <row r="1671" spans="1:11" x14ac:dyDescent="0.25">
      <c r="A1671" s="77"/>
      <c r="B1671" s="69"/>
      <c r="C1671" s="71"/>
      <c r="E1671" s="22"/>
      <c r="F1671" s="22"/>
      <c r="G1671" s="31"/>
      <c r="J1671" s="23"/>
      <c r="K1671" s="27"/>
    </row>
    <row r="1672" spans="1:11" x14ac:dyDescent="0.25">
      <c r="A1672" s="77"/>
      <c r="B1672" s="69"/>
      <c r="C1672" s="71"/>
      <c r="E1672" s="22"/>
      <c r="F1672" s="22"/>
      <c r="G1672" s="31"/>
      <c r="J1672" s="23"/>
      <c r="K1672" s="27"/>
    </row>
    <row r="1673" spans="1:11" x14ac:dyDescent="0.25">
      <c r="A1673" s="77"/>
      <c r="B1673" s="69"/>
      <c r="C1673" s="71"/>
      <c r="E1673" s="22"/>
      <c r="F1673" s="22"/>
      <c r="G1673" s="31"/>
      <c r="J1673" s="23"/>
      <c r="K1673" s="27"/>
    </row>
    <row r="1674" spans="1:11" x14ac:dyDescent="0.25">
      <c r="A1674" s="77"/>
      <c r="B1674" s="69"/>
      <c r="C1674" s="71"/>
      <c r="E1674" s="22"/>
      <c r="F1674" s="22"/>
      <c r="G1674" s="31"/>
      <c r="J1674" s="23"/>
      <c r="K1674" s="27"/>
    </row>
    <row r="1675" spans="1:11" x14ac:dyDescent="0.25">
      <c r="A1675" s="77"/>
      <c r="B1675" s="69"/>
      <c r="C1675" s="71"/>
      <c r="E1675" s="22"/>
      <c r="F1675" s="22"/>
      <c r="G1675" s="31"/>
      <c r="J1675" s="23"/>
      <c r="K1675" s="27"/>
    </row>
    <row r="1676" spans="1:11" x14ac:dyDescent="0.25">
      <c r="A1676" s="77"/>
      <c r="B1676" s="69"/>
      <c r="C1676" s="71"/>
      <c r="E1676" s="22"/>
      <c r="F1676" s="22"/>
      <c r="G1676" s="31"/>
      <c r="J1676" s="23"/>
      <c r="K1676" s="27"/>
    </row>
    <row r="1677" spans="1:11" x14ac:dyDescent="0.25">
      <c r="A1677" s="77"/>
      <c r="B1677" s="69"/>
      <c r="C1677" s="71"/>
      <c r="E1677" s="22"/>
      <c r="F1677" s="22"/>
      <c r="G1677" s="31"/>
      <c r="J1677" s="23"/>
      <c r="K1677" s="27"/>
    </row>
    <row r="1678" spans="1:11" x14ac:dyDescent="0.25">
      <c r="A1678" s="77"/>
      <c r="B1678" s="69"/>
      <c r="C1678" s="71"/>
      <c r="E1678" s="22"/>
      <c r="F1678" s="22"/>
      <c r="G1678" s="31"/>
      <c r="J1678" s="23"/>
      <c r="K1678" s="27"/>
    </row>
    <row r="1679" spans="1:11" x14ac:dyDescent="0.25">
      <c r="A1679" s="77"/>
      <c r="B1679" s="69"/>
      <c r="C1679" s="71"/>
      <c r="E1679" s="22"/>
      <c r="F1679" s="22"/>
      <c r="G1679" s="31"/>
      <c r="J1679" s="23"/>
      <c r="K1679" s="27"/>
    </row>
    <row r="1680" spans="1:11" x14ac:dyDescent="0.25">
      <c r="A1680" s="77"/>
      <c r="B1680" s="69"/>
      <c r="C1680" s="71"/>
      <c r="E1680" s="22"/>
      <c r="F1680" s="22"/>
      <c r="G1680" s="31"/>
      <c r="J1680" s="23"/>
      <c r="K1680" s="27"/>
    </row>
    <row r="1681" spans="1:11" x14ac:dyDescent="0.25">
      <c r="A1681" s="77"/>
      <c r="B1681" s="69"/>
      <c r="C1681" s="71"/>
      <c r="E1681" s="22"/>
      <c r="F1681" s="22"/>
      <c r="G1681" s="31"/>
      <c r="J1681" s="23"/>
      <c r="K1681" s="27"/>
    </row>
    <row r="1682" spans="1:11" x14ac:dyDescent="0.25">
      <c r="A1682" s="77"/>
      <c r="B1682" s="69"/>
      <c r="C1682" s="71"/>
      <c r="E1682" s="22"/>
      <c r="F1682" s="22"/>
      <c r="G1682" s="31"/>
      <c r="J1682" s="23"/>
      <c r="K1682" s="27"/>
    </row>
    <row r="1683" spans="1:11" x14ac:dyDescent="0.25">
      <c r="A1683" s="77"/>
      <c r="B1683" s="69"/>
      <c r="C1683" s="71"/>
      <c r="E1683" s="22"/>
      <c r="F1683" s="22"/>
      <c r="G1683" s="31"/>
      <c r="J1683" s="23"/>
      <c r="K1683" s="27"/>
    </row>
    <row r="1684" spans="1:11" x14ac:dyDescent="0.25">
      <c r="A1684" s="77"/>
      <c r="B1684" s="69"/>
      <c r="C1684" s="71"/>
      <c r="E1684" s="22"/>
      <c r="F1684" s="22"/>
      <c r="G1684" s="31"/>
      <c r="J1684" s="23"/>
      <c r="K1684" s="27"/>
    </row>
    <row r="1685" spans="1:11" x14ac:dyDescent="0.25">
      <c r="A1685" s="77"/>
      <c r="B1685" s="69"/>
      <c r="C1685" s="71"/>
      <c r="E1685" s="22"/>
      <c r="F1685" s="22"/>
      <c r="G1685" s="31"/>
      <c r="J1685" s="23"/>
      <c r="K1685" s="27"/>
    </row>
    <row r="1686" spans="1:11" x14ac:dyDescent="0.25">
      <c r="A1686" s="77"/>
      <c r="B1686" s="69"/>
      <c r="C1686" s="71"/>
      <c r="E1686" s="22"/>
      <c r="F1686" s="22"/>
      <c r="G1686" s="31"/>
      <c r="J1686" s="23"/>
      <c r="K1686" s="27"/>
    </row>
    <row r="1687" spans="1:11" x14ac:dyDescent="0.25">
      <c r="A1687" s="77"/>
      <c r="B1687" s="69"/>
      <c r="C1687" s="71"/>
      <c r="E1687" s="22"/>
      <c r="F1687" s="22"/>
      <c r="G1687" s="31"/>
      <c r="J1687" s="23"/>
      <c r="K1687" s="27"/>
    </row>
    <row r="1688" spans="1:11" x14ac:dyDescent="0.25">
      <c r="A1688" s="77"/>
      <c r="B1688" s="69"/>
      <c r="C1688" s="71"/>
      <c r="E1688" s="22"/>
      <c r="F1688" s="22"/>
      <c r="G1688" s="31"/>
      <c r="J1688" s="23"/>
      <c r="K1688" s="27"/>
    </row>
    <row r="1689" spans="1:11" x14ac:dyDescent="0.25">
      <c r="A1689" s="77"/>
      <c r="B1689" s="69"/>
      <c r="C1689" s="71"/>
      <c r="E1689" s="22"/>
      <c r="F1689" s="22"/>
      <c r="G1689" s="31"/>
      <c r="J1689" s="23"/>
      <c r="K1689" s="27"/>
    </row>
    <row r="1690" spans="1:11" x14ac:dyDescent="0.25">
      <c r="A1690" s="77"/>
      <c r="B1690" s="69"/>
      <c r="C1690" s="71"/>
      <c r="E1690" s="22"/>
      <c r="F1690" s="22"/>
      <c r="G1690" s="31"/>
      <c r="J1690" s="23"/>
      <c r="K1690" s="27"/>
    </row>
    <row r="1691" spans="1:11" x14ac:dyDescent="0.25">
      <c r="A1691" s="77"/>
      <c r="B1691" s="69"/>
      <c r="C1691" s="71"/>
      <c r="E1691" s="22"/>
      <c r="F1691" s="22"/>
      <c r="G1691" s="31"/>
      <c r="J1691" s="23"/>
      <c r="K1691" s="27"/>
    </row>
    <row r="1692" spans="1:11" x14ac:dyDescent="0.25">
      <c r="A1692" s="77"/>
      <c r="B1692" s="69"/>
      <c r="C1692" s="71"/>
      <c r="E1692" s="22"/>
      <c r="F1692" s="22"/>
      <c r="G1692" s="31"/>
      <c r="J1692" s="23"/>
      <c r="K1692" s="27"/>
    </row>
    <row r="1693" spans="1:11" x14ac:dyDescent="0.25">
      <c r="A1693" s="77"/>
      <c r="B1693" s="69"/>
      <c r="C1693" s="71"/>
      <c r="E1693" s="22"/>
      <c r="F1693" s="22"/>
      <c r="G1693" s="31"/>
      <c r="J1693" s="23"/>
      <c r="K1693" s="27"/>
    </row>
    <row r="1694" spans="1:11" x14ac:dyDescent="0.25">
      <c r="A1694" s="77"/>
      <c r="B1694" s="69"/>
      <c r="C1694" s="71"/>
      <c r="E1694" s="22"/>
      <c r="F1694" s="22"/>
      <c r="G1694" s="31"/>
      <c r="J1694" s="23"/>
      <c r="K1694" s="27"/>
    </row>
    <row r="1695" spans="1:11" x14ac:dyDescent="0.25">
      <c r="A1695" s="77"/>
      <c r="B1695" s="69"/>
      <c r="C1695" s="71"/>
      <c r="E1695" s="22"/>
      <c r="F1695" s="22"/>
      <c r="G1695" s="31"/>
      <c r="J1695" s="23"/>
      <c r="K1695" s="27"/>
    </row>
    <row r="1696" spans="1:11" x14ac:dyDescent="0.25">
      <c r="A1696" s="77"/>
      <c r="B1696" s="69"/>
      <c r="C1696" s="71"/>
      <c r="E1696" s="22"/>
      <c r="F1696" s="22"/>
      <c r="G1696" s="31"/>
      <c r="J1696" s="23"/>
      <c r="K1696" s="27"/>
    </row>
    <row r="1697" spans="1:11" x14ac:dyDescent="0.25">
      <c r="A1697" s="77"/>
      <c r="B1697" s="69"/>
      <c r="C1697" s="71"/>
      <c r="E1697" s="22"/>
      <c r="F1697" s="22"/>
      <c r="G1697" s="31"/>
      <c r="J1697" s="23"/>
      <c r="K1697" s="27"/>
    </row>
    <row r="1698" spans="1:11" x14ac:dyDescent="0.25">
      <c r="A1698" s="77"/>
      <c r="B1698" s="69"/>
      <c r="C1698" s="71"/>
      <c r="E1698" s="22"/>
      <c r="F1698" s="22"/>
      <c r="G1698" s="31"/>
      <c r="J1698" s="23"/>
      <c r="K1698" s="27"/>
    </row>
    <row r="1699" spans="1:11" x14ac:dyDescent="0.25">
      <c r="A1699" s="77"/>
      <c r="B1699" s="69"/>
      <c r="C1699" s="71"/>
      <c r="E1699" s="22"/>
      <c r="F1699" s="22"/>
      <c r="G1699" s="31"/>
      <c r="J1699" s="23"/>
      <c r="K1699" s="27"/>
    </row>
    <row r="1700" spans="1:11" x14ac:dyDescent="0.25">
      <c r="A1700" s="77"/>
      <c r="B1700" s="69"/>
      <c r="C1700" s="71"/>
      <c r="E1700" s="22"/>
      <c r="F1700" s="22"/>
      <c r="G1700" s="31"/>
      <c r="J1700" s="23"/>
      <c r="K1700" s="27"/>
    </row>
    <row r="1701" spans="1:11" x14ac:dyDescent="0.25">
      <c r="A1701" s="77"/>
      <c r="B1701" s="69"/>
      <c r="C1701" s="71"/>
      <c r="E1701" s="22"/>
      <c r="F1701" s="22"/>
      <c r="G1701" s="31"/>
      <c r="J1701" s="23"/>
      <c r="K1701" s="27"/>
    </row>
    <row r="1702" spans="1:11" x14ac:dyDescent="0.25">
      <c r="A1702" s="77"/>
      <c r="B1702" s="69"/>
      <c r="C1702" s="71"/>
      <c r="E1702" s="22"/>
      <c r="F1702" s="22"/>
      <c r="G1702" s="31"/>
      <c r="J1702" s="23"/>
      <c r="K1702" s="27"/>
    </row>
    <row r="1703" spans="1:11" x14ac:dyDescent="0.25">
      <c r="A1703" s="77"/>
      <c r="B1703" s="69"/>
      <c r="C1703" s="71"/>
      <c r="E1703" s="22"/>
      <c r="F1703" s="22"/>
      <c r="G1703" s="31"/>
      <c r="J1703" s="23"/>
      <c r="K1703" s="27"/>
    </row>
    <row r="1704" spans="1:11" x14ac:dyDescent="0.25">
      <c r="A1704" s="77"/>
      <c r="B1704" s="69"/>
      <c r="C1704" s="71"/>
      <c r="E1704" s="22"/>
      <c r="F1704" s="22"/>
      <c r="G1704" s="31"/>
      <c r="J1704" s="23"/>
      <c r="K1704" s="27"/>
    </row>
    <row r="1705" spans="1:11" x14ac:dyDescent="0.25">
      <c r="A1705" s="77"/>
      <c r="B1705" s="69"/>
      <c r="C1705" s="71"/>
      <c r="E1705" s="22"/>
      <c r="F1705" s="22"/>
      <c r="G1705" s="31"/>
      <c r="J1705" s="23"/>
      <c r="K1705" s="27"/>
    </row>
    <row r="1706" spans="1:11" x14ac:dyDescent="0.25">
      <c r="A1706" s="77"/>
      <c r="B1706" s="69"/>
      <c r="C1706" s="71"/>
      <c r="E1706" s="22"/>
      <c r="F1706" s="22"/>
      <c r="G1706" s="31"/>
      <c r="J1706" s="23"/>
      <c r="K1706" s="27"/>
    </row>
    <row r="1707" spans="1:11" x14ac:dyDescent="0.25">
      <c r="A1707" s="77"/>
      <c r="B1707" s="69"/>
      <c r="C1707" s="71"/>
      <c r="E1707" s="22"/>
      <c r="F1707" s="22"/>
      <c r="G1707" s="31"/>
      <c r="J1707" s="23"/>
      <c r="K1707" s="27"/>
    </row>
    <row r="1708" spans="1:11" x14ac:dyDescent="0.25">
      <c r="A1708" s="77"/>
      <c r="B1708" s="69"/>
      <c r="C1708" s="71"/>
      <c r="E1708" s="22"/>
      <c r="F1708" s="22"/>
      <c r="G1708" s="31"/>
      <c r="J1708" s="23"/>
      <c r="K1708" s="27"/>
    </row>
    <row r="1709" spans="1:11" x14ac:dyDescent="0.25">
      <c r="A1709" s="77"/>
      <c r="B1709" s="69"/>
      <c r="C1709" s="71"/>
      <c r="E1709" s="22"/>
      <c r="F1709" s="22"/>
      <c r="G1709" s="31"/>
      <c r="J1709" s="23"/>
      <c r="K1709" s="27"/>
    </row>
    <row r="1710" spans="1:11" x14ac:dyDescent="0.25">
      <c r="A1710" s="77"/>
      <c r="B1710" s="69"/>
      <c r="C1710" s="71"/>
      <c r="E1710" s="22"/>
      <c r="F1710" s="22"/>
      <c r="G1710" s="31"/>
      <c r="J1710" s="23"/>
      <c r="K1710" s="27"/>
    </row>
    <row r="1711" spans="1:11" x14ac:dyDescent="0.25">
      <c r="A1711" s="77"/>
      <c r="B1711" s="69"/>
      <c r="C1711" s="71"/>
      <c r="E1711" s="22"/>
      <c r="F1711" s="22"/>
      <c r="G1711" s="31"/>
      <c r="J1711" s="23"/>
      <c r="K1711" s="27"/>
    </row>
    <row r="1712" spans="1:11" x14ac:dyDescent="0.25">
      <c r="A1712" s="77"/>
      <c r="B1712" s="69"/>
      <c r="C1712" s="71"/>
      <c r="E1712" s="22"/>
      <c r="F1712" s="22"/>
      <c r="G1712" s="31"/>
      <c r="J1712" s="23"/>
      <c r="K1712" s="27"/>
    </row>
    <row r="1713" spans="1:11" x14ac:dyDescent="0.25">
      <c r="A1713" s="77"/>
      <c r="B1713" s="69"/>
      <c r="C1713" s="71"/>
      <c r="E1713" s="22"/>
      <c r="F1713" s="22"/>
      <c r="G1713" s="31"/>
      <c r="J1713" s="23"/>
      <c r="K1713" s="27"/>
    </row>
    <row r="1714" spans="1:11" x14ac:dyDescent="0.25">
      <c r="A1714" s="77"/>
      <c r="B1714" s="69"/>
      <c r="C1714" s="71"/>
      <c r="E1714" s="22"/>
      <c r="F1714" s="22"/>
      <c r="G1714" s="31"/>
      <c r="J1714" s="23"/>
      <c r="K1714" s="27"/>
    </row>
    <row r="1715" spans="1:11" x14ac:dyDescent="0.25">
      <c r="A1715" s="77"/>
      <c r="B1715" s="69"/>
      <c r="C1715" s="71"/>
      <c r="E1715" s="22"/>
      <c r="F1715" s="22"/>
      <c r="G1715" s="31"/>
      <c r="J1715" s="23"/>
      <c r="K1715" s="27"/>
    </row>
    <row r="1716" spans="1:11" x14ac:dyDescent="0.25">
      <c r="A1716" s="77"/>
      <c r="B1716" s="69"/>
      <c r="C1716" s="71"/>
      <c r="E1716" s="22"/>
      <c r="F1716" s="22"/>
      <c r="G1716" s="31"/>
      <c r="J1716" s="23"/>
      <c r="K1716" s="27"/>
    </row>
    <row r="1717" spans="1:11" x14ac:dyDescent="0.25">
      <c r="A1717" s="77"/>
      <c r="B1717" s="69"/>
      <c r="C1717" s="71"/>
      <c r="E1717" s="22"/>
      <c r="F1717" s="22"/>
      <c r="G1717" s="31"/>
      <c r="J1717" s="23"/>
      <c r="K1717" s="27"/>
    </row>
    <row r="1718" spans="1:11" x14ac:dyDescent="0.25">
      <c r="A1718" s="77"/>
      <c r="B1718" s="69"/>
      <c r="C1718" s="71"/>
      <c r="E1718" s="22"/>
      <c r="F1718" s="22"/>
      <c r="G1718" s="31"/>
      <c r="J1718" s="23"/>
      <c r="K1718" s="27"/>
    </row>
    <row r="1719" spans="1:11" x14ac:dyDescent="0.25">
      <c r="A1719" s="77"/>
      <c r="B1719" s="69"/>
      <c r="C1719" s="71"/>
      <c r="E1719" s="22"/>
      <c r="F1719" s="22"/>
      <c r="G1719" s="31"/>
      <c r="J1719" s="23"/>
      <c r="K1719" s="27"/>
    </row>
    <row r="1720" spans="1:11" x14ac:dyDescent="0.25">
      <c r="A1720" s="77"/>
      <c r="B1720" s="69"/>
      <c r="C1720" s="71"/>
      <c r="E1720" s="22"/>
      <c r="F1720" s="22"/>
      <c r="G1720" s="31"/>
      <c r="J1720" s="23"/>
      <c r="K1720" s="27"/>
    </row>
    <row r="1721" spans="1:11" x14ac:dyDescent="0.25">
      <c r="A1721" s="77"/>
      <c r="B1721" s="69"/>
      <c r="C1721" s="71"/>
      <c r="E1721" s="22"/>
      <c r="F1721" s="22"/>
      <c r="G1721" s="31"/>
      <c r="J1721" s="23"/>
      <c r="K1721" s="27"/>
    </row>
    <row r="1722" spans="1:11" x14ac:dyDescent="0.25">
      <c r="A1722" s="77"/>
      <c r="B1722" s="69"/>
      <c r="C1722" s="71"/>
      <c r="E1722" s="22"/>
      <c r="F1722" s="22"/>
      <c r="G1722" s="31"/>
      <c r="J1722" s="23"/>
      <c r="K1722" s="27"/>
    </row>
    <row r="1723" spans="1:11" x14ac:dyDescent="0.25">
      <c r="A1723" s="77"/>
      <c r="B1723" s="69"/>
      <c r="C1723" s="71"/>
      <c r="E1723" s="22"/>
      <c r="F1723" s="22"/>
      <c r="G1723" s="31"/>
      <c r="J1723" s="23"/>
      <c r="K1723" s="27"/>
    </row>
    <row r="1724" spans="1:11" x14ac:dyDescent="0.25">
      <c r="A1724" s="77"/>
      <c r="B1724" s="69"/>
      <c r="C1724" s="71"/>
      <c r="E1724" s="22"/>
      <c r="F1724" s="22"/>
      <c r="G1724" s="31"/>
      <c r="J1724" s="23"/>
      <c r="K1724" s="27"/>
    </row>
    <row r="1725" spans="1:11" x14ac:dyDescent="0.25">
      <c r="A1725" s="77"/>
      <c r="B1725" s="69"/>
      <c r="C1725" s="71"/>
      <c r="E1725" s="22"/>
      <c r="F1725" s="22"/>
      <c r="G1725" s="31"/>
      <c r="J1725" s="23"/>
      <c r="K1725" s="27"/>
    </row>
    <row r="1726" spans="1:11" x14ac:dyDescent="0.25">
      <c r="A1726" s="77"/>
      <c r="B1726" s="69"/>
      <c r="C1726" s="71"/>
      <c r="E1726" s="22"/>
      <c r="F1726" s="22"/>
      <c r="G1726" s="31"/>
      <c r="J1726" s="23"/>
      <c r="K1726" s="27"/>
    </row>
    <row r="1727" spans="1:11" x14ac:dyDescent="0.25">
      <c r="A1727" s="77"/>
      <c r="B1727" s="69"/>
      <c r="C1727" s="71"/>
      <c r="E1727" s="22"/>
      <c r="F1727" s="22"/>
      <c r="G1727" s="31"/>
      <c r="J1727" s="23"/>
      <c r="K1727" s="27"/>
    </row>
    <row r="1728" spans="1:11" x14ac:dyDescent="0.25">
      <c r="A1728" s="77"/>
      <c r="B1728" s="69"/>
      <c r="C1728" s="71"/>
      <c r="E1728" s="22"/>
      <c r="F1728" s="22"/>
      <c r="G1728" s="31"/>
      <c r="J1728" s="23"/>
      <c r="K1728" s="27"/>
    </row>
    <row r="1729" spans="1:11" x14ac:dyDescent="0.25">
      <c r="A1729" s="77"/>
      <c r="B1729" s="69"/>
      <c r="C1729" s="71"/>
      <c r="E1729" s="22"/>
      <c r="F1729" s="22"/>
      <c r="G1729" s="31"/>
      <c r="J1729" s="23"/>
      <c r="K1729" s="27"/>
    </row>
    <row r="1730" spans="1:11" x14ac:dyDescent="0.25">
      <c r="A1730" s="77"/>
      <c r="B1730" s="69"/>
      <c r="C1730" s="71"/>
      <c r="E1730" s="22"/>
      <c r="F1730" s="22"/>
      <c r="G1730" s="31"/>
      <c r="J1730" s="23"/>
      <c r="K1730" s="27"/>
    </row>
    <row r="1731" spans="1:11" x14ac:dyDescent="0.25">
      <c r="A1731" s="77"/>
      <c r="B1731" s="69"/>
      <c r="C1731" s="71"/>
      <c r="E1731" s="22"/>
      <c r="F1731" s="22"/>
      <c r="G1731" s="31"/>
      <c r="J1731" s="23"/>
      <c r="K1731" s="27"/>
    </row>
    <row r="1732" spans="1:11" x14ac:dyDescent="0.25">
      <c r="A1732" s="77"/>
      <c r="B1732" s="69"/>
      <c r="C1732" s="71"/>
      <c r="E1732" s="22"/>
      <c r="F1732" s="22"/>
      <c r="G1732" s="31"/>
      <c r="J1732" s="23"/>
      <c r="K1732" s="27"/>
    </row>
    <row r="1733" spans="1:11" x14ac:dyDescent="0.25">
      <c r="A1733" s="77"/>
      <c r="B1733" s="69"/>
      <c r="C1733" s="71"/>
      <c r="E1733" s="22"/>
      <c r="F1733" s="22"/>
      <c r="G1733" s="31"/>
      <c r="J1733" s="23"/>
      <c r="K1733" s="27"/>
    </row>
    <row r="1734" spans="1:11" x14ac:dyDescent="0.25">
      <c r="A1734" s="77"/>
      <c r="B1734" s="69"/>
      <c r="C1734" s="71"/>
      <c r="E1734" s="22"/>
      <c r="F1734" s="22"/>
      <c r="G1734" s="31"/>
      <c r="J1734" s="23"/>
      <c r="K1734" s="27"/>
    </row>
    <row r="1735" spans="1:11" x14ac:dyDescent="0.25">
      <c r="A1735" s="77"/>
      <c r="B1735" s="69"/>
      <c r="C1735" s="71"/>
      <c r="E1735" s="22"/>
      <c r="F1735" s="22"/>
      <c r="G1735" s="31"/>
      <c r="J1735" s="23"/>
      <c r="K1735" s="27"/>
    </row>
    <row r="1736" spans="1:11" x14ac:dyDescent="0.25">
      <c r="A1736" s="77"/>
      <c r="B1736" s="69"/>
      <c r="C1736" s="71"/>
      <c r="E1736" s="22"/>
      <c r="F1736" s="22"/>
      <c r="G1736" s="31"/>
      <c r="J1736" s="23"/>
      <c r="K1736" s="27"/>
    </row>
    <row r="1737" spans="1:11" x14ac:dyDescent="0.25">
      <c r="A1737" s="77"/>
      <c r="B1737" s="69"/>
      <c r="C1737" s="71"/>
      <c r="E1737" s="22"/>
      <c r="F1737" s="22"/>
      <c r="G1737" s="31"/>
      <c r="J1737" s="23"/>
      <c r="K1737" s="27"/>
    </row>
    <row r="1738" spans="1:11" x14ac:dyDescent="0.25">
      <c r="A1738" s="77"/>
      <c r="B1738" s="69"/>
      <c r="C1738" s="71"/>
      <c r="E1738" s="22"/>
      <c r="F1738" s="22"/>
      <c r="G1738" s="31"/>
      <c r="J1738" s="23"/>
      <c r="K1738" s="27"/>
    </row>
    <row r="1739" spans="1:11" x14ac:dyDescent="0.25">
      <c r="A1739" s="77"/>
      <c r="B1739" s="69"/>
      <c r="C1739" s="71"/>
      <c r="E1739" s="22"/>
      <c r="F1739" s="22"/>
      <c r="G1739" s="31"/>
      <c r="J1739" s="23"/>
      <c r="K1739" s="27"/>
    </row>
    <row r="1740" spans="1:11" x14ac:dyDescent="0.25">
      <c r="A1740" s="77"/>
      <c r="B1740" s="69"/>
      <c r="C1740" s="71"/>
      <c r="E1740" s="22"/>
      <c r="F1740" s="22"/>
      <c r="G1740" s="31"/>
      <c r="J1740" s="23"/>
      <c r="K1740" s="27"/>
    </row>
    <row r="1741" spans="1:11" x14ac:dyDescent="0.25">
      <c r="A1741" s="77"/>
      <c r="B1741" s="69"/>
      <c r="C1741" s="71"/>
      <c r="E1741" s="22"/>
      <c r="F1741" s="22"/>
      <c r="G1741" s="31"/>
      <c r="J1741" s="23"/>
      <c r="K1741" s="27"/>
    </row>
    <row r="1742" spans="1:11" x14ac:dyDescent="0.25">
      <c r="A1742" s="77"/>
      <c r="B1742" s="69"/>
      <c r="C1742" s="71"/>
      <c r="E1742" s="22"/>
      <c r="F1742" s="22"/>
      <c r="G1742" s="31"/>
      <c r="J1742" s="23"/>
      <c r="K1742" s="27"/>
    </row>
    <row r="1743" spans="1:11" x14ac:dyDescent="0.25">
      <c r="A1743" s="77"/>
      <c r="B1743" s="69"/>
      <c r="C1743" s="71"/>
      <c r="E1743" s="22"/>
      <c r="F1743" s="22"/>
      <c r="G1743" s="31"/>
      <c r="J1743" s="23"/>
      <c r="K1743" s="27"/>
    </row>
    <row r="1744" spans="1:11" x14ac:dyDescent="0.25">
      <c r="A1744" s="77"/>
      <c r="B1744" s="69"/>
      <c r="C1744" s="71"/>
      <c r="E1744" s="22"/>
      <c r="F1744" s="22"/>
      <c r="G1744" s="31"/>
      <c r="J1744" s="23"/>
      <c r="K1744" s="27"/>
    </row>
    <row r="1745" spans="1:11" x14ac:dyDescent="0.25">
      <c r="A1745" s="77"/>
      <c r="B1745" s="69"/>
      <c r="C1745" s="71"/>
      <c r="E1745" s="22"/>
      <c r="F1745" s="22"/>
      <c r="G1745" s="31"/>
      <c r="J1745" s="23"/>
      <c r="K1745" s="27"/>
    </row>
    <row r="1746" spans="1:11" x14ac:dyDescent="0.25">
      <c r="A1746" s="77"/>
      <c r="B1746" s="69"/>
      <c r="C1746" s="71"/>
      <c r="E1746" s="22"/>
      <c r="F1746" s="22"/>
      <c r="G1746" s="31"/>
      <c r="J1746" s="23"/>
      <c r="K1746" s="27"/>
    </row>
    <row r="1747" spans="1:11" x14ac:dyDescent="0.25">
      <c r="A1747" s="77"/>
      <c r="B1747" s="69"/>
      <c r="C1747" s="71"/>
      <c r="E1747" s="22"/>
      <c r="F1747" s="22"/>
      <c r="G1747" s="31"/>
      <c r="J1747" s="23"/>
      <c r="K1747" s="27"/>
    </row>
    <row r="1748" spans="1:11" x14ac:dyDescent="0.25">
      <c r="A1748" s="77"/>
      <c r="B1748" s="69"/>
      <c r="C1748" s="71"/>
      <c r="E1748" s="22"/>
      <c r="F1748" s="22"/>
      <c r="G1748" s="31"/>
      <c r="J1748" s="23"/>
      <c r="K1748" s="27"/>
    </row>
    <row r="1749" spans="1:11" x14ac:dyDescent="0.25">
      <c r="A1749" s="77"/>
      <c r="B1749" s="69"/>
      <c r="C1749" s="71"/>
      <c r="E1749" s="22"/>
      <c r="F1749" s="22"/>
      <c r="G1749" s="31"/>
      <c r="J1749" s="23"/>
      <c r="K1749" s="27"/>
    </row>
    <row r="1750" spans="1:11" x14ac:dyDescent="0.25">
      <c r="A1750" s="77"/>
      <c r="B1750" s="69"/>
      <c r="C1750" s="71"/>
      <c r="E1750" s="22"/>
      <c r="F1750" s="22"/>
      <c r="G1750" s="31"/>
      <c r="J1750" s="23"/>
      <c r="K1750" s="27"/>
    </row>
    <row r="1751" spans="1:11" x14ac:dyDescent="0.25">
      <c r="A1751" s="77"/>
      <c r="B1751" s="69"/>
      <c r="C1751" s="71"/>
      <c r="E1751" s="22"/>
      <c r="F1751" s="22"/>
      <c r="G1751" s="31"/>
      <c r="J1751" s="23"/>
      <c r="K1751" s="27"/>
    </row>
    <row r="1752" spans="1:11" x14ac:dyDescent="0.25">
      <c r="A1752" s="77"/>
      <c r="B1752" s="69"/>
      <c r="C1752" s="71"/>
      <c r="E1752" s="22"/>
      <c r="F1752" s="22"/>
      <c r="G1752" s="31"/>
      <c r="J1752" s="23"/>
      <c r="K1752" s="27"/>
    </row>
    <row r="1753" spans="1:11" x14ac:dyDescent="0.25">
      <c r="A1753" s="77"/>
      <c r="B1753" s="69"/>
      <c r="C1753" s="71"/>
      <c r="E1753" s="22"/>
      <c r="F1753" s="22"/>
      <c r="G1753" s="31"/>
      <c r="J1753" s="23"/>
      <c r="K1753" s="27"/>
    </row>
    <row r="1754" spans="1:11" x14ac:dyDescent="0.25">
      <c r="A1754" s="77"/>
      <c r="B1754" s="69"/>
      <c r="C1754" s="71"/>
      <c r="E1754" s="22"/>
      <c r="F1754" s="22"/>
      <c r="G1754" s="31"/>
      <c r="J1754" s="23"/>
      <c r="K1754" s="27"/>
    </row>
    <row r="1755" spans="1:11" x14ac:dyDescent="0.25">
      <c r="A1755" s="77"/>
      <c r="B1755" s="69"/>
      <c r="C1755" s="71"/>
      <c r="E1755" s="22"/>
      <c r="F1755" s="22"/>
      <c r="G1755" s="31"/>
      <c r="J1755" s="23"/>
      <c r="K1755" s="27"/>
    </row>
    <row r="1756" spans="1:11" x14ac:dyDescent="0.25">
      <c r="A1756" s="77"/>
      <c r="B1756" s="69"/>
      <c r="C1756" s="71"/>
      <c r="E1756" s="22"/>
      <c r="F1756" s="22"/>
      <c r="G1756" s="31"/>
      <c r="J1756" s="23"/>
      <c r="K1756" s="27"/>
    </row>
    <row r="1757" spans="1:11" x14ac:dyDescent="0.25">
      <c r="A1757" s="77"/>
      <c r="B1757" s="69"/>
      <c r="C1757" s="71"/>
      <c r="E1757" s="22"/>
      <c r="F1757" s="22"/>
      <c r="G1757" s="31"/>
      <c r="J1757" s="23"/>
      <c r="K1757" s="27"/>
    </row>
    <row r="1758" spans="1:11" x14ac:dyDescent="0.25">
      <c r="A1758" s="77"/>
      <c r="B1758" s="69"/>
      <c r="C1758" s="71"/>
      <c r="E1758" s="22"/>
      <c r="F1758" s="22"/>
      <c r="G1758" s="31"/>
      <c r="J1758" s="23"/>
      <c r="K1758" s="27"/>
    </row>
    <row r="1759" spans="1:11" x14ac:dyDescent="0.25">
      <c r="A1759" s="77"/>
      <c r="B1759" s="69"/>
      <c r="C1759" s="71"/>
      <c r="E1759" s="22"/>
      <c r="F1759" s="22"/>
      <c r="G1759" s="31"/>
      <c r="J1759" s="23"/>
      <c r="K1759" s="27"/>
    </row>
    <row r="1760" spans="1:11" x14ac:dyDescent="0.25">
      <c r="A1760" s="77"/>
      <c r="B1760" s="69"/>
      <c r="C1760" s="71"/>
      <c r="E1760" s="22"/>
      <c r="F1760" s="22"/>
      <c r="G1760" s="31"/>
      <c r="J1760" s="23"/>
      <c r="K1760" s="27"/>
    </row>
    <row r="1761" spans="1:11" x14ac:dyDescent="0.25">
      <c r="A1761" s="77"/>
      <c r="B1761" s="69"/>
      <c r="C1761" s="71"/>
      <c r="E1761" s="22"/>
      <c r="F1761" s="22"/>
      <c r="G1761" s="31"/>
      <c r="J1761" s="23"/>
      <c r="K1761" s="27"/>
    </row>
    <row r="1762" spans="1:11" x14ac:dyDescent="0.25">
      <c r="A1762" s="77"/>
      <c r="B1762" s="69"/>
      <c r="C1762" s="71"/>
      <c r="E1762" s="22"/>
      <c r="F1762" s="22"/>
      <c r="G1762" s="31"/>
      <c r="J1762" s="23"/>
      <c r="K1762" s="27"/>
    </row>
    <row r="1763" spans="1:11" x14ac:dyDescent="0.25">
      <c r="A1763" s="77"/>
      <c r="B1763" s="69"/>
      <c r="C1763" s="71"/>
      <c r="E1763" s="22"/>
      <c r="F1763" s="22"/>
      <c r="G1763" s="31"/>
      <c r="J1763" s="23"/>
      <c r="K1763" s="27"/>
    </row>
    <row r="1764" spans="1:11" x14ac:dyDescent="0.25">
      <c r="A1764" s="77"/>
      <c r="B1764" s="69"/>
      <c r="C1764" s="71"/>
      <c r="E1764" s="22"/>
      <c r="F1764" s="22"/>
      <c r="G1764" s="31"/>
      <c r="J1764" s="23"/>
      <c r="K1764" s="27"/>
    </row>
    <row r="1765" spans="1:11" x14ac:dyDescent="0.25">
      <c r="A1765" s="77"/>
      <c r="B1765" s="69"/>
      <c r="C1765" s="71"/>
      <c r="E1765" s="22"/>
      <c r="F1765" s="22"/>
      <c r="G1765" s="31"/>
      <c r="J1765" s="23"/>
      <c r="K1765" s="27"/>
    </row>
    <row r="1766" spans="1:11" x14ac:dyDescent="0.25">
      <c r="A1766" s="77"/>
      <c r="B1766" s="69"/>
      <c r="C1766" s="71"/>
      <c r="E1766" s="22"/>
      <c r="F1766" s="22"/>
      <c r="G1766" s="31"/>
      <c r="J1766" s="23"/>
      <c r="K1766" s="27"/>
    </row>
    <row r="1767" spans="1:11" x14ac:dyDescent="0.25">
      <c r="A1767" s="77"/>
      <c r="B1767" s="69"/>
      <c r="C1767" s="71"/>
      <c r="E1767" s="22"/>
      <c r="F1767" s="22"/>
      <c r="G1767" s="31"/>
      <c r="J1767" s="23"/>
      <c r="K1767" s="27"/>
    </row>
    <row r="1768" spans="1:11" x14ac:dyDescent="0.25">
      <c r="A1768" s="77"/>
      <c r="B1768" s="69"/>
      <c r="C1768" s="71"/>
      <c r="E1768" s="22"/>
      <c r="F1768" s="22"/>
      <c r="G1768" s="31"/>
      <c r="J1768" s="23"/>
      <c r="K1768" s="27"/>
    </row>
    <row r="1769" spans="1:11" x14ac:dyDescent="0.25">
      <c r="A1769" s="77"/>
      <c r="B1769" s="69"/>
      <c r="C1769" s="71"/>
      <c r="E1769" s="22"/>
      <c r="F1769" s="22"/>
      <c r="G1769" s="31"/>
      <c r="J1769" s="23"/>
      <c r="K1769" s="27"/>
    </row>
    <row r="1770" spans="1:11" x14ac:dyDescent="0.25">
      <c r="A1770" s="77"/>
      <c r="B1770" s="69"/>
      <c r="C1770" s="71"/>
      <c r="E1770" s="22"/>
      <c r="F1770" s="22"/>
      <c r="G1770" s="31"/>
      <c r="J1770" s="23"/>
      <c r="K1770" s="27"/>
    </row>
    <row r="1771" spans="1:11" x14ac:dyDescent="0.25">
      <c r="A1771" s="77"/>
      <c r="B1771" s="69"/>
      <c r="C1771" s="71"/>
      <c r="E1771" s="22"/>
      <c r="F1771" s="22"/>
      <c r="G1771" s="31"/>
      <c r="J1771" s="23"/>
      <c r="K1771" s="27"/>
    </row>
    <row r="1772" spans="1:11" x14ac:dyDescent="0.25">
      <c r="A1772" s="77"/>
      <c r="B1772" s="69"/>
      <c r="C1772" s="71"/>
      <c r="E1772" s="22"/>
      <c r="F1772" s="22"/>
      <c r="G1772" s="31"/>
      <c r="J1772" s="23"/>
      <c r="K1772" s="27"/>
    </row>
    <row r="1773" spans="1:11" x14ac:dyDescent="0.25">
      <c r="A1773" s="77"/>
      <c r="B1773" s="69"/>
      <c r="C1773" s="71"/>
      <c r="E1773" s="22"/>
      <c r="F1773" s="22"/>
      <c r="G1773" s="31"/>
      <c r="J1773" s="23"/>
      <c r="K1773" s="27"/>
    </row>
    <row r="1774" spans="1:11" x14ac:dyDescent="0.25">
      <c r="A1774" s="77"/>
      <c r="B1774" s="69"/>
      <c r="C1774" s="71"/>
      <c r="E1774" s="22"/>
      <c r="F1774" s="22"/>
      <c r="G1774" s="31"/>
      <c r="J1774" s="23"/>
      <c r="K1774" s="27"/>
    </row>
    <row r="1775" spans="1:11" x14ac:dyDescent="0.25">
      <c r="A1775" s="77"/>
      <c r="B1775" s="69"/>
      <c r="C1775" s="71"/>
      <c r="E1775" s="22"/>
      <c r="F1775" s="22"/>
      <c r="G1775" s="31"/>
      <c r="J1775" s="23"/>
      <c r="K1775" s="27"/>
    </row>
    <row r="1776" spans="1:11" x14ac:dyDescent="0.25">
      <c r="A1776" s="77"/>
      <c r="B1776" s="69"/>
      <c r="C1776" s="71"/>
      <c r="E1776" s="22"/>
      <c r="F1776" s="22"/>
      <c r="G1776" s="31"/>
      <c r="J1776" s="23"/>
      <c r="K1776" s="27"/>
    </row>
    <row r="1777" spans="1:11" x14ac:dyDescent="0.25">
      <c r="A1777" s="77"/>
      <c r="B1777" s="69"/>
      <c r="C1777" s="71"/>
      <c r="E1777" s="22"/>
      <c r="F1777" s="22"/>
      <c r="G1777" s="31"/>
      <c r="J1777" s="23"/>
      <c r="K1777" s="27"/>
    </row>
    <row r="1778" spans="1:11" x14ac:dyDescent="0.25">
      <c r="A1778" s="77"/>
      <c r="B1778" s="69"/>
      <c r="C1778" s="71"/>
      <c r="E1778" s="22"/>
      <c r="F1778" s="22"/>
      <c r="G1778" s="31"/>
      <c r="J1778" s="23"/>
      <c r="K1778" s="27"/>
    </row>
    <row r="1779" spans="1:11" x14ac:dyDescent="0.25">
      <c r="A1779" s="77"/>
      <c r="B1779" s="69"/>
      <c r="C1779" s="71"/>
      <c r="E1779" s="22"/>
      <c r="F1779" s="22"/>
      <c r="G1779" s="31"/>
      <c r="J1779" s="23"/>
      <c r="K1779" s="27"/>
    </row>
    <row r="1780" spans="1:11" x14ac:dyDescent="0.25">
      <c r="A1780" s="77"/>
      <c r="B1780" s="69"/>
      <c r="C1780" s="71"/>
      <c r="E1780" s="22"/>
      <c r="F1780" s="22"/>
      <c r="G1780" s="31"/>
      <c r="J1780" s="23"/>
      <c r="K1780" s="27"/>
    </row>
    <row r="1781" spans="1:11" x14ac:dyDescent="0.25">
      <c r="A1781" s="77"/>
      <c r="B1781" s="69"/>
      <c r="C1781" s="71"/>
      <c r="E1781" s="22"/>
      <c r="F1781" s="22"/>
      <c r="G1781" s="31"/>
      <c r="J1781" s="23"/>
      <c r="K1781" s="27"/>
    </row>
    <row r="1782" spans="1:11" x14ac:dyDescent="0.25">
      <c r="A1782" s="77"/>
      <c r="B1782" s="69"/>
      <c r="C1782" s="71"/>
      <c r="E1782" s="22"/>
      <c r="F1782" s="22"/>
      <c r="G1782" s="31"/>
      <c r="J1782" s="23"/>
      <c r="K1782" s="27"/>
    </row>
    <row r="1783" spans="1:11" x14ac:dyDescent="0.25">
      <c r="A1783" s="77"/>
      <c r="B1783" s="69"/>
      <c r="C1783" s="71"/>
      <c r="E1783" s="22"/>
      <c r="F1783" s="22"/>
      <c r="G1783" s="31"/>
      <c r="J1783" s="23"/>
      <c r="K1783" s="27"/>
    </row>
    <row r="1784" spans="1:11" x14ac:dyDescent="0.25">
      <c r="A1784" s="77"/>
      <c r="B1784" s="69"/>
      <c r="C1784" s="71"/>
      <c r="E1784" s="22"/>
      <c r="F1784" s="22"/>
      <c r="G1784" s="31"/>
      <c r="J1784" s="23"/>
      <c r="K1784" s="27"/>
    </row>
    <row r="1785" spans="1:11" x14ac:dyDescent="0.25">
      <c r="A1785" s="77"/>
      <c r="B1785" s="69"/>
      <c r="C1785" s="71"/>
      <c r="E1785" s="22"/>
      <c r="F1785" s="22"/>
      <c r="G1785" s="31"/>
      <c r="J1785" s="23"/>
      <c r="K1785" s="27"/>
    </row>
    <row r="1786" spans="1:11" x14ac:dyDescent="0.25">
      <c r="A1786" s="77"/>
      <c r="B1786" s="69"/>
      <c r="C1786" s="71"/>
      <c r="E1786" s="22"/>
      <c r="F1786" s="22"/>
      <c r="G1786" s="31"/>
      <c r="J1786" s="23"/>
      <c r="K1786" s="27"/>
    </row>
    <row r="1787" spans="1:11" x14ac:dyDescent="0.25">
      <c r="A1787" s="77"/>
      <c r="B1787" s="69"/>
      <c r="C1787" s="71"/>
      <c r="E1787" s="22"/>
      <c r="F1787" s="22"/>
      <c r="G1787" s="31"/>
      <c r="J1787" s="23"/>
      <c r="K1787" s="27"/>
    </row>
    <row r="1788" spans="1:11" x14ac:dyDescent="0.25">
      <c r="A1788" s="77"/>
      <c r="B1788" s="69"/>
      <c r="C1788" s="71"/>
      <c r="E1788" s="22"/>
      <c r="F1788" s="22"/>
      <c r="G1788" s="31"/>
      <c r="J1788" s="23"/>
      <c r="K1788" s="27"/>
    </row>
    <row r="1789" spans="1:11" x14ac:dyDescent="0.25">
      <c r="A1789" s="77"/>
      <c r="B1789" s="69"/>
      <c r="C1789" s="71"/>
      <c r="E1789" s="22"/>
      <c r="F1789" s="22"/>
      <c r="G1789" s="31"/>
      <c r="J1789" s="23"/>
      <c r="K1789" s="27"/>
    </row>
    <row r="1790" spans="1:11" x14ac:dyDescent="0.25">
      <c r="A1790" s="77"/>
      <c r="B1790" s="69"/>
      <c r="C1790" s="71"/>
      <c r="E1790" s="22"/>
      <c r="F1790" s="22"/>
      <c r="G1790" s="31"/>
      <c r="J1790" s="23"/>
      <c r="K1790" s="27"/>
    </row>
    <row r="1791" spans="1:11" x14ac:dyDescent="0.25">
      <c r="A1791" s="77"/>
      <c r="B1791" s="69"/>
      <c r="C1791" s="71"/>
      <c r="E1791" s="22"/>
      <c r="F1791" s="22"/>
      <c r="G1791" s="31"/>
      <c r="J1791" s="23"/>
      <c r="K1791" s="27"/>
    </row>
    <row r="1792" spans="1:11" x14ac:dyDescent="0.25">
      <c r="A1792" s="77"/>
      <c r="B1792" s="69"/>
      <c r="C1792" s="71"/>
      <c r="E1792" s="22"/>
      <c r="F1792" s="22"/>
      <c r="G1792" s="31"/>
      <c r="J1792" s="23"/>
      <c r="K1792" s="27"/>
    </row>
    <row r="1793" spans="1:11" x14ac:dyDescent="0.25">
      <c r="A1793" s="77"/>
      <c r="B1793" s="69"/>
      <c r="C1793" s="71"/>
      <c r="E1793" s="22"/>
      <c r="F1793" s="22"/>
      <c r="G1793" s="31"/>
      <c r="J1793" s="23"/>
      <c r="K1793" s="27"/>
    </row>
    <row r="1794" spans="1:11" x14ac:dyDescent="0.25">
      <c r="A1794" s="77"/>
      <c r="B1794" s="69"/>
      <c r="C1794" s="71"/>
      <c r="E1794" s="22"/>
      <c r="F1794" s="22"/>
      <c r="G1794" s="31"/>
      <c r="J1794" s="23"/>
      <c r="K1794" s="27"/>
    </row>
    <row r="1795" spans="1:11" x14ac:dyDescent="0.25">
      <c r="A1795" s="77"/>
      <c r="B1795" s="69"/>
      <c r="C1795" s="71"/>
      <c r="E1795" s="22"/>
      <c r="F1795" s="22"/>
      <c r="G1795" s="31"/>
      <c r="J1795" s="23"/>
      <c r="K1795" s="27"/>
    </row>
    <row r="1796" spans="1:11" x14ac:dyDescent="0.25">
      <c r="A1796" s="77"/>
      <c r="B1796" s="69"/>
      <c r="C1796" s="71"/>
      <c r="E1796" s="22"/>
      <c r="F1796" s="22"/>
      <c r="G1796" s="31"/>
      <c r="J1796" s="23"/>
      <c r="K1796" s="27"/>
    </row>
    <row r="1797" spans="1:11" x14ac:dyDescent="0.25">
      <c r="A1797" s="77"/>
      <c r="B1797" s="69"/>
      <c r="C1797" s="71"/>
      <c r="E1797" s="22"/>
      <c r="F1797" s="22"/>
      <c r="G1797" s="31"/>
      <c r="J1797" s="23"/>
      <c r="K1797" s="27"/>
    </row>
    <row r="1798" spans="1:11" x14ac:dyDescent="0.25">
      <c r="A1798" s="77"/>
      <c r="B1798" s="69"/>
      <c r="C1798" s="71"/>
      <c r="E1798" s="22"/>
      <c r="F1798" s="22"/>
      <c r="G1798" s="31"/>
      <c r="J1798" s="23"/>
      <c r="K1798" s="27"/>
    </row>
    <row r="1799" spans="1:11" x14ac:dyDescent="0.25">
      <c r="A1799" s="77"/>
      <c r="B1799" s="69"/>
      <c r="C1799" s="71"/>
      <c r="E1799" s="22"/>
      <c r="F1799" s="22"/>
      <c r="G1799" s="31"/>
      <c r="J1799" s="23"/>
      <c r="K1799" s="27"/>
    </row>
    <row r="1800" spans="1:11" x14ac:dyDescent="0.25">
      <c r="A1800" s="77"/>
      <c r="B1800" s="69"/>
      <c r="C1800" s="71"/>
      <c r="E1800" s="22"/>
      <c r="F1800" s="22"/>
      <c r="G1800" s="31"/>
      <c r="J1800" s="23"/>
      <c r="K1800" s="27"/>
    </row>
    <row r="1801" spans="1:11" x14ac:dyDescent="0.25">
      <c r="A1801" s="77"/>
      <c r="B1801" s="69"/>
      <c r="C1801" s="71"/>
      <c r="E1801" s="22"/>
      <c r="F1801" s="22"/>
      <c r="G1801" s="31"/>
      <c r="J1801" s="23"/>
      <c r="K1801" s="27"/>
    </row>
    <row r="1802" spans="1:11" x14ac:dyDescent="0.25">
      <c r="A1802" s="77"/>
      <c r="B1802" s="69"/>
      <c r="C1802" s="71"/>
      <c r="E1802" s="22"/>
      <c r="F1802" s="22"/>
      <c r="G1802" s="31"/>
      <c r="J1802" s="23"/>
      <c r="K1802" s="27"/>
    </row>
    <row r="1803" spans="1:11" x14ac:dyDescent="0.25">
      <c r="A1803" s="77"/>
      <c r="B1803" s="69"/>
      <c r="C1803" s="71"/>
      <c r="E1803" s="22"/>
      <c r="F1803" s="22"/>
      <c r="G1803" s="31"/>
      <c r="J1803" s="23"/>
      <c r="K1803" s="27"/>
    </row>
    <row r="1804" spans="1:11" x14ac:dyDescent="0.25">
      <c r="A1804" s="77"/>
      <c r="B1804" s="69"/>
      <c r="C1804" s="71"/>
      <c r="E1804" s="22"/>
      <c r="F1804" s="22"/>
      <c r="G1804" s="31"/>
      <c r="J1804" s="23"/>
      <c r="K1804" s="27"/>
    </row>
    <row r="1805" spans="1:11" x14ac:dyDescent="0.25">
      <c r="A1805" s="77"/>
      <c r="B1805" s="69"/>
      <c r="C1805" s="71"/>
      <c r="E1805" s="22"/>
      <c r="F1805" s="22"/>
      <c r="G1805" s="31"/>
      <c r="J1805" s="23"/>
      <c r="K1805" s="27"/>
    </row>
    <row r="1806" spans="1:11" x14ac:dyDescent="0.25">
      <c r="A1806" s="77"/>
      <c r="B1806" s="69"/>
      <c r="C1806" s="71"/>
      <c r="E1806" s="22"/>
      <c r="F1806" s="22"/>
      <c r="G1806" s="31"/>
      <c r="J1806" s="23"/>
      <c r="K1806" s="27"/>
    </row>
    <row r="1807" spans="1:11" x14ac:dyDescent="0.25">
      <c r="A1807" s="77"/>
      <c r="B1807" s="69"/>
      <c r="C1807" s="71"/>
      <c r="E1807" s="22"/>
      <c r="F1807" s="22"/>
      <c r="G1807" s="31"/>
      <c r="J1807" s="23"/>
      <c r="K1807" s="27"/>
    </row>
    <row r="1808" spans="1:11" x14ac:dyDescent="0.25">
      <c r="A1808" s="77"/>
      <c r="B1808" s="69"/>
      <c r="C1808" s="71"/>
      <c r="E1808" s="22"/>
      <c r="F1808" s="22"/>
      <c r="G1808" s="31"/>
      <c r="J1808" s="23"/>
      <c r="K1808" s="27"/>
    </row>
    <row r="1809" spans="1:11" x14ac:dyDescent="0.25">
      <c r="A1809" s="77"/>
      <c r="B1809" s="69"/>
      <c r="C1809" s="71"/>
      <c r="E1809" s="22"/>
      <c r="F1809" s="22"/>
      <c r="G1809" s="31"/>
      <c r="J1809" s="23"/>
      <c r="K1809" s="27"/>
    </row>
    <row r="1810" spans="1:11" x14ac:dyDescent="0.25">
      <c r="A1810" s="77"/>
      <c r="B1810" s="69"/>
      <c r="C1810" s="71"/>
      <c r="E1810" s="22"/>
      <c r="F1810" s="22"/>
      <c r="G1810" s="31"/>
      <c r="J1810" s="23"/>
      <c r="K1810" s="27"/>
    </row>
    <row r="1811" spans="1:11" x14ac:dyDescent="0.25">
      <c r="A1811" s="77"/>
      <c r="B1811" s="69"/>
      <c r="C1811" s="71"/>
      <c r="E1811" s="22"/>
      <c r="F1811" s="22"/>
      <c r="G1811" s="31"/>
      <c r="J1811" s="23"/>
      <c r="K1811" s="27"/>
    </row>
    <row r="1812" spans="1:11" x14ac:dyDescent="0.25">
      <c r="A1812" s="77"/>
      <c r="B1812" s="69"/>
      <c r="C1812" s="71"/>
      <c r="E1812" s="22"/>
      <c r="F1812" s="22"/>
      <c r="G1812" s="31"/>
      <c r="J1812" s="23"/>
      <c r="K1812" s="27"/>
    </row>
    <row r="1813" spans="1:11" x14ac:dyDescent="0.25">
      <c r="A1813" s="77"/>
      <c r="B1813" s="69"/>
      <c r="C1813" s="71"/>
      <c r="E1813" s="22"/>
      <c r="F1813" s="22"/>
      <c r="G1813" s="31"/>
      <c r="J1813" s="23"/>
      <c r="K1813" s="27"/>
    </row>
    <row r="1814" spans="1:11" x14ac:dyDescent="0.25">
      <c r="A1814" s="77"/>
      <c r="B1814" s="69"/>
      <c r="C1814" s="71"/>
      <c r="E1814" s="22"/>
      <c r="F1814" s="22"/>
      <c r="G1814" s="31"/>
      <c r="J1814" s="23"/>
      <c r="K1814" s="27"/>
    </row>
    <row r="1815" spans="1:11" x14ac:dyDescent="0.25">
      <c r="A1815" s="77"/>
      <c r="B1815" s="69"/>
      <c r="C1815" s="71"/>
      <c r="E1815" s="22"/>
      <c r="F1815" s="22"/>
      <c r="G1815" s="31"/>
      <c r="J1815" s="23"/>
      <c r="K1815" s="27"/>
    </row>
    <row r="1816" spans="1:11" x14ac:dyDescent="0.25">
      <c r="A1816" s="77"/>
      <c r="B1816" s="69"/>
      <c r="C1816" s="71"/>
      <c r="E1816" s="22"/>
      <c r="F1816" s="22"/>
      <c r="G1816" s="31"/>
      <c r="J1816" s="23"/>
      <c r="K1816" s="27"/>
    </row>
    <row r="1817" spans="1:11" x14ac:dyDescent="0.25">
      <c r="A1817" s="77"/>
      <c r="B1817" s="69"/>
      <c r="C1817" s="71"/>
      <c r="E1817" s="22"/>
      <c r="F1817" s="22"/>
      <c r="G1817" s="31"/>
      <c r="J1817" s="23"/>
      <c r="K1817" s="27"/>
    </row>
    <row r="1818" spans="1:11" x14ac:dyDescent="0.25">
      <c r="A1818" s="77"/>
      <c r="B1818" s="69"/>
      <c r="C1818" s="71"/>
      <c r="E1818" s="22"/>
      <c r="F1818" s="22"/>
      <c r="G1818" s="31"/>
      <c r="J1818" s="23"/>
      <c r="K1818" s="27"/>
    </row>
    <row r="1819" spans="1:11" x14ac:dyDescent="0.25">
      <c r="A1819" s="77"/>
      <c r="B1819" s="69"/>
      <c r="C1819" s="71"/>
      <c r="E1819" s="22"/>
      <c r="F1819" s="22"/>
      <c r="G1819" s="31"/>
      <c r="J1819" s="23"/>
      <c r="K1819" s="27"/>
    </row>
    <row r="1820" spans="1:11" x14ac:dyDescent="0.25">
      <c r="A1820" s="77"/>
      <c r="B1820" s="69"/>
      <c r="C1820" s="71"/>
      <c r="E1820" s="22"/>
      <c r="F1820" s="22"/>
      <c r="G1820" s="31"/>
      <c r="J1820" s="23"/>
      <c r="K1820" s="27"/>
    </row>
    <row r="1821" spans="1:11" x14ac:dyDescent="0.25">
      <c r="A1821" s="77"/>
      <c r="B1821" s="69"/>
      <c r="C1821" s="71"/>
      <c r="E1821" s="22"/>
      <c r="F1821" s="22"/>
      <c r="G1821" s="31"/>
      <c r="J1821" s="23"/>
      <c r="K1821" s="27"/>
    </row>
    <row r="1822" spans="1:11" x14ac:dyDescent="0.25">
      <c r="A1822" s="77"/>
      <c r="B1822" s="69"/>
      <c r="C1822" s="71"/>
      <c r="E1822" s="22"/>
      <c r="F1822" s="22"/>
      <c r="G1822" s="31"/>
      <c r="J1822" s="23"/>
      <c r="K1822" s="27"/>
    </row>
    <row r="1823" spans="1:11" x14ac:dyDescent="0.25">
      <c r="A1823" s="77"/>
      <c r="B1823" s="69"/>
      <c r="C1823" s="71"/>
      <c r="E1823" s="22"/>
      <c r="F1823" s="22"/>
      <c r="G1823" s="31"/>
      <c r="J1823" s="23"/>
      <c r="K1823" s="27"/>
    </row>
    <row r="1824" spans="1:11" x14ac:dyDescent="0.25">
      <c r="A1824" s="77"/>
      <c r="B1824" s="69"/>
      <c r="C1824" s="71"/>
      <c r="E1824" s="22"/>
      <c r="F1824" s="22"/>
      <c r="G1824" s="31"/>
      <c r="J1824" s="23"/>
      <c r="K1824" s="27"/>
    </row>
    <row r="1825" spans="1:11" x14ac:dyDescent="0.25">
      <c r="A1825" s="77"/>
      <c r="B1825" s="69"/>
      <c r="C1825" s="71"/>
      <c r="E1825" s="22"/>
      <c r="F1825" s="22"/>
      <c r="G1825" s="31"/>
      <c r="J1825" s="23"/>
      <c r="K1825" s="27"/>
    </row>
    <row r="1826" spans="1:11" x14ac:dyDescent="0.25">
      <c r="A1826" s="77"/>
      <c r="B1826" s="69"/>
      <c r="C1826" s="71"/>
      <c r="E1826" s="22"/>
      <c r="F1826" s="22"/>
      <c r="G1826" s="31"/>
      <c r="J1826" s="23"/>
      <c r="K1826" s="27"/>
    </row>
    <row r="1827" spans="1:11" x14ac:dyDescent="0.25">
      <c r="A1827" s="77"/>
      <c r="B1827" s="69"/>
      <c r="C1827" s="71"/>
      <c r="E1827" s="22"/>
      <c r="F1827" s="22"/>
      <c r="G1827" s="31"/>
      <c r="J1827" s="23"/>
      <c r="K1827" s="27"/>
    </row>
    <row r="1828" spans="1:11" x14ac:dyDescent="0.25">
      <c r="A1828" s="77"/>
      <c r="B1828" s="69"/>
      <c r="C1828" s="71"/>
      <c r="E1828" s="22"/>
      <c r="F1828" s="22"/>
      <c r="G1828" s="31"/>
      <c r="J1828" s="23"/>
      <c r="K1828" s="27"/>
    </row>
    <row r="1829" spans="1:11" x14ac:dyDescent="0.25">
      <c r="A1829" s="77"/>
      <c r="B1829" s="69"/>
      <c r="C1829" s="71"/>
      <c r="E1829" s="22"/>
      <c r="F1829" s="22"/>
      <c r="G1829" s="31"/>
      <c r="J1829" s="23"/>
      <c r="K1829" s="27"/>
    </row>
    <row r="1830" spans="1:11" x14ac:dyDescent="0.25">
      <c r="A1830" s="77"/>
      <c r="B1830" s="69"/>
      <c r="C1830" s="71"/>
      <c r="E1830" s="22"/>
      <c r="F1830" s="22"/>
      <c r="G1830" s="31"/>
      <c r="J1830" s="23"/>
      <c r="K1830" s="27"/>
    </row>
    <row r="1831" spans="1:11" x14ac:dyDescent="0.25">
      <c r="A1831" s="77"/>
      <c r="B1831" s="69"/>
      <c r="C1831" s="71"/>
      <c r="E1831" s="22"/>
      <c r="F1831" s="22"/>
      <c r="G1831" s="31"/>
      <c r="J1831" s="23"/>
      <c r="K1831" s="27"/>
    </row>
    <row r="1832" spans="1:11" x14ac:dyDescent="0.25">
      <c r="A1832" s="77"/>
      <c r="B1832" s="69"/>
      <c r="C1832" s="71"/>
      <c r="E1832" s="22"/>
      <c r="F1832" s="22"/>
      <c r="G1832" s="31"/>
      <c r="J1832" s="23"/>
      <c r="K1832" s="27"/>
    </row>
    <row r="1833" spans="1:11" x14ac:dyDescent="0.25">
      <c r="A1833" s="77"/>
      <c r="B1833" s="69"/>
      <c r="C1833" s="71"/>
      <c r="E1833" s="22"/>
      <c r="F1833" s="22"/>
      <c r="G1833" s="31"/>
      <c r="J1833" s="23"/>
      <c r="K1833" s="27"/>
    </row>
    <row r="1834" spans="1:11" x14ac:dyDescent="0.25">
      <c r="A1834" s="77"/>
      <c r="B1834" s="69"/>
      <c r="C1834" s="71"/>
      <c r="E1834" s="22"/>
      <c r="F1834" s="22"/>
      <c r="G1834" s="31"/>
      <c r="J1834" s="23"/>
      <c r="K1834" s="27"/>
    </row>
    <row r="1835" spans="1:11" x14ac:dyDescent="0.25">
      <c r="A1835" s="77"/>
      <c r="B1835" s="69"/>
      <c r="C1835" s="71"/>
      <c r="E1835" s="22"/>
      <c r="F1835" s="22"/>
      <c r="G1835" s="31"/>
      <c r="J1835" s="23"/>
      <c r="K1835" s="27"/>
    </row>
    <row r="1836" spans="1:11" x14ac:dyDescent="0.25">
      <c r="A1836" s="77"/>
      <c r="B1836" s="69"/>
      <c r="C1836" s="71"/>
      <c r="E1836" s="22"/>
      <c r="F1836" s="22"/>
      <c r="G1836" s="31"/>
      <c r="J1836" s="23"/>
      <c r="K1836" s="27"/>
    </row>
    <row r="1837" spans="1:11" x14ac:dyDescent="0.25">
      <c r="A1837" s="77"/>
      <c r="B1837" s="69"/>
      <c r="C1837" s="71"/>
      <c r="E1837" s="22"/>
      <c r="F1837" s="22"/>
      <c r="G1837" s="31"/>
      <c r="J1837" s="23"/>
      <c r="K1837" s="27"/>
    </row>
    <row r="1838" spans="1:11" x14ac:dyDescent="0.25">
      <c r="A1838" s="77"/>
      <c r="B1838" s="69"/>
      <c r="C1838" s="71"/>
      <c r="E1838" s="22"/>
      <c r="F1838" s="22"/>
      <c r="G1838" s="31"/>
      <c r="J1838" s="23"/>
      <c r="K1838" s="27"/>
    </row>
    <row r="1839" spans="1:11" x14ac:dyDescent="0.25">
      <c r="A1839" s="77"/>
      <c r="B1839" s="69"/>
      <c r="C1839" s="71"/>
      <c r="E1839" s="22"/>
      <c r="F1839" s="22"/>
      <c r="G1839" s="31"/>
      <c r="J1839" s="23"/>
      <c r="K1839" s="27"/>
    </row>
    <row r="1840" spans="1:11" x14ac:dyDescent="0.25">
      <c r="A1840" s="77"/>
      <c r="B1840" s="69"/>
      <c r="C1840" s="71"/>
      <c r="E1840" s="22"/>
      <c r="F1840" s="22"/>
      <c r="G1840" s="31"/>
      <c r="J1840" s="23"/>
      <c r="K1840" s="27"/>
    </row>
    <row r="1841" spans="1:11" x14ac:dyDescent="0.25">
      <c r="A1841" s="77"/>
      <c r="B1841" s="69"/>
      <c r="C1841" s="71"/>
      <c r="E1841" s="22"/>
      <c r="F1841" s="22"/>
      <c r="G1841" s="31"/>
      <c r="J1841" s="23"/>
      <c r="K1841" s="27"/>
    </row>
    <row r="1842" spans="1:11" x14ac:dyDescent="0.25">
      <c r="A1842" s="77"/>
      <c r="B1842" s="69"/>
      <c r="C1842" s="71"/>
      <c r="E1842" s="22"/>
      <c r="F1842" s="22"/>
      <c r="G1842" s="31"/>
      <c r="J1842" s="23"/>
      <c r="K1842" s="27"/>
    </row>
    <row r="1843" spans="1:11" x14ac:dyDescent="0.25">
      <c r="A1843" s="77"/>
      <c r="B1843" s="69"/>
      <c r="C1843" s="71"/>
      <c r="E1843" s="22"/>
      <c r="F1843" s="22"/>
      <c r="G1843" s="31"/>
      <c r="J1843" s="23"/>
      <c r="K1843" s="27"/>
    </row>
    <row r="1844" spans="1:11" x14ac:dyDescent="0.25">
      <c r="A1844" s="77"/>
      <c r="B1844" s="69"/>
      <c r="C1844" s="71"/>
      <c r="E1844" s="22"/>
      <c r="F1844" s="22"/>
      <c r="G1844" s="31"/>
      <c r="J1844" s="23"/>
      <c r="K1844" s="27"/>
    </row>
    <row r="1845" spans="1:11" x14ac:dyDescent="0.25">
      <c r="A1845" s="77"/>
      <c r="B1845" s="69"/>
      <c r="C1845" s="71"/>
      <c r="E1845" s="22"/>
      <c r="F1845" s="22"/>
      <c r="G1845" s="31"/>
      <c r="J1845" s="23"/>
      <c r="K1845" s="27"/>
    </row>
    <row r="1846" spans="1:11" x14ac:dyDescent="0.25">
      <c r="A1846" s="77"/>
      <c r="B1846" s="69"/>
      <c r="C1846" s="71"/>
      <c r="E1846" s="22"/>
      <c r="F1846" s="22"/>
      <c r="G1846" s="31"/>
      <c r="J1846" s="23"/>
      <c r="K1846" s="27"/>
    </row>
    <row r="1847" spans="1:11" x14ac:dyDescent="0.25">
      <c r="A1847" s="77"/>
      <c r="B1847" s="69"/>
      <c r="C1847" s="71"/>
      <c r="E1847" s="22"/>
      <c r="F1847" s="22"/>
      <c r="G1847" s="31"/>
      <c r="J1847" s="23"/>
      <c r="K1847" s="27"/>
    </row>
    <row r="1848" spans="1:11" x14ac:dyDescent="0.25">
      <c r="A1848" s="77"/>
      <c r="B1848" s="69"/>
      <c r="C1848" s="71"/>
      <c r="E1848" s="22"/>
      <c r="F1848" s="22"/>
      <c r="G1848" s="31"/>
      <c r="J1848" s="23"/>
      <c r="K1848" s="27"/>
    </row>
    <row r="1849" spans="1:11" x14ac:dyDescent="0.25">
      <c r="A1849" s="77"/>
      <c r="B1849" s="69"/>
      <c r="C1849" s="71"/>
      <c r="E1849" s="22"/>
      <c r="F1849" s="22"/>
      <c r="G1849" s="31"/>
      <c r="J1849" s="23"/>
      <c r="K1849" s="27"/>
    </row>
    <row r="1850" spans="1:11" x14ac:dyDescent="0.25">
      <c r="A1850" s="77"/>
      <c r="B1850" s="69"/>
      <c r="C1850" s="71"/>
      <c r="E1850" s="22"/>
      <c r="F1850" s="22"/>
      <c r="G1850" s="31"/>
      <c r="J1850" s="23"/>
      <c r="K1850" s="27"/>
    </row>
    <row r="1851" spans="1:11" x14ac:dyDescent="0.25">
      <c r="A1851" s="77"/>
      <c r="B1851" s="69"/>
      <c r="C1851" s="71"/>
      <c r="E1851" s="22"/>
      <c r="F1851" s="22"/>
      <c r="G1851" s="31"/>
      <c r="J1851" s="23"/>
      <c r="K1851" s="27"/>
    </row>
    <row r="1852" spans="1:11" x14ac:dyDescent="0.25">
      <c r="A1852" s="77"/>
      <c r="B1852" s="69"/>
      <c r="C1852" s="71"/>
      <c r="E1852" s="22"/>
      <c r="F1852" s="22"/>
      <c r="G1852" s="31"/>
      <c r="J1852" s="23"/>
      <c r="K1852" s="27"/>
    </row>
    <row r="1853" spans="1:11" x14ac:dyDescent="0.25">
      <c r="A1853" s="77"/>
      <c r="B1853" s="69"/>
      <c r="C1853" s="71"/>
      <c r="E1853" s="22"/>
      <c r="F1853" s="22"/>
      <c r="G1853" s="31"/>
      <c r="J1853" s="23"/>
      <c r="K1853" s="27"/>
    </row>
    <row r="1854" spans="1:11" x14ac:dyDescent="0.25">
      <c r="A1854" s="77"/>
      <c r="B1854" s="69"/>
      <c r="C1854" s="71"/>
      <c r="E1854" s="22"/>
      <c r="F1854" s="22"/>
      <c r="G1854" s="31"/>
      <c r="J1854" s="23"/>
      <c r="K1854" s="27"/>
    </row>
    <row r="1855" spans="1:11" x14ac:dyDescent="0.25">
      <c r="A1855" s="77"/>
      <c r="B1855" s="69"/>
      <c r="C1855" s="71"/>
      <c r="E1855" s="22"/>
      <c r="F1855" s="22"/>
      <c r="G1855" s="31"/>
      <c r="J1855" s="23"/>
      <c r="K1855" s="27"/>
    </row>
    <row r="1856" spans="1:11" x14ac:dyDescent="0.25">
      <c r="A1856" s="77"/>
      <c r="B1856" s="69"/>
      <c r="C1856" s="71"/>
      <c r="E1856" s="22"/>
      <c r="F1856" s="22"/>
      <c r="G1856" s="31"/>
      <c r="J1856" s="23"/>
      <c r="K1856" s="27"/>
    </row>
    <row r="1857" spans="1:11" x14ac:dyDescent="0.25">
      <c r="A1857" s="77"/>
      <c r="B1857" s="69"/>
      <c r="C1857" s="71"/>
      <c r="E1857" s="22"/>
      <c r="F1857" s="22"/>
      <c r="G1857" s="31"/>
      <c r="J1857" s="23"/>
      <c r="K1857" s="27"/>
    </row>
    <row r="1858" spans="1:11" x14ac:dyDescent="0.25">
      <c r="A1858" s="77"/>
      <c r="B1858" s="69"/>
      <c r="C1858" s="71"/>
      <c r="E1858" s="22"/>
      <c r="F1858" s="22"/>
      <c r="G1858" s="31"/>
      <c r="J1858" s="23"/>
      <c r="K1858" s="27"/>
    </row>
    <row r="1859" spans="1:11" x14ac:dyDescent="0.25">
      <c r="A1859" s="77"/>
      <c r="B1859" s="69"/>
      <c r="C1859" s="71"/>
      <c r="E1859" s="22"/>
      <c r="F1859" s="22"/>
      <c r="G1859" s="31"/>
      <c r="J1859" s="23"/>
      <c r="K1859" s="27"/>
    </row>
    <row r="1860" spans="1:11" x14ac:dyDescent="0.25">
      <c r="A1860" s="77"/>
      <c r="B1860" s="69"/>
      <c r="C1860" s="71"/>
      <c r="E1860" s="22"/>
      <c r="F1860" s="22"/>
      <c r="G1860" s="31"/>
      <c r="J1860" s="23"/>
      <c r="K1860" s="27"/>
    </row>
    <row r="1861" spans="1:11" x14ac:dyDescent="0.25">
      <c r="A1861" s="77"/>
      <c r="B1861" s="69"/>
      <c r="C1861" s="71"/>
      <c r="E1861" s="22"/>
      <c r="F1861" s="22"/>
      <c r="G1861" s="31"/>
      <c r="J1861" s="23"/>
      <c r="K1861" s="27"/>
    </row>
    <row r="1862" spans="1:11" x14ac:dyDescent="0.25">
      <c r="A1862" s="77"/>
      <c r="B1862" s="69"/>
      <c r="C1862" s="71"/>
      <c r="E1862" s="22"/>
      <c r="F1862" s="22"/>
      <c r="G1862" s="31"/>
      <c r="J1862" s="23"/>
      <c r="K1862" s="27"/>
    </row>
    <row r="1863" spans="1:11" x14ac:dyDescent="0.25">
      <c r="A1863" s="77"/>
      <c r="B1863" s="69"/>
      <c r="C1863" s="71"/>
      <c r="E1863" s="22"/>
      <c r="F1863" s="22"/>
      <c r="G1863" s="31"/>
      <c r="J1863" s="23"/>
      <c r="K1863" s="27"/>
    </row>
    <row r="1864" spans="1:11" x14ac:dyDescent="0.25">
      <c r="A1864" s="77"/>
      <c r="B1864" s="69"/>
      <c r="C1864" s="71"/>
      <c r="E1864" s="22"/>
      <c r="F1864" s="22"/>
      <c r="G1864" s="31"/>
      <c r="J1864" s="23"/>
      <c r="K1864" s="27"/>
    </row>
    <row r="1865" spans="1:11" x14ac:dyDescent="0.25">
      <c r="A1865" s="77"/>
      <c r="B1865" s="69"/>
      <c r="C1865" s="71"/>
      <c r="E1865" s="22"/>
      <c r="F1865" s="22"/>
      <c r="G1865" s="31"/>
      <c r="J1865" s="23"/>
      <c r="K1865" s="27"/>
    </row>
    <row r="1866" spans="1:11" x14ac:dyDescent="0.25">
      <c r="A1866" s="77"/>
      <c r="B1866" s="69"/>
      <c r="C1866" s="71"/>
      <c r="E1866" s="22"/>
      <c r="F1866" s="22"/>
      <c r="G1866" s="31"/>
      <c r="J1866" s="23"/>
      <c r="K1866" s="27"/>
    </row>
    <row r="1867" spans="1:11" x14ac:dyDescent="0.25">
      <c r="A1867" s="77"/>
      <c r="B1867" s="69"/>
      <c r="C1867" s="71"/>
      <c r="E1867" s="22"/>
      <c r="F1867" s="22"/>
      <c r="G1867" s="31"/>
      <c r="J1867" s="23"/>
      <c r="K1867" s="27"/>
    </row>
    <row r="1868" spans="1:11" x14ac:dyDescent="0.25">
      <c r="A1868" s="77"/>
      <c r="B1868" s="69"/>
      <c r="C1868" s="71"/>
      <c r="E1868" s="22"/>
      <c r="F1868" s="22"/>
      <c r="G1868" s="31"/>
      <c r="J1868" s="23"/>
      <c r="K1868" s="27"/>
    </row>
    <row r="1869" spans="1:11" x14ac:dyDescent="0.25">
      <c r="A1869" s="77"/>
      <c r="B1869" s="69"/>
      <c r="C1869" s="71"/>
      <c r="E1869" s="22"/>
      <c r="F1869" s="22"/>
      <c r="G1869" s="31"/>
      <c r="J1869" s="23"/>
      <c r="K1869" s="27"/>
    </row>
    <row r="1870" spans="1:11" x14ac:dyDescent="0.25">
      <c r="A1870" s="77"/>
      <c r="B1870" s="69"/>
      <c r="C1870" s="71"/>
      <c r="E1870" s="22"/>
      <c r="F1870" s="22"/>
      <c r="G1870" s="31"/>
      <c r="J1870" s="23"/>
      <c r="K1870" s="27"/>
    </row>
    <row r="1871" spans="1:11" x14ac:dyDescent="0.25">
      <c r="A1871" s="77"/>
      <c r="B1871" s="69"/>
      <c r="C1871" s="71"/>
      <c r="E1871" s="22"/>
      <c r="F1871" s="22"/>
      <c r="G1871" s="31"/>
      <c r="J1871" s="23"/>
      <c r="K1871" s="27"/>
    </row>
    <row r="1872" spans="1:11" x14ac:dyDescent="0.25">
      <c r="A1872" s="77"/>
      <c r="B1872" s="69"/>
      <c r="C1872" s="71"/>
      <c r="E1872" s="22"/>
      <c r="F1872" s="22"/>
      <c r="G1872" s="31"/>
      <c r="J1872" s="23"/>
      <c r="K1872" s="27"/>
    </row>
    <row r="1873" spans="1:11" x14ac:dyDescent="0.25">
      <c r="A1873" s="77"/>
      <c r="B1873" s="69"/>
      <c r="C1873" s="71"/>
      <c r="E1873" s="22"/>
      <c r="F1873" s="22"/>
      <c r="G1873" s="31"/>
      <c r="J1873" s="23"/>
      <c r="K1873" s="27"/>
    </row>
    <row r="1874" spans="1:11" x14ac:dyDescent="0.25">
      <c r="A1874" s="77"/>
      <c r="B1874" s="69"/>
      <c r="C1874" s="71"/>
      <c r="E1874" s="22"/>
      <c r="F1874" s="22"/>
      <c r="G1874" s="31"/>
      <c r="J1874" s="23"/>
      <c r="K1874" s="27"/>
    </row>
    <row r="1875" spans="1:11" x14ac:dyDescent="0.25">
      <c r="A1875" s="77"/>
      <c r="B1875" s="69"/>
      <c r="C1875" s="71"/>
      <c r="E1875" s="22"/>
      <c r="F1875" s="22"/>
      <c r="G1875" s="31"/>
      <c r="J1875" s="23"/>
      <c r="K1875" s="27"/>
    </row>
    <row r="1876" spans="1:11" x14ac:dyDescent="0.25">
      <c r="A1876" s="77"/>
      <c r="B1876" s="69"/>
      <c r="C1876" s="71"/>
      <c r="E1876" s="22"/>
      <c r="F1876" s="22"/>
      <c r="G1876" s="31"/>
      <c r="J1876" s="23"/>
      <c r="K1876" s="27"/>
    </row>
    <row r="1877" spans="1:11" x14ac:dyDescent="0.25">
      <c r="A1877" s="77"/>
      <c r="B1877" s="69"/>
      <c r="C1877" s="71"/>
      <c r="E1877" s="22"/>
      <c r="F1877" s="22"/>
      <c r="G1877" s="31"/>
      <c r="J1877" s="23"/>
      <c r="K1877" s="27"/>
    </row>
    <row r="1878" spans="1:11" x14ac:dyDescent="0.25">
      <c r="A1878" s="77"/>
      <c r="B1878" s="69"/>
      <c r="C1878" s="71"/>
      <c r="E1878" s="22"/>
      <c r="F1878" s="22"/>
      <c r="G1878" s="31"/>
      <c r="J1878" s="23"/>
      <c r="K1878" s="27"/>
    </row>
    <row r="1879" spans="1:11" x14ac:dyDescent="0.25">
      <c r="A1879" s="77"/>
      <c r="B1879" s="69"/>
      <c r="C1879" s="71"/>
      <c r="E1879" s="22"/>
      <c r="F1879" s="22"/>
      <c r="G1879" s="31"/>
      <c r="J1879" s="23"/>
      <c r="K1879" s="27"/>
    </row>
    <row r="1880" spans="1:11" x14ac:dyDescent="0.25">
      <c r="A1880" s="77"/>
      <c r="B1880" s="69"/>
      <c r="C1880" s="71"/>
      <c r="E1880" s="22"/>
      <c r="F1880" s="22"/>
      <c r="G1880" s="31"/>
      <c r="J1880" s="23"/>
      <c r="K1880" s="27"/>
    </row>
    <row r="1881" spans="1:11" x14ac:dyDescent="0.25">
      <c r="A1881" s="77"/>
      <c r="B1881" s="69"/>
      <c r="C1881" s="71"/>
      <c r="E1881" s="22"/>
      <c r="F1881" s="22"/>
      <c r="G1881" s="31"/>
      <c r="J1881" s="23"/>
      <c r="K1881" s="27"/>
    </row>
    <row r="1882" spans="1:11" x14ac:dyDescent="0.25">
      <c r="A1882" s="77"/>
      <c r="B1882" s="69"/>
      <c r="C1882" s="71"/>
      <c r="E1882" s="22"/>
      <c r="F1882" s="22"/>
      <c r="G1882" s="31"/>
      <c r="J1882" s="23"/>
      <c r="K1882" s="27"/>
    </row>
    <row r="1883" spans="1:11" x14ac:dyDescent="0.25">
      <c r="A1883" s="77"/>
      <c r="B1883" s="69"/>
      <c r="C1883" s="71"/>
      <c r="E1883" s="22"/>
      <c r="F1883" s="22"/>
      <c r="G1883" s="31"/>
      <c r="J1883" s="23"/>
      <c r="K1883" s="27"/>
    </row>
    <row r="1884" spans="1:11" x14ac:dyDescent="0.25">
      <c r="A1884" s="77"/>
      <c r="B1884" s="69"/>
      <c r="C1884" s="71"/>
      <c r="E1884" s="22"/>
      <c r="F1884" s="22"/>
      <c r="G1884" s="31"/>
      <c r="J1884" s="23"/>
      <c r="K1884" s="27"/>
    </row>
    <row r="1885" spans="1:11" x14ac:dyDescent="0.25">
      <c r="A1885" s="77"/>
      <c r="B1885" s="69"/>
      <c r="C1885" s="71"/>
      <c r="E1885" s="22"/>
      <c r="F1885" s="22"/>
      <c r="G1885" s="31"/>
      <c r="J1885" s="23"/>
      <c r="K1885" s="27"/>
    </row>
    <row r="1886" spans="1:11" x14ac:dyDescent="0.25">
      <c r="A1886" s="77"/>
      <c r="B1886" s="69"/>
      <c r="C1886" s="71"/>
      <c r="E1886" s="22"/>
      <c r="F1886" s="22"/>
      <c r="G1886" s="31"/>
      <c r="J1886" s="23"/>
      <c r="K1886" s="27"/>
    </row>
    <row r="1887" spans="1:11" x14ac:dyDescent="0.25">
      <c r="A1887" s="77"/>
      <c r="B1887" s="69"/>
      <c r="C1887" s="71"/>
      <c r="E1887" s="22"/>
      <c r="F1887" s="22"/>
      <c r="G1887" s="31"/>
      <c r="J1887" s="23"/>
      <c r="K1887" s="27"/>
    </row>
    <row r="1888" spans="1:11" x14ac:dyDescent="0.25">
      <c r="A1888" s="77"/>
      <c r="B1888" s="69"/>
      <c r="C1888" s="71"/>
      <c r="E1888" s="22"/>
      <c r="F1888" s="22"/>
      <c r="G1888" s="31"/>
      <c r="J1888" s="23"/>
      <c r="K1888" s="27"/>
    </row>
    <row r="1889" spans="1:11" x14ac:dyDescent="0.25">
      <c r="A1889" s="77"/>
      <c r="B1889" s="69"/>
      <c r="C1889" s="71"/>
      <c r="E1889" s="22"/>
      <c r="F1889" s="22"/>
      <c r="G1889" s="31"/>
      <c r="J1889" s="23"/>
      <c r="K1889" s="27"/>
    </row>
    <row r="1890" spans="1:11" x14ac:dyDescent="0.25">
      <c r="A1890" s="77"/>
      <c r="B1890" s="69"/>
      <c r="C1890" s="71"/>
      <c r="E1890" s="22"/>
      <c r="F1890" s="22"/>
      <c r="G1890" s="31"/>
      <c r="J1890" s="23"/>
      <c r="K1890" s="27"/>
    </row>
    <row r="1891" spans="1:11" x14ac:dyDescent="0.25">
      <c r="A1891" s="77"/>
      <c r="B1891" s="69"/>
      <c r="C1891" s="71"/>
      <c r="E1891" s="22"/>
      <c r="F1891" s="22"/>
      <c r="G1891" s="31"/>
      <c r="J1891" s="23"/>
      <c r="K1891" s="27"/>
    </row>
    <row r="1892" spans="1:11" x14ac:dyDescent="0.25">
      <c r="A1892" s="77"/>
      <c r="B1892" s="69"/>
      <c r="C1892" s="71"/>
      <c r="E1892" s="22"/>
      <c r="F1892" s="22"/>
      <c r="G1892" s="31"/>
      <c r="J1892" s="23"/>
      <c r="K1892" s="27"/>
    </row>
    <row r="1893" spans="1:11" x14ac:dyDescent="0.25">
      <c r="A1893" s="77"/>
      <c r="B1893" s="69"/>
      <c r="C1893" s="71"/>
      <c r="E1893" s="22"/>
      <c r="F1893" s="22"/>
      <c r="G1893" s="31"/>
      <c r="J1893" s="23"/>
      <c r="K1893" s="27"/>
    </row>
    <row r="1894" spans="1:11" x14ac:dyDescent="0.25">
      <c r="A1894" s="77"/>
      <c r="B1894" s="69"/>
      <c r="C1894" s="71"/>
      <c r="E1894" s="22"/>
      <c r="F1894" s="22"/>
      <c r="G1894" s="31"/>
      <c r="J1894" s="23"/>
      <c r="K1894" s="27"/>
    </row>
    <row r="1895" spans="1:11" x14ac:dyDescent="0.25">
      <c r="A1895" s="77"/>
      <c r="B1895" s="69"/>
      <c r="C1895" s="71"/>
      <c r="E1895" s="22"/>
      <c r="F1895" s="22"/>
      <c r="G1895" s="31"/>
      <c r="J1895" s="23"/>
      <c r="K1895" s="27"/>
    </row>
    <row r="1896" spans="1:11" x14ac:dyDescent="0.25">
      <c r="A1896" s="77"/>
      <c r="B1896" s="69"/>
      <c r="C1896" s="71"/>
      <c r="E1896" s="22"/>
      <c r="F1896" s="22"/>
      <c r="G1896" s="31"/>
      <c r="J1896" s="23"/>
      <c r="K1896" s="27"/>
    </row>
    <row r="1897" spans="1:11" x14ac:dyDescent="0.25">
      <c r="A1897" s="77"/>
      <c r="B1897" s="69"/>
      <c r="C1897" s="71"/>
      <c r="E1897" s="22"/>
      <c r="F1897" s="22"/>
      <c r="G1897" s="31"/>
      <c r="J1897" s="23"/>
      <c r="K1897" s="27"/>
    </row>
    <row r="1898" spans="1:11" x14ac:dyDescent="0.25">
      <c r="A1898" s="77"/>
      <c r="B1898" s="69"/>
      <c r="C1898" s="71"/>
      <c r="E1898" s="22"/>
      <c r="F1898" s="22"/>
      <c r="G1898" s="31"/>
      <c r="J1898" s="23"/>
      <c r="K1898" s="27"/>
    </row>
    <row r="1899" spans="1:11" x14ac:dyDescent="0.25">
      <c r="A1899" s="77"/>
      <c r="B1899" s="69"/>
      <c r="C1899" s="71"/>
      <c r="E1899" s="22"/>
      <c r="F1899" s="22"/>
      <c r="G1899" s="31"/>
      <c r="J1899" s="23"/>
      <c r="K1899" s="27"/>
    </row>
    <row r="1900" spans="1:11" x14ac:dyDescent="0.25">
      <c r="A1900" s="77"/>
      <c r="B1900" s="69"/>
      <c r="C1900" s="71"/>
      <c r="E1900" s="22"/>
      <c r="F1900" s="22"/>
      <c r="G1900" s="31"/>
      <c r="J1900" s="23"/>
      <c r="K1900" s="27"/>
    </row>
    <row r="1901" spans="1:11" x14ac:dyDescent="0.25">
      <c r="A1901" s="77"/>
      <c r="B1901" s="69"/>
      <c r="C1901" s="71"/>
      <c r="E1901" s="22"/>
      <c r="F1901" s="22"/>
      <c r="G1901" s="31"/>
      <c r="J1901" s="23"/>
      <c r="K1901" s="27"/>
    </row>
    <row r="1902" spans="1:11" x14ac:dyDescent="0.25">
      <c r="A1902" s="77"/>
      <c r="B1902" s="69"/>
      <c r="C1902" s="71"/>
      <c r="E1902" s="22"/>
      <c r="F1902" s="22"/>
      <c r="G1902" s="31"/>
      <c r="J1902" s="23"/>
      <c r="K1902" s="27"/>
    </row>
    <row r="1903" spans="1:11" x14ac:dyDescent="0.25">
      <c r="A1903" s="77"/>
      <c r="B1903" s="69"/>
      <c r="C1903" s="71"/>
      <c r="E1903" s="22"/>
      <c r="F1903" s="22"/>
      <c r="G1903" s="31"/>
      <c r="J1903" s="23"/>
      <c r="K1903" s="27"/>
    </row>
    <row r="1904" spans="1:11" x14ac:dyDescent="0.25">
      <c r="A1904" s="77"/>
      <c r="B1904" s="69"/>
      <c r="C1904" s="71"/>
      <c r="E1904" s="22"/>
      <c r="F1904" s="22"/>
      <c r="G1904" s="31"/>
      <c r="J1904" s="23"/>
      <c r="K1904" s="27"/>
    </row>
    <row r="1905" spans="1:11" x14ac:dyDescent="0.25">
      <c r="A1905" s="77"/>
      <c r="B1905" s="69"/>
      <c r="C1905" s="71"/>
      <c r="E1905" s="22"/>
      <c r="F1905" s="22"/>
      <c r="G1905" s="31"/>
      <c r="J1905" s="23"/>
      <c r="K1905" s="27"/>
    </row>
    <row r="1906" spans="1:11" x14ac:dyDescent="0.25">
      <c r="A1906" s="77"/>
      <c r="B1906" s="69"/>
      <c r="C1906" s="71"/>
      <c r="E1906" s="22"/>
      <c r="F1906" s="22"/>
      <c r="G1906" s="31"/>
      <c r="J1906" s="23"/>
      <c r="K1906" s="27"/>
    </row>
    <row r="1907" spans="1:11" x14ac:dyDescent="0.25">
      <c r="A1907" s="77"/>
      <c r="B1907" s="69"/>
      <c r="C1907" s="71"/>
      <c r="E1907" s="22"/>
      <c r="F1907" s="22"/>
      <c r="G1907" s="31"/>
      <c r="J1907" s="23"/>
      <c r="K1907" s="27"/>
    </row>
    <row r="1908" spans="1:11" x14ac:dyDescent="0.25">
      <c r="A1908" s="77"/>
      <c r="B1908" s="69"/>
      <c r="C1908" s="71"/>
      <c r="E1908" s="22"/>
      <c r="F1908" s="22"/>
      <c r="G1908" s="31"/>
      <c r="J1908" s="23"/>
      <c r="K1908" s="27"/>
    </row>
    <row r="1909" spans="1:11" x14ac:dyDescent="0.25">
      <c r="A1909" s="77"/>
      <c r="B1909" s="69"/>
      <c r="C1909" s="71"/>
      <c r="E1909" s="22"/>
      <c r="F1909" s="22"/>
      <c r="G1909" s="31"/>
      <c r="J1909" s="23"/>
      <c r="K1909" s="27"/>
    </row>
    <row r="1910" spans="1:11" x14ac:dyDescent="0.25">
      <c r="A1910" s="77"/>
      <c r="B1910" s="69"/>
      <c r="C1910" s="71"/>
      <c r="E1910" s="22"/>
      <c r="F1910" s="22"/>
      <c r="G1910" s="31"/>
      <c r="J1910" s="23"/>
      <c r="K1910" s="27"/>
    </row>
    <row r="1911" spans="1:11" x14ac:dyDescent="0.25">
      <c r="A1911" s="77"/>
      <c r="B1911" s="69"/>
      <c r="C1911" s="71"/>
      <c r="E1911" s="22"/>
      <c r="F1911" s="22"/>
      <c r="G1911" s="31"/>
      <c r="J1911" s="23"/>
      <c r="K1911" s="27"/>
    </row>
    <row r="1912" spans="1:11" x14ac:dyDescent="0.25">
      <c r="A1912" s="77"/>
      <c r="B1912" s="69"/>
      <c r="C1912" s="71"/>
      <c r="E1912" s="22"/>
      <c r="F1912" s="22"/>
      <c r="G1912" s="31"/>
      <c r="J1912" s="23"/>
      <c r="K1912" s="27"/>
    </row>
    <row r="1913" spans="1:11" x14ac:dyDescent="0.25">
      <c r="A1913" s="77"/>
      <c r="B1913" s="69"/>
      <c r="C1913" s="71"/>
      <c r="E1913" s="22"/>
      <c r="F1913" s="22"/>
      <c r="G1913" s="31"/>
      <c r="J1913" s="23"/>
      <c r="K1913" s="27"/>
    </row>
    <row r="1914" spans="1:11" x14ac:dyDescent="0.25">
      <c r="A1914" s="77"/>
      <c r="B1914" s="69"/>
      <c r="C1914" s="71"/>
      <c r="E1914" s="22"/>
      <c r="F1914" s="22"/>
      <c r="G1914" s="31"/>
      <c r="J1914" s="23"/>
      <c r="K1914" s="27"/>
    </row>
    <row r="1915" spans="1:11" x14ac:dyDescent="0.25">
      <c r="A1915" s="77"/>
      <c r="B1915" s="69"/>
      <c r="C1915" s="71"/>
      <c r="E1915" s="22"/>
      <c r="F1915" s="22"/>
      <c r="G1915" s="31"/>
      <c r="J1915" s="23"/>
      <c r="K1915" s="27"/>
    </row>
    <row r="1916" spans="1:11" x14ac:dyDescent="0.25">
      <c r="A1916" s="77"/>
      <c r="B1916" s="69"/>
      <c r="C1916" s="71"/>
      <c r="E1916" s="22"/>
      <c r="F1916" s="22"/>
      <c r="G1916" s="31"/>
      <c r="J1916" s="23"/>
      <c r="K1916" s="27"/>
    </row>
    <row r="1917" spans="1:11" x14ac:dyDescent="0.25">
      <c r="A1917" s="77"/>
      <c r="B1917" s="69"/>
      <c r="C1917" s="71"/>
      <c r="E1917" s="22"/>
      <c r="F1917" s="22"/>
      <c r="G1917" s="31"/>
      <c r="J1917" s="23"/>
      <c r="K1917" s="27"/>
    </row>
    <row r="1918" spans="1:11" x14ac:dyDescent="0.25">
      <c r="A1918" s="77"/>
      <c r="B1918" s="69"/>
      <c r="C1918" s="71"/>
      <c r="E1918" s="22"/>
      <c r="F1918" s="22"/>
      <c r="G1918" s="31"/>
      <c r="J1918" s="23"/>
      <c r="K1918" s="27"/>
    </row>
    <row r="1919" spans="1:11" x14ac:dyDescent="0.25">
      <c r="A1919" s="77"/>
      <c r="B1919" s="69"/>
      <c r="C1919" s="71"/>
      <c r="E1919" s="22"/>
      <c r="F1919" s="22"/>
      <c r="G1919" s="31"/>
      <c r="J1919" s="23"/>
      <c r="K1919" s="27"/>
    </row>
    <row r="1920" spans="1:11" x14ac:dyDescent="0.25">
      <c r="A1920" s="77"/>
      <c r="B1920" s="69"/>
      <c r="C1920" s="71"/>
      <c r="E1920" s="22"/>
      <c r="F1920" s="22"/>
      <c r="G1920" s="31"/>
      <c r="J1920" s="23"/>
      <c r="K1920" s="27"/>
    </row>
    <row r="1921" spans="1:11" x14ac:dyDescent="0.25">
      <c r="A1921" s="77"/>
      <c r="B1921" s="69"/>
      <c r="C1921" s="71"/>
      <c r="E1921" s="22"/>
      <c r="F1921" s="22"/>
      <c r="G1921" s="31"/>
      <c r="J1921" s="23"/>
      <c r="K1921" s="27"/>
    </row>
    <row r="1922" spans="1:11" x14ac:dyDescent="0.25">
      <c r="A1922" s="77"/>
      <c r="B1922" s="69"/>
      <c r="C1922" s="71"/>
      <c r="E1922" s="22"/>
      <c r="F1922" s="22"/>
      <c r="G1922" s="31"/>
      <c r="J1922" s="23"/>
      <c r="K1922" s="27"/>
    </row>
    <row r="1923" spans="1:11" x14ac:dyDescent="0.25">
      <c r="A1923" s="77"/>
      <c r="B1923" s="69"/>
      <c r="C1923" s="71"/>
      <c r="E1923" s="22"/>
      <c r="F1923" s="22"/>
      <c r="G1923" s="31"/>
      <c r="J1923" s="23"/>
      <c r="K1923" s="27"/>
    </row>
    <row r="1924" spans="1:11" x14ac:dyDescent="0.25">
      <c r="A1924" s="77"/>
      <c r="B1924" s="69"/>
      <c r="C1924" s="71"/>
      <c r="E1924" s="22"/>
      <c r="F1924" s="22"/>
      <c r="G1924" s="31"/>
      <c r="J1924" s="23"/>
      <c r="K1924" s="27"/>
    </row>
    <row r="1925" spans="1:11" x14ac:dyDescent="0.25">
      <c r="A1925" s="77"/>
      <c r="B1925" s="69"/>
      <c r="C1925" s="71"/>
      <c r="E1925" s="22"/>
      <c r="F1925" s="22"/>
      <c r="G1925" s="31"/>
      <c r="J1925" s="23"/>
      <c r="K1925" s="27"/>
    </row>
    <row r="1926" spans="1:11" x14ac:dyDescent="0.25">
      <c r="A1926" s="77"/>
      <c r="B1926" s="69"/>
      <c r="C1926" s="71"/>
      <c r="E1926" s="22"/>
      <c r="F1926" s="22"/>
      <c r="G1926" s="31"/>
      <c r="J1926" s="23"/>
      <c r="K1926" s="27"/>
    </row>
    <row r="1927" spans="1:11" x14ac:dyDescent="0.25">
      <c r="A1927" s="77"/>
      <c r="B1927" s="69"/>
      <c r="C1927" s="71"/>
      <c r="E1927" s="22"/>
      <c r="F1927" s="22"/>
      <c r="G1927" s="31"/>
      <c r="J1927" s="23"/>
      <c r="K1927" s="27"/>
    </row>
    <row r="1928" spans="1:11" x14ac:dyDescent="0.25">
      <c r="A1928" s="77"/>
      <c r="B1928" s="69"/>
      <c r="C1928" s="71"/>
      <c r="E1928" s="22"/>
      <c r="F1928" s="22"/>
      <c r="G1928" s="31"/>
      <c r="J1928" s="23"/>
      <c r="K1928" s="27"/>
    </row>
    <row r="1929" spans="1:11" x14ac:dyDescent="0.25">
      <c r="A1929" s="77"/>
      <c r="B1929" s="69"/>
      <c r="C1929" s="71"/>
      <c r="E1929" s="22"/>
      <c r="F1929" s="22"/>
      <c r="G1929" s="31"/>
      <c r="J1929" s="23"/>
      <c r="K1929" s="27"/>
    </row>
    <row r="1930" spans="1:11" x14ac:dyDescent="0.25">
      <c r="A1930" s="77"/>
      <c r="B1930" s="69"/>
      <c r="C1930" s="71"/>
      <c r="E1930" s="22"/>
      <c r="F1930" s="22"/>
      <c r="G1930" s="31"/>
      <c r="J1930" s="23"/>
      <c r="K1930" s="27"/>
    </row>
    <row r="1931" spans="1:11" x14ac:dyDescent="0.25">
      <c r="A1931" s="77"/>
      <c r="B1931" s="69"/>
      <c r="C1931" s="71"/>
      <c r="E1931" s="22"/>
      <c r="F1931" s="22"/>
      <c r="G1931" s="31"/>
      <c r="J1931" s="23"/>
      <c r="K1931" s="27"/>
    </row>
    <row r="1932" spans="1:11" x14ac:dyDescent="0.25">
      <c r="A1932" s="77"/>
      <c r="B1932" s="69"/>
      <c r="C1932" s="71"/>
      <c r="E1932" s="22"/>
      <c r="F1932" s="22"/>
      <c r="G1932" s="31"/>
      <c r="J1932" s="23"/>
      <c r="K1932" s="27"/>
    </row>
    <row r="1933" spans="1:11" x14ac:dyDescent="0.25">
      <c r="A1933" s="77"/>
      <c r="B1933" s="69"/>
      <c r="C1933" s="71"/>
      <c r="E1933" s="22"/>
      <c r="F1933" s="22"/>
      <c r="G1933" s="31"/>
      <c r="J1933" s="23"/>
      <c r="K1933" s="27"/>
    </row>
    <row r="1934" spans="1:11" x14ac:dyDescent="0.25">
      <c r="A1934" s="77"/>
      <c r="B1934" s="69"/>
      <c r="C1934" s="71"/>
      <c r="E1934" s="22"/>
      <c r="F1934" s="22"/>
      <c r="G1934" s="31"/>
      <c r="J1934" s="23"/>
      <c r="K1934" s="27"/>
    </row>
    <row r="1935" spans="1:11" x14ac:dyDescent="0.25">
      <c r="A1935" s="77"/>
      <c r="B1935" s="69"/>
      <c r="C1935" s="71"/>
      <c r="E1935" s="22"/>
      <c r="F1935" s="22"/>
      <c r="G1935" s="31"/>
      <c r="J1935" s="23"/>
      <c r="K1935" s="27"/>
    </row>
    <row r="1936" spans="1:11" x14ac:dyDescent="0.25">
      <c r="A1936" s="77"/>
      <c r="B1936" s="69"/>
      <c r="C1936" s="71"/>
      <c r="E1936" s="22"/>
      <c r="F1936" s="22"/>
      <c r="G1936" s="31"/>
      <c r="J1936" s="23"/>
      <c r="K1936" s="27"/>
    </row>
    <row r="1937" spans="1:11" x14ac:dyDescent="0.25">
      <c r="A1937" s="77"/>
      <c r="B1937" s="69"/>
      <c r="C1937" s="71"/>
      <c r="E1937" s="22"/>
      <c r="F1937" s="22"/>
      <c r="G1937" s="31"/>
      <c r="J1937" s="23"/>
      <c r="K1937" s="27"/>
    </row>
    <row r="1938" spans="1:11" x14ac:dyDescent="0.25">
      <c r="A1938" s="77"/>
      <c r="B1938" s="69"/>
      <c r="C1938" s="71"/>
      <c r="E1938" s="22"/>
      <c r="F1938" s="22"/>
      <c r="G1938" s="31"/>
      <c r="J1938" s="23"/>
      <c r="K1938" s="27"/>
    </row>
    <row r="1939" spans="1:11" x14ac:dyDescent="0.25">
      <c r="A1939" s="77"/>
      <c r="B1939" s="69"/>
      <c r="C1939" s="71"/>
      <c r="E1939" s="22"/>
      <c r="F1939" s="22"/>
      <c r="G1939" s="31"/>
      <c r="J1939" s="23"/>
      <c r="K1939" s="27"/>
    </row>
    <row r="1940" spans="1:11" x14ac:dyDescent="0.25">
      <c r="A1940" s="77"/>
      <c r="B1940" s="69"/>
      <c r="C1940" s="71"/>
      <c r="E1940" s="22"/>
      <c r="F1940" s="22"/>
      <c r="G1940" s="31"/>
      <c r="J1940" s="23"/>
      <c r="K1940" s="27"/>
    </row>
    <row r="1941" spans="1:11" x14ac:dyDescent="0.25">
      <c r="A1941" s="77"/>
      <c r="B1941" s="69"/>
      <c r="C1941" s="71"/>
      <c r="E1941" s="22"/>
      <c r="F1941" s="22"/>
      <c r="G1941" s="31"/>
      <c r="J1941" s="23"/>
      <c r="K1941" s="27"/>
    </row>
    <row r="1942" spans="1:11" x14ac:dyDescent="0.25">
      <c r="A1942" s="77"/>
      <c r="B1942" s="69"/>
      <c r="C1942" s="71"/>
      <c r="E1942" s="22"/>
      <c r="F1942" s="22"/>
      <c r="G1942" s="31"/>
      <c r="J1942" s="23"/>
      <c r="K1942" s="27"/>
    </row>
    <row r="1943" spans="1:11" x14ac:dyDescent="0.25">
      <c r="A1943" s="77"/>
      <c r="B1943" s="69"/>
      <c r="C1943" s="71"/>
      <c r="E1943" s="22"/>
      <c r="F1943" s="22"/>
      <c r="G1943" s="31"/>
      <c r="J1943" s="23"/>
      <c r="K1943" s="27"/>
    </row>
    <row r="1944" spans="1:11" x14ac:dyDescent="0.25">
      <c r="A1944" s="77"/>
      <c r="B1944" s="69"/>
      <c r="C1944" s="71"/>
      <c r="E1944" s="22"/>
      <c r="F1944" s="22"/>
      <c r="G1944" s="31"/>
      <c r="J1944" s="23"/>
      <c r="K1944" s="27"/>
    </row>
    <row r="1945" spans="1:11" x14ac:dyDescent="0.25">
      <c r="A1945" s="77"/>
      <c r="B1945" s="69"/>
      <c r="C1945" s="71"/>
      <c r="E1945" s="22"/>
      <c r="F1945" s="22"/>
      <c r="G1945" s="31"/>
      <c r="J1945" s="23"/>
      <c r="K1945" s="27"/>
    </row>
    <row r="1946" spans="1:11" x14ac:dyDescent="0.25">
      <c r="A1946" s="77"/>
      <c r="B1946" s="69"/>
      <c r="C1946" s="71"/>
      <c r="E1946" s="22"/>
      <c r="F1946" s="22"/>
      <c r="G1946" s="31"/>
      <c r="J1946" s="23"/>
      <c r="K1946" s="27"/>
    </row>
    <row r="1947" spans="1:11" x14ac:dyDescent="0.25">
      <c r="A1947" s="77"/>
      <c r="B1947" s="69"/>
      <c r="C1947" s="71"/>
      <c r="E1947" s="22"/>
      <c r="F1947" s="22"/>
      <c r="G1947" s="31"/>
      <c r="J1947" s="23"/>
      <c r="K1947" s="27"/>
    </row>
    <row r="1948" spans="1:11" x14ac:dyDescent="0.25">
      <c r="A1948" s="77"/>
      <c r="B1948" s="69"/>
      <c r="C1948" s="71"/>
      <c r="E1948" s="22"/>
      <c r="F1948" s="22"/>
      <c r="G1948" s="31"/>
      <c r="J1948" s="23"/>
      <c r="K1948" s="27"/>
    </row>
    <row r="1949" spans="1:11" x14ac:dyDescent="0.25">
      <c r="A1949" s="77"/>
      <c r="B1949" s="69"/>
      <c r="C1949" s="71"/>
      <c r="E1949" s="22"/>
      <c r="F1949" s="22"/>
      <c r="G1949" s="31"/>
      <c r="J1949" s="23"/>
      <c r="K1949" s="27"/>
    </row>
    <row r="1950" spans="1:11" x14ac:dyDescent="0.25">
      <c r="A1950" s="77"/>
      <c r="B1950" s="69"/>
      <c r="C1950" s="71"/>
      <c r="E1950" s="22"/>
      <c r="F1950" s="22"/>
      <c r="G1950" s="31"/>
      <c r="J1950" s="23"/>
      <c r="K1950" s="27"/>
    </row>
    <row r="1951" spans="1:11" x14ac:dyDescent="0.25">
      <c r="A1951" s="77"/>
      <c r="B1951" s="69"/>
      <c r="C1951" s="71"/>
      <c r="E1951" s="22"/>
      <c r="F1951" s="22"/>
      <c r="G1951" s="31"/>
      <c r="J1951" s="23"/>
      <c r="K1951" s="27"/>
    </row>
    <row r="1952" spans="1:11" x14ac:dyDescent="0.25">
      <c r="A1952" s="77"/>
      <c r="B1952" s="69"/>
      <c r="C1952" s="71"/>
      <c r="E1952" s="22"/>
      <c r="F1952" s="22"/>
      <c r="G1952" s="31"/>
      <c r="J1952" s="23"/>
      <c r="K1952" s="27"/>
    </row>
    <row r="1953" spans="1:11" x14ac:dyDescent="0.25">
      <c r="A1953" s="77"/>
      <c r="B1953" s="69"/>
      <c r="C1953" s="71"/>
      <c r="E1953" s="22"/>
      <c r="F1953" s="22"/>
      <c r="G1953" s="31"/>
      <c r="J1953" s="23"/>
      <c r="K1953" s="27"/>
    </row>
    <row r="1954" spans="1:11" x14ac:dyDescent="0.25">
      <c r="A1954" s="77"/>
      <c r="B1954" s="69"/>
      <c r="C1954" s="71"/>
      <c r="E1954" s="22"/>
      <c r="F1954" s="22"/>
      <c r="G1954" s="31"/>
      <c r="J1954" s="23"/>
      <c r="K1954" s="27"/>
    </row>
    <row r="1955" spans="1:11" x14ac:dyDescent="0.25">
      <c r="A1955" s="77"/>
      <c r="B1955" s="69"/>
      <c r="C1955" s="71"/>
      <c r="E1955" s="22"/>
      <c r="F1955" s="22"/>
      <c r="G1955" s="31"/>
      <c r="J1955" s="23"/>
      <c r="K1955" s="27"/>
    </row>
    <row r="1956" spans="1:11" x14ac:dyDescent="0.25">
      <c r="A1956" s="77"/>
      <c r="B1956" s="69"/>
      <c r="C1956" s="71"/>
      <c r="E1956" s="22"/>
      <c r="F1956" s="22"/>
      <c r="G1956" s="31"/>
      <c r="J1956" s="23"/>
      <c r="K1956" s="27"/>
    </row>
    <row r="1957" spans="1:11" x14ac:dyDescent="0.25">
      <c r="A1957" s="77"/>
      <c r="B1957" s="69"/>
      <c r="C1957" s="71"/>
      <c r="E1957" s="22"/>
      <c r="F1957" s="22"/>
      <c r="G1957" s="31"/>
      <c r="J1957" s="23"/>
      <c r="K1957" s="27"/>
    </row>
    <row r="1958" spans="1:11" x14ac:dyDescent="0.25">
      <c r="A1958" s="77"/>
      <c r="B1958" s="69"/>
      <c r="C1958" s="71"/>
      <c r="E1958" s="22"/>
      <c r="F1958" s="22"/>
      <c r="G1958" s="31"/>
      <c r="J1958" s="23"/>
      <c r="K1958" s="27"/>
    </row>
    <row r="1959" spans="1:11" x14ac:dyDescent="0.25">
      <c r="A1959" s="77"/>
      <c r="B1959" s="69"/>
      <c r="C1959" s="71"/>
      <c r="E1959" s="22"/>
      <c r="F1959" s="22"/>
      <c r="G1959" s="31"/>
      <c r="J1959" s="23"/>
      <c r="K1959" s="27"/>
    </row>
    <row r="1960" spans="1:11" x14ac:dyDescent="0.25">
      <c r="A1960" s="77"/>
      <c r="B1960" s="69"/>
      <c r="C1960" s="71"/>
      <c r="E1960" s="22"/>
      <c r="F1960" s="22"/>
      <c r="G1960" s="31"/>
      <c r="J1960" s="23"/>
      <c r="K1960" s="27"/>
    </row>
    <row r="1961" spans="1:11" x14ac:dyDescent="0.25">
      <c r="A1961" s="77"/>
      <c r="B1961" s="69"/>
      <c r="C1961" s="71"/>
      <c r="E1961" s="22"/>
      <c r="F1961" s="22"/>
      <c r="G1961" s="31"/>
      <c r="J1961" s="23"/>
      <c r="K1961" s="27"/>
    </row>
    <row r="1962" spans="1:11" x14ac:dyDescent="0.25">
      <c r="A1962" s="77"/>
      <c r="B1962" s="69"/>
      <c r="C1962" s="71"/>
      <c r="E1962" s="22"/>
      <c r="F1962" s="22"/>
      <c r="G1962" s="31"/>
      <c r="J1962" s="23"/>
      <c r="K1962" s="27"/>
    </row>
    <row r="1963" spans="1:11" x14ac:dyDescent="0.25">
      <c r="A1963" s="77"/>
      <c r="B1963" s="69"/>
      <c r="C1963" s="71"/>
      <c r="E1963" s="22"/>
      <c r="F1963" s="22"/>
      <c r="G1963" s="31"/>
      <c r="J1963" s="23"/>
      <c r="K1963" s="27"/>
    </row>
    <row r="1964" spans="1:11" x14ac:dyDescent="0.25">
      <c r="A1964" s="77"/>
      <c r="B1964" s="69"/>
      <c r="C1964" s="71"/>
      <c r="E1964" s="22"/>
      <c r="F1964" s="22"/>
      <c r="G1964" s="31"/>
      <c r="J1964" s="23"/>
      <c r="K1964" s="27"/>
    </row>
    <row r="1965" spans="1:11" x14ac:dyDescent="0.25">
      <c r="A1965" s="77"/>
      <c r="B1965" s="69"/>
      <c r="C1965" s="71"/>
      <c r="E1965" s="22"/>
      <c r="F1965" s="22"/>
      <c r="G1965" s="31"/>
      <c r="J1965" s="23"/>
      <c r="K1965" s="27"/>
    </row>
    <row r="1966" spans="1:11" x14ac:dyDescent="0.25">
      <c r="A1966" s="77"/>
      <c r="B1966" s="69"/>
      <c r="C1966" s="71"/>
      <c r="E1966" s="22"/>
      <c r="F1966" s="22"/>
      <c r="G1966" s="31"/>
      <c r="J1966" s="23"/>
      <c r="K1966" s="27"/>
    </row>
    <row r="1967" spans="1:11" x14ac:dyDescent="0.25">
      <c r="A1967" s="77"/>
      <c r="B1967" s="69"/>
      <c r="C1967" s="71"/>
      <c r="E1967" s="22"/>
      <c r="F1967" s="22"/>
      <c r="G1967" s="31"/>
      <c r="J1967" s="23"/>
      <c r="K1967" s="27"/>
    </row>
    <row r="1968" spans="1:11" x14ac:dyDescent="0.25">
      <c r="A1968" s="77"/>
      <c r="B1968" s="69"/>
      <c r="C1968" s="71"/>
      <c r="E1968" s="22"/>
      <c r="F1968" s="22"/>
      <c r="G1968" s="31"/>
      <c r="J1968" s="23"/>
      <c r="K1968" s="27"/>
    </row>
    <row r="1969" spans="1:11" x14ac:dyDescent="0.25">
      <c r="A1969" s="77"/>
      <c r="B1969" s="69"/>
      <c r="C1969" s="71"/>
      <c r="E1969" s="22"/>
      <c r="F1969" s="22"/>
      <c r="G1969" s="31"/>
      <c r="J1969" s="23"/>
      <c r="K1969" s="27"/>
    </row>
    <row r="1970" spans="1:11" x14ac:dyDescent="0.25">
      <c r="A1970" s="77"/>
      <c r="B1970" s="69"/>
      <c r="C1970" s="71"/>
      <c r="E1970" s="22"/>
      <c r="F1970" s="22"/>
      <c r="G1970" s="31"/>
      <c r="J1970" s="23"/>
      <c r="K1970" s="27"/>
    </row>
    <row r="1971" spans="1:11" x14ac:dyDescent="0.25">
      <c r="A1971" s="77"/>
      <c r="B1971" s="69"/>
      <c r="C1971" s="71"/>
      <c r="E1971" s="22"/>
      <c r="F1971" s="22"/>
      <c r="G1971" s="31"/>
      <c r="J1971" s="23"/>
      <c r="K1971" s="27"/>
    </row>
    <row r="1972" spans="1:11" x14ac:dyDescent="0.25">
      <c r="A1972" s="77"/>
      <c r="B1972" s="69"/>
      <c r="C1972" s="71"/>
      <c r="E1972" s="22"/>
      <c r="F1972" s="22"/>
      <c r="G1972" s="31"/>
      <c r="J1972" s="23"/>
      <c r="K1972" s="27"/>
    </row>
    <row r="1973" spans="1:11" x14ac:dyDescent="0.25">
      <c r="A1973" s="77"/>
      <c r="B1973" s="69"/>
      <c r="C1973" s="71"/>
      <c r="E1973" s="22"/>
      <c r="F1973" s="22"/>
      <c r="G1973" s="31"/>
      <c r="J1973" s="23"/>
      <c r="K1973" s="27"/>
    </row>
    <row r="1974" spans="1:11" x14ac:dyDescent="0.25">
      <c r="A1974" s="77"/>
      <c r="B1974" s="69"/>
      <c r="C1974" s="71"/>
      <c r="E1974" s="22"/>
      <c r="F1974" s="22"/>
      <c r="G1974" s="31"/>
      <c r="J1974" s="23"/>
      <c r="K1974" s="27"/>
    </row>
    <row r="1975" spans="1:11" x14ac:dyDescent="0.25">
      <c r="A1975" s="77"/>
      <c r="B1975" s="69"/>
      <c r="C1975" s="71"/>
      <c r="E1975" s="22"/>
      <c r="F1975" s="22"/>
      <c r="G1975" s="31"/>
      <c r="J1975" s="23"/>
      <c r="K1975" s="27"/>
    </row>
    <row r="1976" spans="1:11" x14ac:dyDescent="0.25">
      <c r="A1976" s="77"/>
      <c r="B1976" s="69"/>
      <c r="C1976" s="71"/>
      <c r="E1976" s="22"/>
      <c r="F1976" s="22"/>
      <c r="G1976" s="31"/>
      <c r="J1976" s="23"/>
      <c r="K1976" s="27"/>
    </row>
    <row r="1977" spans="1:11" x14ac:dyDescent="0.25">
      <c r="A1977" s="77"/>
      <c r="B1977" s="69"/>
      <c r="C1977" s="71"/>
      <c r="E1977" s="22"/>
      <c r="F1977" s="22"/>
      <c r="G1977" s="31"/>
      <c r="J1977" s="23"/>
      <c r="K1977" s="27"/>
    </row>
    <row r="1978" spans="1:11" x14ac:dyDescent="0.25">
      <c r="A1978" s="77"/>
      <c r="B1978" s="69"/>
      <c r="C1978" s="71"/>
      <c r="E1978" s="22"/>
      <c r="F1978" s="22"/>
      <c r="G1978" s="31"/>
      <c r="J1978" s="23"/>
      <c r="K1978" s="27"/>
    </row>
    <row r="1979" spans="1:11" x14ac:dyDescent="0.25">
      <c r="A1979" s="77"/>
      <c r="B1979" s="69"/>
      <c r="C1979" s="71"/>
      <c r="E1979" s="22"/>
      <c r="F1979" s="22"/>
      <c r="G1979" s="31"/>
      <c r="J1979" s="23"/>
      <c r="K1979" s="27"/>
    </row>
    <row r="1980" spans="1:11" x14ac:dyDescent="0.25">
      <c r="A1980" s="77"/>
      <c r="B1980" s="69"/>
      <c r="C1980" s="71"/>
      <c r="E1980" s="22"/>
      <c r="F1980" s="22"/>
      <c r="G1980" s="31"/>
      <c r="J1980" s="23"/>
      <c r="K1980" s="27"/>
    </row>
    <row r="1981" spans="1:11" x14ac:dyDescent="0.25">
      <c r="A1981" s="77"/>
      <c r="B1981" s="69"/>
      <c r="C1981" s="71"/>
      <c r="E1981" s="22"/>
      <c r="F1981" s="22"/>
      <c r="G1981" s="31"/>
      <c r="J1981" s="23"/>
      <c r="K1981" s="27"/>
    </row>
    <row r="1982" spans="1:11" x14ac:dyDescent="0.25">
      <c r="A1982" s="77"/>
      <c r="B1982" s="69"/>
      <c r="C1982" s="71"/>
      <c r="E1982" s="22"/>
      <c r="F1982" s="22"/>
      <c r="G1982" s="31"/>
      <c r="J1982" s="23"/>
      <c r="K1982" s="27"/>
    </row>
    <row r="1983" spans="1:11" x14ac:dyDescent="0.25">
      <c r="A1983" s="77"/>
      <c r="B1983" s="69"/>
      <c r="C1983" s="71"/>
      <c r="E1983" s="22"/>
      <c r="F1983" s="22"/>
      <c r="G1983" s="31"/>
      <c r="J1983" s="23"/>
      <c r="K1983" s="27"/>
    </row>
    <row r="1984" spans="1:11" x14ac:dyDescent="0.25">
      <c r="A1984" s="77"/>
      <c r="B1984" s="69"/>
      <c r="C1984" s="71"/>
      <c r="E1984" s="22"/>
      <c r="F1984" s="22"/>
      <c r="G1984" s="31"/>
      <c r="J1984" s="23"/>
      <c r="K1984" s="27"/>
    </row>
    <row r="1985" spans="1:11" x14ac:dyDescent="0.25">
      <c r="A1985" s="77"/>
      <c r="B1985" s="69"/>
      <c r="C1985" s="71"/>
      <c r="E1985" s="22"/>
      <c r="F1985" s="22"/>
      <c r="G1985" s="31"/>
      <c r="J1985" s="23"/>
      <c r="K1985" s="27"/>
    </row>
    <row r="1986" spans="1:11" x14ac:dyDescent="0.25">
      <c r="A1986" s="77"/>
      <c r="B1986" s="69"/>
      <c r="C1986" s="71"/>
      <c r="E1986" s="22"/>
      <c r="F1986" s="22"/>
      <c r="G1986" s="31"/>
      <c r="J1986" s="23"/>
      <c r="K1986" s="27"/>
    </row>
    <row r="1987" spans="1:11" x14ac:dyDescent="0.25">
      <c r="A1987" s="77"/>
      <c r="B1987" s="69"/>
      <c r="C1987" s="71"/>
      <c r="E1987" s="22"/>
      <c r="F1987" s="22"/>
      <c r="G1987" s="31"/>
      <c r="J1987" s="23"/>
      <c r="K1987" s="27"/>
    </row>
    <row r="1988" spans="1:11" x14ac:dyDescent="0.25">
      <c r="A1988" s="77"/>
      <c r="B1988" s="69"/>
      <c r="C1988" s="71"/>
      <c r="E1988" s="22"/>
      <c r="F1988" s="22"/>
      <c r="G1988" s="31"/>
      <c r="J1988" s="23"/>
      <c r="K1988" s="27"/>
    </row>
    <row r="1989" spans="1:11" x14ac:dyDescent="0.25">
      <c r="A1989" s="77"/>
      <c r="B1989" s="69"/>
      <c r="C1989" s="71"/>
      <c r="E1989" s="22"/>
      <c r="F1989" s="22"/>
      <c r="G1989" s="31"/>
      <c r="J1989" s="23"/>
      <c r="K1989" s="27"/>
    </row>
    <row r="1990" spans="1:11" x14ac:dyDescent="0.25">
      <c r="A1990" s="77"/>
      <c r="B1990" s="69"/>
      <c r="C1990" s="71"/>
      <c r="E1990" s="22"/>
      <c r="F1990" s="22"/>
      <c r="G1990" s="31"/>
      <c r="J1990" s="23"/>
      <c r="K1990" s="27"/>
    </row>
    <row r="1991" spans="1:11" x14ac:dyDescent="0.25">
      <c r="A1991" s="77"/>
      <c r="B1991" s="69"/>
      <c r="C1991" s="71"/>
      <c r="E1991" s="22"/>
      <c r="F1991" s="22"/>
      <c r="G1991" s="31"/>
      <c r="J1991" s="23"/>
      <c r="K1991" s="27"/>
    </row>
    <row r="1992" spans="1:11" x14ac:dyDescent="0.25">
      <c r="A1992" s="77"/>
      <c r="B1992" s="69"/>
      <c r="C1992" s="71"/>
      <c r="E1992" s="22"/>
      <c r="F1992" s="22"/>
      <c r="G1992" s="31"/>
      <c r="J1992" s="23"/>
      <c r="K1992" s="27"/>
    </row>
    <row r="1993" spans="1:11" x14ac:dyDescent="0.25">
      <c r="A1993" s="77"/>
      <c r="B1993" s="69"/>
      <c r="C1993" s="71"/>
      <c r="E1993" s="22"/>
      <c r="F1993" s="22"/>
      <c r="G1993" s="31"/>
      <c r="J1993" s="23"/>
      <c r="K1993" s="27"/>
    </row>
    <row r="1994" spans="1:11" x14ac:dyDescent="0.25">
      <c r="A1994" s="77"/>
      <c r="B1994" s="69"/>
      <c r="C1994" s="71"/>
      <c r="E1994" s="22"/>
      <c r="F1994" s="22"/>
      <c r="G1994" s="31"/>
      <c r="J1994" s="23"/>
      <c r="K1994" s="27"/>
    </row>
    <row r="1995" spans="1:11" x14ac:dyDescent="0.25">
      <c r="A1995" s="77"/>
      <c r="B1995" s="69"/>
      <c r="C1995" s="71"/>
      <c r="E1995" s="22"/>
      <c r="F1995" s="22"/>
      <c r="G1995" s="31"/>
      <c r="J1995" s="23"/>
      <c r="K1995" s="27"/>
    </row>
    <row r="1996" spans="1:11" x14ac:dyDescent="0.25">
      <c r="A1996" s="77"/>
      <c r="B1996" s="69"/>
      <c r="C1996" s="71"/>
      <c r="E1996" s="22"/>
      <c r="F1996" s="22"/>
      <c r="G1996" s="31"/>
      <c r="J1996" s="23"/>
      <c r="K1996" s="27"/>
    </row>
    <row r="1997" spans="1:11" x14ac:dyDescent="0.25">
      <c r="A1997" s="77"/>
      <c r="B1997" s="69"/>
      <c r="C1997" s="71"/>
      <c r="E1997" s="22"/>
      <c r="F1997" s="22"/>
      <c r="G1997" s="31"/>
      <c r="J1997" s="23"/>
      <c r="K1997" s="27"/>
    </row>
    <row r="1998" spans="1:11" x14ac:dyDescent="0.25">
      <c r="A1998" s="77"/>
      <c r="B1998" s="69"/>
      <c r="C1998" s="71"/>
      <c r="E1998" s="22"/>
      <c r="F1998" s="22"/>
      <c r="G1998" s="31"/>
      <c r="J1998" s="23"/>
      <c r="K1998" s="27"/>
    </row>
    <row r="1999" spans="1:11" x14ac:dyDescent="0.25">
      <c r="A1999" s="77"/>
      <c r="B1999" s="69"/>
      <c r="C1999" s="71"/>
      <c r="E1999" s="22"/>
      <c r="F1999" s="22"/>
      <c r="G1999" s="31"/>
      <c r="J1999" s="23"/>
      <c r="K1999" s="27"/>
    </row>
    <row r="2000" spans="1:11" x14ac:dyDescent="0.25">
      <c r="A2000" s="77"/>
      <c r="B2000" s="69"/>
      <c r="C2000" s="71"/>
      <c r="E2000" s="22"/>
      <c r="F2000" s="22"/>
      <c r="G2000" s="31"/>
      <c r="J2000" s="23"/>
      <c r="K2000" s="27"/>
    </row>
    <row r="2001" spans="1:11" x14ac:dyDescent="0.25">
      <c r="A2001" s="77"/>
      <c r="B2001" s="69"/>
      <c r="C2001" s="71"/>
      <c r="E2001" s="22"/>
      <c r="F2001" s="22"/>
      <c r="G2001" s="31"/>
      <c r="J2001" s="23"/>
      <c r="K2001" s="27"/>
    </row>
    <row r="2002" spans="1:11" x14ac:dyDescent="0.25">
      <c r="A2002" s="77"/>
      <c r="B2002" s="69"/>
      <c r="C2002" s="71"/>
      <c r="E2002" s="22"/>
      <c r="F2002" s="22"/>
      <c r="G2002" s="31"/>
      <c r="J2002" s="23"/>
      <c r="K2002" s="27"/>
    </row>
    <row r="2003" spans="1:11" x14ac:dyDescent="0.25">
      <c r="A2003" s="77"/>
      <c r="B2003" s="69"/>
      <c r="C2003" s="71"/>
      <c r="E2003" s="22"/>
      <c r="F2003" s="22"/>
      <c r="G2003" s="31"/>
      <c r="J2003" s="23"/>
      <c r="K2003" s="27"/>
    </row>
    <row r="2004" spans="1:11" x14ac:dyDescent="0.25">
      <c r="A2004" s="77"/>
      <c r="B2004" s="69"/>
      <c r="C2004" s="71"/>
      <c r="E2004" s="22"/>
      <c r="F2004" s="22"/>
      <c r="G2004" s="31"/>
      <c r="J2004" s="23"/>
      <c r="K2004" s="27"/>
    </row>
    <row r="2005" spans="1:11" x14ac:dyDescent="0.25">
      <c r="A2005" s="77"/>
      <c r="B2005" s="69"/>
      <c r="C2005" s="71"/>
      <c r="E2005" s="22"/>
      <c r="F2005" s="22"/>
      <c r="G2005" s="31"/>
      <c r="J2005" s="23"/>
      <c r="K2005" s="27"/>
    </row>
    <row r="2006" spans="1:11" x14ac:dyDescent="0.25">
      <c r="A2006" s="77"/>
      <c r="B2006" s="69"/>
      <c r="C2006" s="71"/>
      <c r="E2006" s="22"/>
      <c r="F2006" s="22"/>
      <c r="G2006" s="31"/>
      <c r="J2006" s="23"/>
      <c r="K2006" s="27"/>
    </row>
    <row r="2007" spans="1:11" x14ac:dyDescent="0.25">
      <c r="A2007" s="77"/>
      <c r="B2007" s="69"/>
      <c r="C2007" s="71"/>
      <c r="E2007" s="22"/>
      <c r="F2007" s="22"/>
      <c r="G2007" s="31"/>
      <c r="J2007" s="23"/>
      <c r="K2007" s="27"/>
    </row>
    <row r="2008" spans="1:11" x14ac:dyDescent="0.25">
      <c r="A2008" s="77"/>
      <c r="B2008" s="69"/>
      <c r="C2008" s="71"/>
      <c r="E2008" s="22"/>
      <c r="F2008" s="22"/>
      <c r="G2008" s="31"/>
      <c r="J2008" s="23"/>
      <c r="K2008" s="27"/>
    </row>
    <row r="2009" spans="1:11" x14ac:dyDescent="0.25">
      <c r="A2009" s="77"/>
      <c r="B2009" s="69"/>
      <c r="C2009" s="71"/>
      <c r="E2009" s="22"/>
      <c r="F2009" s="22"/>
      <c r="G2009" s="31"/>
      <c r="J2009" s="23"/>
      <c r="K2009" s="27"/>
    </row>
    <row r="2010" spans="1:11" x14ac:dyDescent="0.25">
      <c r="A2010" s="77"/>
      <c r="B2010" s="69"/>
      <c r="C2010" s="71"/>
      <c r="E2010" s="22"/>
      <c r="F2010" s="22"/>
      <c r="G2010" s="31"/>
      <c r="J2010" s="23"/>
      <c r="K2010" s="27"/>
    </row>
    <row r="2011" spans="1:11" x14ac:dyDescent="0.25">
      <c r="A2011" s="77"/>
      <c r="B2011" s="69"/>
      <c r="C2011" s="71"/>
      <c r="E2011" s="22"/>
      <c r="F2011" s="22"/>
      <c r="G2011" s="31"/>
      <c r="J2011" s="23"/>
      <c r="K2011" s="27"/>
    </row>
    <row r="2012" spans="1:11" x14ac:dyDescent="0.25">
      <c r="A2012" s="77"/>
      <c r="B2012" s="69"/>
      <c r="C2012" s="71"/>
      <c r="E2012" s="22"/>
      <c r="F2012" s="22"/>
      <c r="G2012" s="31"/>
      <c r="J2012" s="23"/>
      <c r="K2012" s="27"/>
    </row>
    <row r="2013" spans="1:11" x14ac:dyDescent="0.25">
      <c r="A2013" s="77"/>
      <c r="B2013" s="69"/>
      <c r="C2013" s="71"/>
      <c r="E2013" s="22"/>
      <c r="F2013" s="22"/>
      <c r="G2013" s="31"/>
      <c r="J2013" s="23"/>
      <c r="K2013" s="27"/>
    </row>
    <row r="2014" spans="1:11" x14ac:dyDescent="0.25">
      <c r="A2014" s="77"/>
      <c r="B2014" s="69"/>
      <c r="C2014" s="71"/>
      <c r="E2014" s="22"/>
      <c r="F2014" s="22"/>
      <c r="G2014" s="31"/>
      <c r="J2014" s="23"/>
      <c r="K2014" s="27"/>
    </row>
    <row r="2015" spans="1:11" x14ac:dyDescent="0.25">
      <c r="A2015" s="77"/>
      <c r="B2015" s="69"/>
      <c r="C2015" s="71"/>
      <c r="E2015" s="22"/>
      <c r="F2015" s="22"/>
      <c r="G2015" s="31"/>
      <c r="J2015" s="23"/>
      <c r="K2015" s="27"/>
    </row>
    <row r="2016" spans="1:11" x14ac:dyDescent="0.25">
      <c r="A2016" s="77"/>
      <c r="B2016" s="69"/>
      <c r="C2016" s="71"/>
      <c r="E2016" s="22"/>
      <c r="F2016" s="22"/>
      <c r="G2016" s="31"/>
      <c r="J2016" s="23"/>
      <c r="K2016" s="27"/>
    </row>
    <row r="2017" spans="1:11" x14ac:dyDescent="0.25">
      <c r="A2017" s="77"/>
      <c r="B2017" s="69"/>
      <c r="C2017" s="71"/>
      <c r="E2017" s="22"/>
      <c r="F2017" s="22"/>
      <c r="G2017" s="31"/>
      <c r="J2017" s="23"/>
      <c r="K2017" s="27"/>
    </row>
    <row r="2018" spans="1:11" x14ac:dyDescent="0.25">
      <c r="A2018" s="77"/>
      <c r="B2018" s="69"/>
      <c r="C2018" s="71"/>
      <c r="E2018" s="22"/>
      <c r="F2018" s="22"/>
      <c r="G2018" s="31"/>
      <c r="J2018" s="23"/>
      <c r="K2018" s="27"/>
    </row>
    <row r="2019" spans="1:11" x14ac:dyDescent="0.25">
      <c r="A2019" s="77"/>
      <c r="B2019" s="69"/>
      <c r="C2019" s="71"/>
      <c r="E2019" s="22"/>
      <c r="F2019" s="22"/>
      <c r="G2019" s="31"/>
      <c r="J2019" s="23"/>
      <c r="K2019" s="27"/>
    </row>
    <row r="2020" spans="1:11" x14ac:dyDescent="0.25">
      <c r="A2020" s="77"/>
      <c r="B2020" s="69"/>
      <c r="C2020" s="71"/>
      <c r="E2020" s="22"/>
      <c r="F2020" s="22"/>
      <c r="G2020" s="31"/>
      <c r="J2020" s="23"/>
      <c r="K2020" s="27"/>
    </row>
    <row r="2021" spans="1:11" x14ac:dyDescent="0.25">
      <c r="A2021" s="77"/>
      <c r="B2021" s="69"/>
      <c r="C2021" s="71"/>
      <c r="E2021" s="22"/>
      <c r="F2021" s="22"/>
      <c r="G2021" s="31"/>
      <c r="J2021" s="23"/>
      <c r="K2021" s="27"/>
    </row>
    <row r="2022" spans="1:11" x14ac:dyDescent="0.25">
      <c r="A2022" s="77"/>
      <c r="B2022" s="69"/>
      <c r="C2022" s="71"/>
      <c r="E2022" s="22"/>
      <c r="F2022" s="22"/>
      <c r="G2022" s="31"/>
      <c r="J2022" s="23"/>
      <c r="K2022" s="27"/>
    </row>
    <row r="2023" spans="1:11" x14ac:dyDescent="0.25">
      <c r="A2023" s="77"/>
      <c r="B2023" s="69"/>
      <c r="C2023" s="71"/>
      <c r="E2023" s="22"/>
      <c r="F2023" s="22"/>
      <c r="G2023" s="31"/>
      <c r="J2023" s="23"/>
      <c r="K2023" s="27"/>
    </row>
    <row r="2024" spans="1:11" x14ac:dyDescent="0.25">
      <c r="A2024" s="77"/>
      <c r="B2024" s="69"/>
      <c r="C2024" s="71"/>
      <c r="E2024" s="22"/>
      <c r="F2024" s="22"/>
      <c r="G2024" s="31"/>
      <c r="J2024" s="23"/>
      <c r="K2024" s="27"/>
    </row>
    <row r="2025" spans="1:11" x14ac:dyDescent="0.25">
      <c r="A2025" s="77"/>
      <c r="B2025" s="69"/>
      <c r="C2025" s="71"/>
      <c r="E2025" s="22"/>
      <c r="F2025" s="22"/>
      <c r="G2025" s="31"/>
      <c r="J2025" s="23"/>
      <c r="K2025" s="27"/>
    </row>
    <row r="2026" spans="1:11" x14ac:dyDescent="0.25">
      <c r="A2026" s="77"/>
      <c r="B2026" s="69"/>
      <c r="C2026" s="71"/>
      <c r="E2026" s="22"/>
      <c r="F2026" s="22"/>
      <c r="G2026" s="31"/>
      <c r="J2026" s="23"/>
      <c r="K2026" s="27"/>
    </row>
    <row r="2027" spans="1:11" x14ac:dyDescent="0.25">
      <c r="A2027" s="77"/>
      <c r="B2027" s="69"/>
      <c r="C2027" s="71"/>
      <c r="E2027" s="22"/>
      <c r="F2027" s="22"/>
      <c r="G2027" s="31"/>
      <c r="J2027" s="23"/>
      <c r="K2027" s="27"/>
    </row>
    <row r="2028" spans="1:11" x14ac:dyDescent="0.25">
      <c r="A2028" s="77"/>
      <c r="B2028" s="69"/>
      <c r="C2028" s="71"/>
      <c r="E2028" s="22"/>
      <c r="F2028" s="22"/>
      <c r="G2028" s="31"/>
      <c r="J2028" s="23"/>
      <c r="K2028" s="27"/>
    </row>
    <row r="2029" spans="1:11" x14ac:dyDescent="0.25">
      <c r="A2029" s="77"/>
      <c r="B2029" s="69"/>
      <c r="C2029" s="71"/>
      <c r="E2029" s="22"/>
      <c r="F2029" s="22"/>
      <c r="G2029" s="31"/>
      <c r="J2029" s="23"/>
      <c r="K2029" s="27"/>
    </row>
    <row r="2030" spans="1:11" x14ac:dyDescent="0.25">
      <c r="A2030" s="77"/>
      <c r="B2030" s="69"/>
      <c r="C2030" s="71"/>
      <c r="E2030" s="22"/>
      <c r="F2030" s="22"/>
      <c r="G2030" s="31"/>
      <c r="J2030" s="23"/>
      <c r="K2030" s="27"/>
    </row>
    <row r="2031" spans="1:11" x14ac:dyDescent="0.25">
      <c r="A2031" s="77"/>
      <c r="B2031" s="69"/>
      <c r="C2031" s="71"/>
      <c r="E2031" s="22"/>
      <c r="F2031" s="22"/>
      <c r="G2031" s="31"/>
      <c r="J2031" s="23"/>
      <c r="K2031" s="27"/>
    </row>
    <row r="2032" spans="1:11" x14ac:dyDescent="0.25">
      <c r="A2032" s="77"/>
      <c r="B2032" s="69"/>
      <c r="C2032" s="71"/>
      <c r="E2032" s="22"/>
      <c r="F2032" s="22"/>
      <c r="G2032" s="31"/>
      <c r="J2032" s="23"/>
      <c r="K2032" s="27"/>
    </row>
    <row r="2033" spans="1:11" x14ac:dyDescent="0.25">
      <c r="A2033" s="77"/>
      <c r="B2033" s="69"/>
      <c r="C2033" s="71"/>
      <c r="E2033" s="22"/>
      <c r="F2033" s="22"/>
      <c r="G2033" s="31"/>
      <c r="J2033" s="23"/>
      <c r="K2033" s="27"/>
    </row>
    <row r="2034" spans="1:11" x14ac:dyDescent="0.25">
      <c r="A2034" s="77"/>
      <c r="B2034" s="69"/>
      <c r="C2034" s="71"/>
      <c r="E2034" s="22"/>
      <c r="F2034" s="22"/>
      <c r="G2034" s="31"/>
      <c r="J2034" s="23"/>
      <c r="K2034" s="27"/>
    </row>
    <row r="2035" spans="1:11" x14ac:dyDescent="0.25">
      <c r="A2035" s="77"/>
      <c r="B2035" s="69"/>
      <c r="C2035" s="71"/>
      <c r="E2035" s="22"/>
      <c r="F2035" s="22"/>
      <c r="G2035" s="31"/>
      <c r="J2035" s="23"/>
      <c r="K2035" s="27"/>
    </row>
    <row r="2036" spans="1:11" x14ac:dyDescent="0.25">
      <c r="A2036" s="77"/>
      <c r="B2036" s="69"/>
      <c r="C2036" s="71"/>
      <c r="E2036" s="22"/>
      <c r="F2036" s="22"/>
      <c r="G2036" s="31"/>
      <c r="J2036" s="23"/>
      <c r="K2036" s="27"/>
    </row>
    <row r="2037" spans="1:11" x14ac:dyDescent="0.25">
      <c r="A2037" s="77"/>
      <c r="B2037" s="69"/>
      <c r="C2037" s="71"/>
      <c r="E2037" s="22"/>
      <c r="F2037" s="22"/>
      <c r="G2037" s="31"/>
      <c r="J2037" s="23"/>
      <c r="K2037" s="27"/>
    </row>
    <row r="2038" spans="1:11" x14ac:dyDescent="0.25">
      <c r="A2038" s="77"/>
      <c r="B2038" s="69"/>
      <c r="C2038" s="71"/>
      <c r="E2038" s="22"/>
      <c r="F2038" s="22"/>
      <c r="G2038" s="31"/>
      <c r="J2038" s="23"/>
      <c r="K2038" s="27"/>
    </row>
    <row r="2039" spans="1:11" x14ac:dyDescent="0.25">
      <c r="A2039" s="77"/>
      <c r="B2039" s="69"/>
      <c r="C2039" s="71"/>
      <c r="E2039" s="22"/>
      <c r="F2039" s="22"/>
      <c r="G2039" s="31"/>
      <c r="J2039" s="23"/>
      <c r="K2039" s="27"/>
    </row>
    <row r="2040" spans="1:11" x14ac:dyDescent="0.25">
      <c r="A2040" s="77"/>
      <c r="B2040" s="69"/>
      <c r="C2040" s="71"/>
      <c r="E2040" s="22"/>
      <c r="F2040" s="22"/>
      <c r="G2040" s="31"/>
      <c r="J2040" s="23"/>
      <c r="K2040" s="27"/>
    </row>
    <row r="2041" spans="1:11" x14ac:dyDescent="0.25">
      <c r="A2041" s="77"/>
      <c r="B2041" s="69"/>
      <c r="C2041" s="71"/>
      <c r="E2041" s="22"/>
      <c r="F2041" s="22"/>
      <c r="G2041" s="31"/>
      <c r="J2041" s="23"/>
      <c r="K2041" s="27"/>
    </row>
    <row r="2042" spans="1:11" x14ac:dyDescent="0.25">
      <c r="A2042" s="77"/>
      <c r="B2042" s="69"/>
      <c r="C2042" s="71"/>
      <c r="E2042" s="22"/>
      <c r="F2042" s="22"/>
      <c r="G2042" s="31"/>
      <c r="J2042" s="23"/>
      <c r="K2042" s="27"/>
    </row>
    <row r="2043" spans="1:11" x14ac:dyDescent="0.25">
      <c r="A2043" s="77"/>
      <c r="B2043" s="69"/>
      <c r="C2043" s="71"/>
      <c r="E2043" s="22"/>
      <c r="F2043" s="22"/>
      <c r="G2043" s="31"/>
      <c r="J2043" s="23"/>
      <c r="K2043" s="27"/>
    </row>
    <row r="2044" spans="1:11" x14ac:dyDescent="0.25">
      <c r="A2044" s="77"/>
      <c r="B2044" s="69"/>
      <c r="C2044" s="71"/>
      <c r="E2044" s="22"/>
      <c r="F2044" s="22"/>
      <c r="G2044" s="31"/>
      <c r="J2044" s="23"/>
      <c r="K2044" s="27"/>
    </row>
    <row r="2045" spans="1:11" x14ac:dyDescent="0.25">
      <c r="A2045" s="77"/>
      <c r="B2045" s="69"/>
      <c r="C2045" s="71"/>
      <c r="E2045" s="22"/>
      <c r="F2045" s="22"/>
      <c r="G2045" s="31"/>
      <c r="J2045" s="23"/>
      <c r="K2045" s="27"/>
    </row>
    <row r="2046" spans="1:11" x14ac:dyDescent="0.25">
      <c r="A2046" s="77"/>
      <c r="B2046" s="69"/>
      <c r="C2046" s="71"/>
      <c r="E2046" s="22"/>
      <c r="F2046" s="22"/>
      <c r="G2046" s="31"/>
      <c r="J2046" s="23"/>
      <c r="K2046" s="27"/>
    </row>
    <row r="2047" spans="1:11" x14ac:dyDescent="0.25">
      <c r="A2047" s="77"/>
      <c r="B2047" s="69"/>
      <c r="C2047" s="71"/>
      <c r="E2047" s="22"/>
      <c r="F2047" s="22"/>
      <c r="G2047" s="31"/>
      <c r="J2047" s="23"/>
      <c r="K2047" s="27"/>
    </row>
    <row r="2048" spans="1:11" x14ac:dyDescent="0.25">
      <c r="A2048" s="77"/>
      <c r="B2048" s="69"/>
      <c r="C2048" s="71"/>
      <c r="E2048" s="22"/>
      <c r="F2048" s="22"/>
      <c r="G2048" s="31"/>
      <c r="J2048" s="23"/>
      <c r="K2048" s="27"/>
    </row>
    <row r="2049" spans="1:11" x14ac:dyDescent="0.25">
      <c r="A2049" s="77"/>
      <c r="B2049" s="69"/>
      <c r="C2049" s="71"/>
      <c r="E2049" s="22"/>
      <c r="F2049" s="22"/>
      <c r="G2049" s="31"/>
      <c r="J2049" s="23"/>
      <c r="K2049" s="27"/>
    </row>
    <row r="2050" spans="1:11" x14ac:dyDescent="0.25">
      <c r="A2050" s="77"/>
      <c r="B2050" s="69"/>
      <c r="C2050" s="71"/>
      <c r="E2050" s="22"/>
      <c r="F2050" s="22"/>
      <c r="G2050" s="31"/>
      <c r="J2050" s="23"/>
      <c r="K2050" s="27"/>
    </row>
    <row r="2051" spans="1:11" x14ac:dyDescent="0.25">
      <c r="A2051" s="77"/>
      <c r="B2051" s="69"/>
      <c r="C2051" s="71"/>
      <c r="E2051" s="22"/>
      <c r="F2051" s="22"/>
      <c r="G2051" s="31"/>
      <c r="J2051" s="23"/>
      <c r="K2051" s="27"/>
    </row>
    <row r="2052" spans="1:11" x14ac:dyDescent="0.25">
      <c r="A2052" s="77"/>
      <c r="B2052" s="69"/>
      <c r="C2052" s="71"/>
      <c r="E2052" s="22"/>
      <c r="F2052" s="22"/>
      <c r="G2052" s="31"/>
      <c r="J2052" s="23"/>
      <c r="K2052" s="27"/>
    </row>
    <row r="2053" spans="1:11" x14ac:dyDescent="0.25">
      <c r="A2053" s="77"/>
      <c r="B2053" s="69"/>
      <c r="C2053" s="71"/>
      <c r="E2053" s="22"/>
      <c r="F2053" s="22"/>
      <c r="G2053" s="31"/>
      <c r="J2053" s="23"/>
      <c r="K2053" s="27"/>
    </row>
    <row r="2054" spans="1:11" x14ac:dyDescent="0.25">
      <c r="A2054" s="77"/>
      <c r="B2054" s="69"/>
      <c r="C2054" s="71"/>
      <c r="E2054" s="22"/>
      <c r="F2054" s="22"/>
      <c r="G2054" s="31"/>
      <c r="J2054" s="23"/>
      <c r="K2054" s="27"/>
    </row>
    <row r="2055" spans="1:11" x14ac:dyDescent="0.25">
      <c r="A2055" s="77"/>
      <c r="B2055" s="69"/>
      <c r="C2055" s="71"/>
      <c r="E2055" s="22"/>
      <c r="F2055" s="22"/>
      <c r="G2055" s="31"/>
      <c r="J2055" s="23"/>
      <c r="K2055" s="27"/>
    </row>
    <row r="2056" spans="1:11" x14ac:dyDescent="0.25">
      <c r="A2056" s="77"/>
      <c r="B2056" s="69"/>
      <c r="C2056" s="71"/>
      <c r="E2056" s="22"/>
      <c r="F2056" s="22"/>
      <c r="G2056" s="31"/>
      <c r="J2056" s="23"/>
      <c r="K2056" s="27"/>
    </row>
    <row r="2057" spans="1:11" x14ac:dyDescent="0.25">
      <c r="A2057" s="77"/>
      <c r="B2057" s="69"/>
      <c r="C2057" s="71"/>
      <c r="E2057" s="22"/>
      <c r="F2057" s="22"/>
      <c r="G2057" s="31"/>
      <c r="J2057" s="23"/>
      <c r="K2057" s="27"/>
    </row>
    <row r="2058" spans="1:11" x14ac:dyDescent="0.25">
      <c r="A2058" s="77"/>
      <c r="B2058" s="69"/>
      <c r="C2058" s="71"/>
      <c r="E2058" s="22"/>
      <c r="F2058" s="22"/>
      <c r="G2058" s="31"/>
      <c r="J2058" s="23"/>
      <c r="K2058" s="27"/>
    </row>
    <row r="2059" spans="1:11" x14ac:dyDescent="0.25">
      <c r="A2059" s="77"/>
      <c r="B2059" s="69"/>
      <c r="C2059" s="71"/>
      <c r="E2059" s="22"/>
      <c r="F2059" s="22"/>
      <c r="G2059" s="31"/>
      <c r="J2059" s="23"/>
      <c r="K2059" s="27"/>
    </row>
    <row r="2060" spans="1:11" x14ac:dyDescent="0.25">
      <c r="A2060" s="77"/>
      <c r="B2060" s="69"/>
      <c r="C2060" s="71"/>
      <c r="E2060" s="22"/>
      <c r="F2060" s="22"/>
      <c r="G2060" s="31"/>
      <c r="J2060" s="23"/>
      <c r="K2060" s="27"/>
    </row>
    <row r="2061" spans="1:11" x14ac:dyDescent="0.25">
      <c r="A2061" s="77"/>
      <c r="B2061" s="69"/>
      <c r="C2061" s="71"/>
      <c r="E2061" s="22"/>
      <c r="F2061" s="22"/>
      <c r="G2061" s="31"/>
      <c r="J2061" s="23"/>
      <c r="K2061" s="27"/>
    </row>
    <row r="2062" spans="1:11" x14ac:dyDescent="0.25">
      <c r="A2062" s="77"/>
      <c r="B2062" s="69"/>
      <c r="C2062" s="71"/>
      <c r="E2062" s="22"/>
      <c r="F2062" s="22"/>
      <c r="G2062" s="31"/>
      <c r="J2062" s="23"/>
      <c r="K2062" s="27"/>
    </row>
    <row r="2063" spans="1:11" x14ac:dyDescent="0.25">
      <c r="A2063" s="77"/>
      <c r="B2063" s="69"/>
      <c r="C2063" s="71"/>
      <c r="E2063" s="22"/>
      <c r="F2063" s="22"/>
      <c r="G2063" s="31"/>
      <c r="J2063" s="23"/>
      <c r="K2063" s="27"/>
    </row>
    <row r="2064" spans="1:11" x14ac:dyDescent="0.25">
      <c r="A2064" s="77"/>
      <c r="B2064" s="69"/>
      <c r="C2064" s="71"/>
      <c r="E2064" s="22"/>
      <c r="F2064" s="22"/>
      <c r="G2064" s="31"/>
      <c r="J2064" s="23"/>
      <c r="K2064" s="27"/>
    </row>
    <row r="2065" spans="1:11" x14ac:dyDescent="0.25">
      <c r="A2065" s="77"/>
      <c r="B2065" s="69"/>
      <c r="C2065" s="71"/>
      <c r="E2065" s="22"/>
      <c r="F2065" s="22"/>
      <c r="G2065" s="31"/>
      <c r="J2065" s="23"/>
      <c r="K2065" s="27"/>
    </row>
    <row r="2066" spans="1:11" x14ac:dyDescent="0.25">
      <c r="A2066" s="77"/>
      <c r="B2066" s="69"/>
      <c r="C2066" s="71"/>
      <c r="E2066" s="22"/>
      <c r="F2066" s="22"/>
      <c r="G2066" s="31"/>
      <c r="J2066" s="23"/>
      <c r="K2066" s="27"/>
    </row>
    <row r="2067" spans="1:11" x14ac:dyDescent="0.25">
      <c r="A2067" s="77"/>
      <c r="B2067" s="69"/>
      <c r="C2067" s="71"/>
      <c r="E2067" s="22"/>
      <c r="F2067" s="22"/>
      <c r="G2067" s="31"/>
      <c r="J2067" s="23"/>
      <c r="K2067" s="27"/>
    </row>
    <row r="2068" spans="1:11" x14ac:dyDescent="0.25">
      <c r="A2068" s="77"/>
      <c r="B2068" s="69"/>
      <c r="C2068" s="71"/>
      <c r="E2068" s="22"/>
      <c r="F2068" s="22"/>
      <c r="G2068" s="31"/>
      <c r="J2068" s="23"/>
      <c r="K2068" s="27"/>
    </row>
    <row r="2069" spans="1:11" x14ac:dyDescent="0.25">
      <c r="A2069" s="77"/>
      <c r="B2069" s="69"/>
      <c r="C2069" s="71"/>
      <c r="E2069" s="22"/>
      <c r="F2069" s="22"/>
      <c r="G2069" s="31"/>
      <c r="J2069" s="23"/>
      <c r="K2069" s="27"/>
    </row>
    <row r="2070" spans="1:11" x14ac:dyDescent="0.25">
      <c r="A2070" s="77"/>
      <c r="B2070" s="69"/>
      <c r="C2070" s="71"/>
      <c r="E2070" s="22"/>
      <c r="F2070" s="22"/>
      <c r="G2070" s="31"/>
      <c r="J2070" s="23"/>
      <c r="K2070" s="27"/>
    </row>
    <row r="2071" spans="1:11" x14ac:dyDescent="0.25">
      <c r="A2071" s="77"/>
      <c r="B2071" s="69"/>
      <c r="C2071" s="71"/>
      <c r="E2071" s="22"/>
      <c r="F2071" s="22"/>
      <c r="G2071" s="31"/>
      <c r="J2071" s="23"/>
      <c r="K2071" s="27"/>
    </row>
    <row r="2072" spans="1:11" x14ac:dyDescent="0.25">
      <c r="A2072" s="77"/>
      <c r="B2072" s="69"/>
      <c r="C2072" s="71"/>
      <c r="E2072" s="22"/>
      <c r="F2072" s="22"/>
      <c r="G2072" s="31"/>
      <c r="J2072" s="23"/>
      <c r="K2072" s="27"/>
    </row>
    <row r="2073" spans="1:11" x14ac:dyDescent="0.25">
      <c r="A2073" s="77"/>
      <c r="B2073" s="69"/>
      <c r="C2073" s="71"/>
      <c r="E2073" s="22"/>
      <c r="F2073" s="22"/>
      <c r="G2073" s="31"/>
      <c r="J2073" s="23"/>
      <c r="K2073" s="27"/>
    </row>
    <row r="2074" spans="1:11" x14ac:dyDescent="0.25">
      <c r="A2074" s="77"/>
      <c r="B2074" s="69"/>
      <c r="C2074" s="71"/>
      <c r="E2074" s="22"/>
      <c r="F2074" s="22"/>
      <c r="G2074" s="31"/>
      <c r="J2074" s="23"/>
      <c r="K2074" s="27"/>
    </row>
    <row r="2075" spans="1:11" x14ac:dyDescent="0.25">
      <c r="A2075" s="77"/>
      <c r="B2075" s="69"/>
      <c r="C2075" s="71"/>
      <c r="E2075" s="22"/>
      <c r="F2075" s="22"/>
      <c r="G2075" s="31"/>
      <c r="J2075" s="23"/>
      <c r="K2075" s="27"/>
    </row>
    <row r="2076" spans="1:11" x14ac:dyDescent="0.25">
      <c r="A2076" s="77"/>
      <c r="B2076" s="69"/>
      <c r="C2076" s="71"/>
      <c r="E2076" s="22"/>
      <c r="F2076" s="22"/>
      <c r="G2076" s="31"/>
      <c r="J2076" s="23"/>
      <c r="K2076" s="27"/>
    </row>
    <row r="2077" spans="1:11" x14ac:dyDescent="0.25">
      <c r="A2077" s="77"/>
      <c r="B2077" s="69"/>
      <c r="C2077" s="71"/>
      <c r="E2077" s="22"/>
      <c r="F2077" s="22"/>
      <c r="G2077" s="31"/>
      <c r="J2077" s="23"/>
      <c r="K2077" s="27"/>
    </row>
    <row r="2078" spans="1:11" x14ac:dyDescent="0.25">
      <c r="A2078" s="77"/>
      <c r="B2078" s="69"/>
      <c r="C2078" s="71"/>
      <c r="E2078" s="22"/>
      <c r="F2078" s="22"/>
      <c r="G2078" s="31"/>
      <c r="J2078" s="23"/>
      <c r="K2078" s="27"/>
    </row>
    <row r="2079" spans="1:11" x14ac:dyDescent="0.25">
      <c r="A2079" s="77"/>
      <c r="B2079" s="69"/>
      <c r="C2079" s="71"/>
      <c r="E2079" s="22"/>
      <c r="F2079" s="22"/>
      <c r="G2079" s="31"/>
      <c r="J2079" s="23"/>
      <c r="K2079" s="27"/>
    </row>
    <row r="2080" spans="1:11" x14ac:dyDescent="0.25">
      <c r="A2080" s="77"/>
      <c r="B2080" s="69"/>
      <c r="C2080" s="71"/>
      <c r="E2080" s="22"/>
      <c r="F2080" s="22"/>
      <c r="G2080" s="31"/>
      <c r="J2080" s="23"/>
      <c r="K2080" s="27"/>
    </row>
    <row r="2081" spans="1:11" x14ac:dyDescent="0.25">
      <c r="A2081" s="77"/>
      <c r="B2081" s="69"/>
      <c r="C2081" s="71"/>
      <c r="E2081" s="22"/>
      <c r="F2081" s="22"/>
      <c r="G2081" s="31"/>
      <c r="J2081" s="23"/>
      <c r="K2081" s="27"/>
    </row>
    <row r="2082" spans="1:11" x14ac:dyDescent="0.25">
      <c r="A2082" s="77"/>
      <c r="B2082" s="69"/>
      <c r="C2082" s="71"/>
      <c r="E2082" s="22"/>
      <c r="F2082" s="22"/>
      <c r="G2082" s="31"/>
      <c r="J2082" s="23"/>
      <c r="K2082" s="27"/>
    </row>
    <row r="2083" spans="1:11" x14ac:dyDescent="0.25">
      <c r="A2083" s="77"/>
      <c r="B2083" s="69"/>
      <c r="C2083" s="71"/>
      <c r="E2083" s="22"/>
      <c r="F2083" s="22"/>
      <c r="G2083" s="31"/>
      <c r="J2083" s="23"/>
      <c r="K2083" s="27"/>
    </row>
    <row r="2084" spans="1:11" x14ac:dyDescent="0.25">
      <c r="A2084" s="77"/>
      <c r="B2084" s="69"/>
      <c r="C2084" s="71"/>
      <c r="E2084" s="22"/>
      <c r="F2084" s="22"/>
      <c r="G2084" s="31"/>
      <c r="J2084" s="23"/>
      <c r="K2084" s="27"/>
    </row>
    <row r="2085" spans="1:11" x14ac:dyDescent="0.25">
      <c r="A2085" s="77"/>
      <c r="B2085" s="69"/>
      <c r="C2085" s="71"/>
      <c r="E2085" s="22"/>
      <c r="F2085" s="22"/>
      <c r="G2085" s="31"/>
      <c r="J2085" s="23"/>
      <c r="K2085" s="27"/>
    </row>
    <row r="2086" spans="1:11" x14ac:dyDescent="0.25">
      <c r="A2086" s="77"/>
      <c r="B2086" s="69"/>
      <c r="C2086" s="71"/>
      <c r="E2086" s="22"/>
      <c r="F2086" s="22"/>
      <c r="G2086" s="31"/>
      <c r="J2086" s="23"/>
      <c r="K2086" s="27"/>
    </row>
    <row r="2087" spans="1:11" x14ac:dyDescent="0.25">
      <c r="A2087" s="77"/>
      <c r="B2087" s="69"/>
      <c r="C2087" s="71"/>
      <c r="E2087" s="22"/>
      <c r="F2087" s="22"/>
      <c r="G2087" s="31"/>
      <c r="J2087" s="23"/>
      <c r="K2087" s="27"/>
    </row>
    <row r="2088" spans="1:11" x14ac:dyDescent="0.25">
      <c r="A2088" s="77"/>
      <c r="B2088" s="69"/>
      <c r="C2088" s="71"/>
      <c r="E2088" s="22"/>
      <c r="F2088" s="22"/>
      <c r="G2088" s="31"/>
      <c r="J2088" s="23"/>
      <c r="K2088" s="27"/>
    </row>
    <row r="2089" spans="1:11" x14ac:dyDescent="0.25">
      <c r="A2089" s="77"/>
      <c r="B2089" s="69"/>
      <c r="C2089" s="71"/>
      <c r="E2089" s="22"/>
      <c r="F2089" s="22"/>
      <c r="G2089" s="31"/>
      <c r="J2089" s="23"/>
      <c r="K2089" s="27"/>
    </row>
    <row r="2090" spans="1:11" x14ac:dyDescent="0.25">
      <c r="A2090" s="77"/>
      <c r="B2090" s="69"/>
      <c r="C2090" s="71"/>
      <c r="E2090" s="22"/>
      <c r="F2090" s="22"/>
      <c r="G2090" s="31"/>
      <c r="J2090" s="23"/>
      <c r="K2090" s="27"/>
    </row>
    <row r="2091" spans="1:11" x14ac:dyDescent="0.25">
      <c r="A2091" s="77"/>
      <c r="B2091" s="69"/>
      <c r="C2091" s="71"/>
      <c r="E2091" s="22"/>
      <c r="F2091" s="22"/>
      <c r="G2091" s="31"/>
      <c r="J2091" s="23"/>
      <c r="K2091" s="27"/>
    </row>
    <row r="2092" spans="1:11" x14ac:dyDescent="0.25">
      <c r="A2092" s="77"/>
      <c r="B2092" s="69"/>
      <c r="C2092" s="71"/>
      <c r="E2092" s="22"/>
      <c r="F2092" s="22"/>
      <c r="G2092" s="31"/>
      <c r="J2092" s="23"/>
      <c r="K2092" s="27"/>
    </row>
    <row r="2093" spans="1:11" x14ac:dyDescent="0.25">
      <c r="A2093" s="77"/>
      <c r="B2093" s="69"/>
      <c r="C2093" s="71"/>
      <c r="E2093" s="22"/>
      <c r="F2093" s="22"/>
      <c r="G2093" s="31"/>
      <c r="J2093" s="23"/>
      <c r="K2093" s="27"/>
    </row>
    <row r="2094" spans="1:11" x14ac:dyDescent="0.25">
      <c r="A2094" s="77"/>
      <c r="B2094" s="69"/>
      <c r="C2094" s="71"/>
      <c r="E2094" s="22"/>
      <c r="F2094" s="22"/>
      <c r="G2094" s="31"/>
      <c r="J2094" s="23"/>
      <c r="K2094" s="27"/>
    </row>
    <row r="2095" spans="1:11" x14ac:dyDescent="0.25">
      <c r="A2095" s="77"/>
      <c r="B2095" s="69"/>
      <c r="C2095" s="71"/>
      <c r="E2095" s="22"/>
      <c r="F2095" s="22"/>
      <c r="G2095" s="31"/>
      <c r="J2095" s="23"/>
      <c r="K2095" s="27"/>
    </row>
    <row r="2096" spans="1:11" x14ac:dyDescent="0.25">
      <c r="A2096" s="77"/>
      <c r="B2096" s="69"/>
      <c r="C2096" s="71"/>
      <c r="E2096" s="22"/>
      <c r="F2096" s="22"/>
      <c r="G2096" s="31"/>
      <c r="J2096" s="23"/>
      <c r="K2096" s="27"/>
    </row>
    <row r="2097" spans="1:11" x14ac:dyDescent="0.25">
      <c r="A2097" s="77"/>
      <c r="B2097" s="69"/>
      <c r="C2097" s="71"/>
      <c r="E2097" s="22"/>
      <c r="F2097" s="22"/>
      <c r="G2097" s="31"/>
      <c r="J2097" s="23"/>
      <c r="K2097" s="27"/>
    </row>
    <row r="2098" spans="1:11" x14ac:dyDescent="0.25">
      <c r="A2098" s="77"/>
      <c r="B2098" s="69"/>
      <c r="C2098" s="71"/>
      <c r="E2098" s="22"/>
      <c r="F2098" s="22"/>
      <c r="G2098" s="31"/>
      <c r="J2098" s="23"/>
      <c r="K2098" s="27"/>
    </row>
    <row r="2099" spans="1:11" x14ac:dyDescent="0.25">
      <c r="A2099" s="77"/>
      <c r="B2099" s="69"/>
      <c r="C2099" s="71"/>
      <c r="E2099" s="22"/>
      <c r="F2099" s="22"/>
      <c r="G2099" s="31"/>
      <c r="J2099" s="23"/>
      <c r="K2099" s="27"/>
    </row>
    <row r="2100" spans="1:11" x14ac:dyDescent="0.25">
      <c r="A2100" s="77"/>
      <c r="B2100" s="69"/>
      <c r="C2100" s="71"/>
      <c r="E2100" s="22"/>
      <c r="F2100" s="22"/>
      <c r="G2100" s="31"/>
      <c r="J2100" s="23"/>
      <c r="K2100" s="27"/>
    </row>
    <row r="2101" spans="1:11" x14ac:dyDescent="0.25">
      <c r="A2101" s="77"/>
      <c r="B2101" s="69"/>
      <c r="C2101" s="71"/>
      <c r="E2101" s="22"/>
      <c r="F2101" s="22"/>
      <c r="G2101" s="31"/>
      <c r="J2101" s="23"/>
      <c r="K2101" s="27"/>
    </row>
    <row r="2102" spans="1:11" x14ac:dyDescent="0.25">
      <c r="A2102" s="77"/>
      <c r="B2102" s="69"/>
      <c r="C2102" s="71"/>
      <c r="E2102" s="22"/>
      <c r="F2102" s="22"/>
      <c r="G2102" s="31"/>
      <c r="J2102" s="23"/>
      <c r="K2102" s="27"/>
    </row>
    <row r="2103" spans="1:11" x14ac:dyDescent="0.25">
      <c r="A2103" s="77"/>
      <c r="B2103" s="69"/>
      <c r="C2103" s="71"/>
      <c r="E2103" s="22"/>
      <c r="F2103" s="22"/>
      <c r="G2103" s="31"/>
      <c r="J2103" s="23"/>
      <c r="K2103" s="27"/>
    </row>
    <row r="2104" spans="1:11" x14ac:dyDescent="0.25">
      <c r="A2104" s="77"/>
      <c r="B2104" s="69"/>
      <c r="C2104" s="71"/>
      <c r="E2104" s="22"/>
      <c r="F2104" s="22"/>
      <c r="G2104" s="31"/>
      <c r="J2104" s="23"/>
      <c r="K2104" s="27"/>
    </row>
    <row r="2105" spans="1:11" x14ac:dyDescent="0.25">
      <c r="A2105" s="77"/>
      <c r="B2105" s="69"/>
      <c r="C2105" s="71"/>
      <c r="E2105" s="22"/>
      <c r="F2105" s="22"/>
      <c r="G2105" s="31"/>
      <c r="J2105" s="23"/>
      <c r="K2105" s="27"/>
    </row>
    <row r="2106" spans="1:11" x14ac:dyDescent="0.25">
      <c r="A2106" s="77"/>
      <c r="B2106" s="69"/>
      <c r="C2106" s="71"/>
      <c r="E2106" s="22"/>
      <c r="F2106" s="22"/>
      <c r="G2106" s="31"/>
      <c r="J2106" s="23"/>
      <c r="K2106" s="27"/>
    </row>
    <row r="2107" spans="1:11" x14ac:dyDescent="0.25">
      <c r="A2107" s="77"/>
      <c r="B2107" s="69"/>
      <c r="C2107" s="71"/>
      <c r="E2107" s="22"/>
      <c r="F2107" s="22"/>
      <c r="G2107" s="31"/>
      <c r="J2107" s="23"/>
      <c r="K2107" s="27"/>
    </row>
    <row r="2108" spans="1:11" x14ac:dyDescent="0.25">
      <c r="A2108" s="77"/>
      <c r="B2108" s="69"/>
      <c r="C2108" s="71"/>
      <c r="E2108" s="22"/>
      <c r="F2108" s="22"/>
      <c r="G2108" s="31"/>
      <c r="J2108" s="23"/>
      <c r="K2108" s="27"/>
    </row>
    <row r="2109" spans="1:11" x14ac:dyDescent="0.25">
      <c r="A2109" s="77"/>
      <c r="B2109" s="69"/>
      <c r="C2109" s="71"/>
      <c r="E2109" s="22"/>
      <c r="F2109" s="22"/>
      <c r="G2109" s="31"/>
      <c r="J2109" s="23"/>
      <c r="K2109" s="27"/>
    </row>
    <row r="2110" spans="1:11" x14ac:dyDescent="0.25">
      <c r="A2110" s="77"/>
      <c r="B2110" s="69"/>
      <c r="C2110" s="71"/>
      <c r="E2110" s="22"/>
      <c r="F2110" s="22"/>
      <c r="G2110" s="31"/>
      <c r="J2110" s="23"/>
      <c r="K2110" s="27"/>
    </row>
    <row r="2111" spans="1:11" x14ac:dyDescent="0.25">
      <c r="A2111" s="77"/>
      <c r="B2111" s="69"/>
      <c r="C2111" s="71"/>
      <c r="E2111" s="22"/>
      <c r="F2111" s="22"/>
      <c r="G2111" s="31"/>
      <c r="J2111" s="23"/>
      <c r="K2111" s="27"/>
    </row>
    <row r="2112" spans="1:11" x14ac:dyDescent="0.25">
      <c r="A2112" s="77"/>
      <c r="B2112" s="69"/>
      <c r="C2112" s="71"/>
      <c r="E2112" s="22"/>
      <c r="F2112" s="22"/>
      <c r="G2112" s="31"/>
      <c r="J2112" s="23"/>
      <c r="K2112" s="27"/>
    </row>
    <row r="2113" spans="1:11" x14ac:dyDescent="0.25">
      <c r="A2113" s="77"/>
      <c r="B2113" s="69"/>
      <c r="C2113" s="71"/>
      <c r="E2113" s="22"/>
      <c r="F2113" s="22"/>
      <c r="G2113" s="31"/>
      <c r="J2113" s="23"/>
      <c r="K2113" s="27"/>
    </row>
    <row r="2114" spans="1:11" x14ac:dyDescent="0.25">
      <c r="A2114" s="77"/>
      <c r="B2114" s="69"/>
      <c r="C2114" s="71"/>
      <c r="E2114" s="22"/>
      <c r="F2114" s="22"/>
      <c r="G2114" s="31"/>
      <c r="J2114" s="23"/>
      <c r="K2114" s="27"/>
    </row>
    <row r="2115" spans="1:11" x14ac:dyDescent="0.25">
      <c r="A2115" s="77"/>
      <c r="B2115" s="69"/>
      <c r="C2115" s="71"/>
      <c r="E2115" s="22"/>
      <c r="F2115" s="22"/>
      <c r="G2115" s="31"/>
      <c r="J2115" s="23"/>
      <c r="K2115" s="27"/>
    </row>
    <row r="2116" spans="1:11" x14ac:dyDescent="0.25">
      <c r="A2116" s="77"/>
      <c r="B2116" s="69"/>
      <c r="C2116" s="71"/>
      <c r="E2116" s="22"/>
      <c r="F2116" s="22"/>
      <c r="G2116" s="31"/>
      <c r="J2116" s="23"/>
      <c r="K2116" s="27"/>
    </row>
    <row r="2117" spans="1:11" x14ac:dyDescent="0.25">
      <c r="A2117" s="77"/>
      <c r="B2117" s="69"/>
      <c r="C2117" s="71"/>
      <c r="E2117" s="22"/>
      <c r="F2117" s="22"/>
      <c r="G2117" s="31"/>
      <c r="J2117" s="23"/>
      <c r="K2117" s="27"/>
    </row>
    <row r="2118" spans="1:11" x14ac:dyDescent="0.25">
      <c r="A2118" s="77"/>
      <c r="B2118" s="69"/>
      <c r="C2118" s="71"/>
      <c r="E2118" s="22"/>
      <c r="F2118" s="22"/>
      <c r="G2118" s="31"/>
      <c r="J2118" s="23"/>
      <c r="K2118" s="27"/>
    </row>
    <row r="2119" spans="1:11" x14ac:dyDescent="0.25">
      <c r="A2119" s="77"/>
      <c r="B2119" s="69"/>
      <c r="C2119" s="71"/>
      <c r="E2119" s="22"/>
      <c r="F2119" s="22"/>
      <c r="G2119" s="31"/>
      <c r="J2119" s="23"/>
      <c r="K2119" s="27"/>
    </row>
    <row r="2120" spans="1:11" x14ac:dyDescent="0.25">
      <c r="A2120" s="77"/>
      <c r="B2120" s="69"/>
      <c r="C2120" s="71"/>
      <c r="E2120" s="22"/>
      <c r="F2120" s="22"/>
      <c r="G2120" s="31"/>
      <c r="J2120" s="23"/>
      <c r="K2120" s="27"/>
    </row>
    <row r="2121" spans="1:11" x14ac:dyDescent="0.25">
      <c r="A2121" s="77"/>
      <c r="B2121" s="69"/>
      <c r="C2121" s="71"/>
      <c r="E2121" s="22"/>
      <c r="F2121" s="22"/>
      <c r="G2121" s="31"/>
      <c r="J2121" s="23"/>
      <c r="K2121" s="27"/>
    </row>
    <row r="2122" spans="1:11" x14ac:dyDescent="0.25">
      <c r="A2122" s="77"/>
      <c r="B2122" s="69"/>
      <c r="C2122" s="71"/>
      <c r="E2122" s="22"/>
      <c r="F2122" s="22"/>
      <c r="G2122" s="31"/>
      <c r="J2122" s="23"/>
      <c r="K2122" s="27"/>
    </row>
    <row r="2123" spans="1:11" x14ac:dyDescent="0.25">
      <c r="A2123" s="77"/>
      <c r="B2123" s="69"/>
      <c r="C2123" s="71"/>
      <c r="E2123" s="22"/>
      <c r="F2123" s="22"/>
      <c r="G2123" s="31"/>
      <c r="J2123" s="23"/>
      <c r="K2123" s="27"/>
    </row>
    <row r="2124" spans="1:11" x14ac:dyDescent="0.25">
      <c r="A2124" s="77"/>
      <c r="B2124" s="69"/>
      <c r="C2124" s="71"/>
      <c r="E2124" s="22"/>
      <c r="F2124" s="22"/>
      <c r="G2124" s="31"/>
      <c r="J2124" s="23"/>
      <c r="K2124" s="27"/>
    </row>
    <row r="2125" spans="1:11" x14ac:dyDescent="0.25">
      <c r="A2125" s="77"/>
      <c r="B2125" s="69"/>
      <c r="C2125" s="71"/>
      <c r="E2125" s="22"/>
      <c r="F2125" s="22"/>
      <c r="G2125" s="31"/>
      <c r="J2125" s="23"/>
      <c r="K2125" s="27"/>
    </row>
    <row r="2126" spans="1:11" x14ac:dyDescent="0.25">
      <c r="A2126" s="77"/>
      <c r="B2126" s="69"/>
      <c r="C2126" s="71"/>
      <c r="E2126" s="22"/>
      <c r="F2126" s="22"/>
      <c r="G2126" s="31"/>
      <c r="J2126" s="23"/>
      <c r="K2126" s="27"/>
    </row>
    <row r="2127" spans="1:11" x14ac:dyDescent="0.25">
      <c r="A2127" s="77"/>
      <c r="B2127" s="69"/>
      <c r="C2127" s="71"/>
      <c r="E2127" s="22"/>
      <c r="F2127" s="22"/>
      <c r="G2127" s="31"/>
      <c r="J2127" s="23"/>
      <c r="K2127" s="27"/>
    </row>
    <row r="2128" spans="1:11" x14ac:dyDescent="0.25">
      <c r="A2128" s="77"/>
      <c r="B2128" s="69"/>
      <c r="C2128" s="71"/>
      <c r="E2128" s="22"/>
      <c r="F2128" s="22"/>
      <c r="G2128" s="31"/>
      <c r="J2128" s="23"/>
      <c r="K2128" s="27"/>
    </row>
    <row r="2129" spans="1:11" x14ac:dyDescent="0.25">
      <c r="A2129" s="77"/>
      <c r="B2129" s="69"/>
      <c r="C2129" s="71"/>
      <c r="E2129" s="22"/>
      <c r="F2129" s="22"/>
      <c r="G2129" s="31"/>
      <c r="J2129" s="23"/>
      <c r="K2129" s="27"/>
    </row>
    <row r="2130" spans="1:11" x14ac:dyDescent="0.25">
      <c r="A2130" s="77"/>
      <c r="B2130" s="69"/>
      <c r="C2130" s="71"/>
      <c r="E2130" s="22"/>
      <c r="F2130" s="22"/>
      <c r="G2130" s="31"/>
      <c r="J2130" s="23"/>
      <c r="K2130" s="27"/>
    </row>
    <row r="2131" spans="1:11" x14ac:dyDescent="0.25">
      <c r="A2131" s="77"/>
      <c r="B2131" s="69"/>
      <c r="C2131" s="71"/>
      <c r="E2131" s="22"/>
      <c r="F2131" s="22"/>
      <c r="G2131" s="31"/>
      <c r="J2131" s="23"/>
      <c r="K2131" s="27"/>
    </row>
    <row r="2132" spans="1:11" x14ac:dyDescent="0.25">
      <c r="A2132" s="77"/>
      <c r="B2132" s="69"/>
      <c r="C2132" s="71"/>
      <c r="E2132" s="22"/>
      <c r="F2132" s="22"/>
      <c r="G2132" s="31"/>
      <c r="J2132" s="23"/>
      <c r="K2132" s="27"/>
    </row>
    <row r="2133" spans="1:11" x14ac:dyDescent="0.25">
      <c r="A2133" s="77"/>
      <c r="B2133" s="69"/>
      <c r="C2133" s="71"/>
      <c r="E2133" s="22"/>
      <c r="F2133" s="22"/>
      <c r="G2133" s="31"/>
      <c r="J2133" s="23"/>
      <c r="K2133" s="27"/>
    </row>
    <row r="2134" spans="1:11" x14ac:dyDescent="0.25">
      <c r="A2134" s="77"/>
      <c r="B2134" s="69"/>
      <c r="C2134" s="71"/>
      <c r="E2134" s="22"/>
      <c r="F2134" s="22"/>
      <c r="G2134" s="31"/>
      <c r="J2134" s="23"/>
      <c r="K2134" s="27"/>
    </row>
    <row r="2135" spans="1:11" x14ac:dyDescent="0.25">
      <c r="A2135" s="77"/>
      <c r="B2135" s="69"/>
      <c r="C2135" s="71"/>
      <c r="E2135" s="22"/>
      <c r="F2135" s="22"/>
      <c r="G2135" s="31"/>
      <c r="J2135" s="23"/>
      <c r="K2135" s="27"/>
    </row>
    <row r="2136" spans="1:11" x14ac:dyDescent="0.25">
      <c r="A2136" s="77"/>
      <c r="B2136" s="69"/>
      <c r="C2136" s="71"/>
      <c r="E2136" s="22"/>
      <c r="F2136" s="22"/>
      <c r="G2136" s="31"/>
      <c r="J2136" s="23"/>
      <c r="K2136" s="27"/>
    </row>
    <row r="2137" spans="1:11" x14ac:dyDescent="0.25">
      <c r="A2137" s="77"/>
      <c r="B2137" s="69"/>
      <c r="C2137" s="71"/>
      <c r="E2137" s="22"/>
      <c r="F2137" s="22"/>
      <c r="G2137" s="31"/>
      <c r="J2137" s="23"/>
      <c r="K2137" s="27"/>
    </row>
    <row r="2138" spans="1:11" x14ac:dyDescent="0.25">
      <c r="A2138" s="77"/>
      <c r="B2138" s="69"/>
      <c r="C2138" s="71"/>
      <c r="E2138" s="22"/>
      <c r="F2138" s="22"/>
      <c r="G2138" s="31"/>
      <c r="J2138" s="23"/>
      <c r="K2138" s="27"/>
    </row>
    <row r="2139" spans="1:11" x14ac:dyDescent="0.25">
      <c r="A2139" s="77"/>
      <c r="B2139" s="69"/>
      <c r="C2139" s="71"/>
      <c r="E2139" s="22"/>
      <c r="F2139" s="22"/>
      <c r="G2139" s="31"/>
      <c r="J2139" s="23"/>
      <c r="K2139" s="27"/>
    </row>
    <row r="2140" spans="1:11" x14ac:dyDescent="0.25">
      <c r="A2140" s="77"/>
      <c r="B2140" s="69"/>
      <c r="C2140" s="71"/>
      <c r="E2140" s="22"/>
      <c r="F2140" s="22"/>
      <c r="G2140" s="31"/>
      <c r="J2140" s="23"/>
      <c r="K2140" s="27"/>
    </row>
    <row r="2141" spans="1:11" x14ac:dyDescent="0.25">
      <c r="A2141" s="77"/>
      <c r="B2141" s="69"/>
      <c r="C2141" s="71"/>
      <c r="E2141" s="22"/>
      <c r="F2141" s="22"/>
      <c r="G2141" s="31"/>
      <c r="J2141" s="23"/>
      <c r="K2141" s="27"/>
    </row>
    <row r="2142" spans="1:11" x14ac:dyDescent="0.25">
      <c r="A2142" s="77"/>
      <c r="B2142" s="69"/>
      <c r="C2142" s="71"/>
      <c r="E2142" s="22"/>
      <c r="F2142" s="22"/>
      <c r="G2142" s="31"/>
      <c r="J2142" s="23"/>
      <c r="K2142" s="27"/>
    </row>
    <row r="2143" spans="1:11" x14ac:dyDescent="0.25">
      <c r="A2143" s="77"/>
      <c r="B2143" s="69"/>
      <c r="C2143" s="71"/>
      <c r="E2143" s="22"/>
      <c r="F2143" s="22"/>
      <c r="G2143" s="31"/>
      <c r="J2143" s="23"/>
      <c r="K2143" s="27"/>
    </row>
    <row r="2144" spans="1:11" x14ac:dyDescent="0.25">
      <c r="A2144" s="77"/>
      <c r="B2144" s="69"/>
      <c r="C2144" s="71"/>
      <c r="E2144" s="22"/>
      <c r="F2144" s="22"/>
      <c r="G2144" s="31"/>
      <c r="J2144" s="23"/>
      <c r="K2144" s="27"/>
    </row>
    <row r="2145" spans="1:11" x14ac:dyDescent="0.25">
      <c r="A2145" s="77"/>
      <c r="B2145" s="69"/>
      <c r="C2145" s="71"/>
      <c r="E2145" s="22"/>
      <c r="F2145" s="22"/>
      <c r="G2145" s="31"/>
      <c r="J2145" s="23"/>
      <c r="K2145" s="27"/>
    </row>
    <row r="2146" spans="1:11" x14ac:dyDescent="0.25">
      <c r="A2146" s="77"/>
      <c r="B2146" s="69"/>
      <c r="C2146" s="71"/>
      <c r="E2146" s="22"/>
      <c r="F2146" s="22"/>
      <c r="G2146" s="31"/>
      <c r="J2146" s="23"/>
      <c r="K2146" s="27"/>
    </row>
    <row r="2147" spans="1:11" x14ac:dyDescent="0.25">
      <c r="A2147" s="77"/>
      <c r="B2147" s="69"/>
      <c r="C2147" s="71"/>
      <c r="E2147" s="22"/>
      <c r="F2147" s="22"/>
      <c r="G2147" s="31"/>
      <c r="J2147" s="23"/>
      <c r="K2147" s="27"/>
    </row>
    <row r="2148" spans="1:11" x14ac:dyDescent="0.25">
      <c r="A2148" s="77"/>
      <c r="B2148" s="69"/>
      <c r="C2148" s="71"/>
      <c r="E2148" s="22"/>
      <c r="F2148" s="22"/>
      <c r="G2148" s="31"/>
      <c r="J2148" s="23"/>
      <c r="K2148" s="27"/>
    </row>
    <row r="2149" spans="1:11" x14ac:dyDescent="0.25">
      <c r="A2149" s="77"/>
      <c r="B2149" s="69"/>
      <c r="C2149" s="71"/>
      <c r="E2149" s="22"/>
      <c r="F2149" s="22"/>
      <c r="G2149" s="31"/>
      <c r="J2149" s="23"/>
      <c r="K2149" s="27"/>
    </row>
    <row r="2150" spans="1:11" x14ac:dyDescent="0.25">
      <c r="A2150" s="77"/>
      <c r="B2150" s="69"/>
      <c r="C2150" s="71"/>
      <c r="E2150" s="22"/>
      <c r="F2150" s="22"/>
      <c r="G2150" s="31"/>
      <c r="J2150" s="23"/>
      <c r="K2150" s="27"/>
    </row>
    <row r="2151" spans="1:11" x14ac:dyDescent="0.25">
      <c r="A2151" s="77"/>
      <c r="B2151" s="69"/>
      <c r="C2151" s="71"/>
      <c r="E2151" s="22"/>
      <c r="F2151" s="22"/>
      <c r="G2151" s="31"/>
      <c r="J2151" s="23"/>
      <c r="K2151" s="27"/>
    </row>
    <row r="2152" spans="1:11" x14ac:dyDescent="0.25">
      <c r="A2152" s="77"/>
      <c r="B2152" s="69"/>
      <c r="C2152" s="71"/>
      <c r="E2152" s="22"/>
      <c r="F2152" s="22"/>
      <c r="G2152" s="31"/>
      <c r="J2152" s="23"/>
      <c r="K2152" s="27"/>
    </row>
    <row r="2153" spans="1:11" x14ac:dyDescent="0.25">
      <c r="A2153" s="77"/>
      <c r="B2153" s="69"/>
      <c r="C2153" s="71"/>
      <c r="E2153" s="22"/>
      <c r="F2153" s="22"/>
      <c r="G2153" s="31"/>
      <c r="J2153" s="23"/>
      <c r="K2153" s="27"/>
    </row>
    <row r="2154" spans="1:11" x14ac:dyDescent="0.25">
      <c r="A2154" s="77"/>
      <c r="B2154" s="69"/>
      <c r="C2154" s="71"/>
      <c r="E2154" s="22"/>
      <c r="F2154" s="22"/>
      <c r="G2154" s="31"/>
      <c r="J2154" s="23"/>
      <c r="K2154" s="27"/>
    </row>
    <row r="2155" spans="1:11" x14ac:dyDescent="0.25">
      <c r="A2155" s="77"/>
      <c r="B2155" s="69"/>
      <c r="C2155" s="71"/>
      <c r="E2155" s="22"/>
      <c r="F2155" s="22"/>
      <c r="G2155" s="31"/>
      <c r="J2155" s="23"/>
      <c r="K2155" s="27"/>
    </row>
    <row r="2156" spans="1:11" x14ac:dyDescent="0.25">
      <c r="A2156" s="77"/>
      <c r="B2156" s="69"/>
      <c r="C2156" s="71"/>
      <c r="E2156" s="22"/>
      <c r="F2156" s="22"/>
      <c r="G2156" s="31"/>
      <c r="J2156" s="23"/>
      <c r="K2156" s="27"/>
    </row>
    <row r="2157" spans="1:11" x14ac:dyDescent="0.25">
      <c r="A2157" s="77"/>
      <c r="B2157" s="69"/>
      <c r="C2157" s="71"/>
      <c r="E2157" s="22"/>
      <c r="F2157" s="22"/>
      <c r="G2157" s="31"/>
      <c r="J2157" s="23"/>
      <c r="K2157" s="27"/>
    </row>
    <row r="2158" spans="1:11" x14ac:dyDescent="0.25">
      <c r="A2158" s="77"/>
      <c r="B2158" s="69"/>
      <c r="C2158" s="71"/>
      <c r="E2158" s="22"/>
      <c r="F2158" s="22"/>
      <c r="G2158" s="31"/>
      <c r="J2158" s="23"/>
      <c r="K2158" s="27"/>
    </row>
    <row r="2159" spans="1:11" x14ac:dyDescent="0.25">
      <c r="A2159" s="77"/>
      <c r="B2159" s="69"/>
      <c r="C2159" s="71"/>
      <c r="E2159" s="22"/>
      <c r="F2159" s="22"/>
      <c r="G2159" s="31"/>
      <c r="J2159" s="23"/>
      <c r="K2159" s="27"/>
    </row>
    <row r="2160" spans="1:11" x14ac:dyDescent="0.25">
      <c r="A2160" s="77"/>
      <c r="B2160" s="69"/>
      <c r="C2160" s="71"/>
      <c r="E2160" s="22"/>
      <c r="F2160" s="22"/>
      <c r="G2160" s="31"/>
      <c r="J2160" s="23"/>
      <c r="K2160" s="27"/>
    </row>
    <row r="2161" spans="1:11" x14ac:dyDescent="0.25">
      <c r="A2161" s="77"/>
      <c r="B2161" s="69"/>
      <c r="C2161" s="71"/>
      <c r="E2161" s="22"/>
      <c r="F2161" s="22"/>
      <c r="G2161" s="31"/>
      <c r="J2161" s="23"/>
      <c r="K2161" s="27"/>
    </row>
    <row r="2162" spans="1:11" x14ac:dyDescent="0.25">
      <c r="A2162" s="77"/>
      <c r="B2162" s="69"/>
      <c r="C2162" s="71"/>
      <c r="E2162" s="22"/>
      <c r="F2162" s="22"/>
      <c r="G2162" s="31"/>
      <c r="J2162" s="23"/>
      <c r="K2162" s="27"/>
    </row>
    <row r="2163" spans="1:11" x14ac:dyDescent="0.25">
      <c r="A2163" s="77"/>
      <c r="B2163" s="69"/>
      <c r="C2163" s="71"/>
      <c r="E2163" s="22"/>
      <c r="F2163" s="22"/>
      <c r="G2163" s="31"/>
      <c r="J2163" s="23"/>
      <c r="K2163" s="27"/>
    </row>
    <row r="2164" spans="1:11" x14ac:dyDescent="0.25">
      <c r="A2164" s="77"/>
      <c r="B2164" s="69"/>
      <c r="C2164" s="71"/>
      <c r="E2164" s="22"/>
      <c r="F2164" s="22"/>
      <c r="G2164" s="31"/>
      <c r="J2164" s="23"/>
      <c r="K2164" s="27"/>
    </row>
    <row r="2165" spans="1:11" x14ac:dyDescent="0.25">
      <c r="A2165" s="77"/>
      <c r="B2165" s="69"/>
      <c r="C2165" s="71"/>
      <c r="E2165" s="22"/>
      <c r="F2165" s="22"/>
      <c r="G2165" s="31"/>
      <c r="J2165" s="23"/>
      <c r="K2165" s="27"/>
    </row>
    <row r="2166" spans="1:11" x14ac:dyDescent="0.25">
      <c r="A2166" s="77"/>
      <c r="B2166" s="69"/>
      <c r="C2166" s="71"/>
      <c r="E2166" s="22"/>
      <c r="F2166" s="22"/>
      <c r="G2166" s="31"/>
      <c r="J2166" s="23"/>
      <c r="K2166" s="27"/>
    </row>
    <row r="2167" spans="1:11" x14ac:dyDescent="0.25">
      <c r="A2167" s="77"/>
      <c r="B2167" s="69"/>
      <c r="C2167" s="71"/>
      <c r="E2167" s="22"/>
      <c r="F2167" s="22"/>
      <c r="G2167" s="31"/>
      <c r="J2167" s="23"/>
      <c r="K2167" s="27"/>
    </row>
    <row r="2168" spans="1:11" x14ac:dyDescent="0.25">
      <c r="A2168" s="77"/>
      <c r="B2168" s="69"/>
      <c r="C2168" s="71"/>
      <c r="E2168" s="22"/>
      <c r="F2168" s="22"/>
      <c r="G2168" s="31"/>
      <c r="J2168" s="23"/>
      <c r="K2168" s="27"/>
    </row>
    <row r="2169" spans="1:11" x14ac:dyDescent="0.25">
      <c r="A2169" s="77"/>
      <c r="B2169" s="69"/>
      <c r="C2169" s="71"/>
      <c r="E2169" s="22"/>
      <c r="F2169" s="22"/>
      <c r="G2169" s="31"/>
      <c r="J2169" s="23"/>
      <c r="K2169" s="27"/>
    </row>
    <row r="2170" spans="1:11" x14ac:dyDescent="0.25">
      <c r="A2170" s="77"/>
      <c r="B2170" s="69"/>
      <c r="C2170" s="71"/>
      <c r="E2170" s="22"/>
      <c r="F2170" s="22"/>
      <c r="G2170" s="31"/>
      <c r="J2170" s="23"/>
      <c r="K2170" s="27"/>
    </row>
    <row r="2171" spans="1:11" x14ac:dyDescent="0.25">
      <c r="A2171" s="77"/>
      <c r="B2171" s="69"/>
      <c r="C2171" s="71"/>
      <c r="E2171" s="22"/>
      <c r="F2171" s="22"/>
      <c r="G2171" s="31"/>
      <c r="J2171" s="23"/>
      <c r="K2171" s="27"/>
    </row>
    <row r="2172" spans="1:11" x14ac:dyDescent="0.25">
      <c r="A2172" s="77"/>
      <c r="B2172" s="69"/>
      <c r="C2172" s="71"/>
      <c r="E2172" s="22"/>
      <c r="F2172" s="22"/>
      <c r="G2172" s="31"/>
      <c r="J2172" s="23"/>
      <c r="K2172" s="27"/>
    </row>
    <row r="2173" spans="1:11" x14ac:dyDescent="0.25">
      <c r="A2173" s="77"/>
      <c r="B2173" s="69"/>
      <c r="C2173" s="71"/>
      <c r="E2173" s="22"/>
      <c r="F2173" s="22"/>
      <c r="G2173" s="31"/>
      <c r="J2173" s="23"/>
      <c r="K2173" s="27"/>
    </row>
    <row r="2174" spans="1:11" x14ac:dyDescent="0.25">
      <c r="A2174" s="77"/>
      <c r="B2174" s="69"/>
      <c r="C2174" s="71"/>
      <c r="E2174" s="22"/>
      <c r="F2174" s="22"/>
      <c r="G2174" s="31"/>
      <c r="J2174" s="23"/>
      <c r="K2174" s="27"/>
    </row>
    <row r="2175" spans="1:11" x14ac:dyDescent="0.25">
      <c r="A2175" s="77"/>
      <c r="B2175" s="69"/>
      <c r="C2175" s="71"/>
      <c r="E2175" s="22"/>
      <c r="F2175" s="22"/>
      <c r="G2175" s="31"/>
      <c r="J2175" s="23"/>
      <c r="K2175" s="27"/>
    </row>
    <row r="2176" spans="1:11" x14ac:dyDescent="0.25">
      <c r="A2176" s="77"/>
      <c r="B2176" s="69"/>
      <c r="C2176" s="71"/>
      <c r="E2176" s="22"/>
      <c r="F2176" s="22"/>
      <c r="G2176" s="31"/>
      <c r="J2176" s="23"/>
      <c r="K2176" s="27"/>
    </row>
    <row r="2177" spans="1:11" x14ac:dyDescent="0.25">
      <c r="A2177" s="77"/>
      <c r="B2177" s="69"/>
      <c r="C2177" s="71"/>
      <c r="E2177" s="22"/>
      <c r="F2177" s="22"/>
      <c r="G2177" s="31"/>
      <c r="J2177" s="23"/>
      <c r="K2177" s="27"/>
    </row>
    <row r="2178" spans="1:11" x14ac:dyDescent="0.25">
      <c r="A2178" s="77"/>
      <c r="B2178" s="69"/>
      <c r="C2178" s="71"/>
      <c r="E2178" s="22"/>
      <c r="F2178" s="22"/>
      <c r="G2178" s="31"/>
      <c r="J2178" s="23"/>
      <c r="K2178" s="27"/>
    </row>
    <row r="2179" spans="1:11" x14ac:dyDescent="0.25">
      <c r="A2179" s="77"/>
      <c r="B2179" s="69"/>
      <c r="C2179" s="71"/>
      <c r="E2179" s="22"/>
      <c r="F2179" s="22"/>
      <c r="G2179" s="31"/>
      <c r="J2179" s="23"/>
      <c r="K2179" s="27"/>
    </row>
    <row r="2180" spans="1:11" x14ac:dyDescent="0.25">
      <c r="A2180" s="77"/>
      <c r="B2180" s="69"/>
      <c r="C2180" s="71"/>
      <c r="E2180" s="22"/>
      <c r="F2180" s="22"/>
      <c r="G2180" s="31"/>
      <c r="J2180" s="23"/>
      <c r="K2180" s="27"/>
    </row>
    <row r="2181" spans="1:11" x14ac:dyDescent="0.25">
      <c r="A2181" s="77"/>
      <c r="B2181" s="69"/>
      <c r="C2181" s="71"/>
      <c r="E2181" s="22"/>
      <c r="F2181" s="22"/>
      <c r="G2181" s="31"/>
      <c r="J2181" s="23"/>
      <c r="K2181" s="27"/>
    </row>
    <row r="2182" spans="1:11" x14ac:dyDescent="0.25">
      <c r="A2182" s="77"/>
      <c r="B2182" s="69"/>
      <c r="C2182" s="71"/>
      <c r="E2182" s="22"/>
      <c r="F2182" s="22"/>
      <c r="G2182" s="31"/>
      <c r="J2182" s="23"/>
      <c r="K2182" s="27"/>
    </row>
    <row r="2183" spans="1:11" x14ac:dyDescent="0.25">
      <c r="A2183" s="77"/>
      <c r="B2183" s="69"/>
      <c r="C2183" s="71"/>
      <c r="E2183" s="22"/>
      <c r="F2183" s="22"/>
      <c r="G2183" s="31"/>
      <c r="J2183" s="23"/>
      <c r="K2183" s="27"/>
    </row>
    <row r="2184" spans="1:11" x14ac:dyDescent="0.25">
      <c r="A2184" s="77"/>
      <c r="B2184" s="69"/>
      <c r="C2184" s="71"/>
      <c r="E2184" s="22"/>
      <c r="F2184" s="22"/>
      <c r="G2184" s="31"/>
      <c r="J2184" s="23"/>
      <c r="K2184" s="27"/>
    </row>
    <row r="2185" spans="1:11" x14ac:dyDescent="0.25">
      <c r="A2185" s="77"/>
      <c r="B2185" s="69"/>
      <c r="C2185" s="71"/>
      <c r="E2185" s="22"/>
      <c r="F2185" s="22"/>
      <c r="G2185" s="31"/>
      <c r="J2185" s="23"/>
      <c r="K2185" s="27"/>
    </row>
    <row r="2186" spans="1:11" x14ac:dyDescent="0.25">
      <c r="A2186" s="77"/>
      <c r="B2186" s="69"/>
      <c r="C2186" s="71"/>
      <c r="E2186" s="22"/>
      <c r="F2186" s="22"/>
      <c r="G2186" s="31"/>
      <c r="J2186" s="23"/>
      <c r="K2186" s="27"/>
    </row>
    <row r="2187" spans="1:11" x14ac:dyDescent="0.25">
      <c r="A2187" s="77"/>
      <c r="B2187" s="69"/>
      <c r="C2187" s="71"/>
      <c r="E2187" s="22"/>
      <c r="F2187" s="22"/>
      <c r="G2187" s="31"/>
      <c r="J2187" s="23"/>
      <c r="K2187" s="27"/>
    </row>
    <row r="2188" spans="1:11" x14ac:dyDescent="0.25">
      <c r="A2188" s="77"/>
      <c r="B2188" s="69"/>
      <c r="C2188" s="71"/>
      <c r="E2188" s="22"/>
      <c r="F2188" s="22"/>
      <c r="G2188" s="31"/>
      <c r="J2188" s="23"/>
      <c r="K2188" s="27"/>
    </row>
    <row r="2189" spans="1:11" x14ac:dyDescent="0.25">
      <c r="A2189" s="77"/>
      <c r="B2189" s="69"/>
      <c r="C2189" s="71"/>
      <c r="E2189" s="22"/>
      <c r="F2189" s="22"/>
      <c r="G2189" s="31"/>
      <c r="J2189" s="23"/>
      <c r="K2189" s="27"/>
    </row>
    <row r="2190" spans="1:11" x14ac:dyDescent="0.25">
      <c r="A2190" s="77"/>
      <c r="B2190" s="69"/>
      <c r="C2190" s="71"/>
      <c r="E2190" s="22"/>
      <c r="F2190" s="22"/>
      <c r="G2190" s="31"/>
      <c r="J2190" s="23"/>
      <c r="K2190" s="27"/>
    </row>
    <row r="2191" spans="1:11" x14ac:dyDescent="0.25">
      <c r="A2191" s="77"/>
      <c r="B2191" s="69"/>
      <c r="C2191" s="71"/>
      <c r="E2191" s="22"/>
      <c r="F2191" s="22"/>
      <c r="G2191" s="31"/>
      <c r="J2191" s="23"/>
      <c r="K2191" s="27"/>
    </row>
    <row r="2192" spans="1:11" x14ac:dyDescent="0.25">
      <c r="A2192" s="77"/>
      <c r="B2192" s="69"/>
      <c r="C2192" s="71"/>
      <c r="E2192" s="22"/>
      <c r="F2192" s="22"/>
      <c r="G2192" s="31"/>
      <c r="J2192" s="23"/>
      <c r="K2192" s="27"/>
    </row>
    <row r="2193" spans="1:11" x14ac:dyDescent="0.25">
      <c r="A2193" s="77"/>
      <c r="B2193" s="69"/>
      <c r="C2193" s="71"/>
      <c r="E2193" s="22"/>
      <c r="F2193" s="22"/>
      <c r="G2193" s="31"/>
      <c r="J2193" s="23"/>
      <c r="K2193" s="27"/>
    </row>
    <row r="2194" spans="1:11" x14ac:dyDescent="0.25">
      <c r="A2194" s="77"/>
      <c r="B2194" s="69"/>
      <c r="C2194" s="71"/>
      <c r="E2194" s="22"/>
      <c r="F2194" s="22"/>
      <c r="G2194" s="31"/>
      <c r="J2194" s="23"/>
      <c r="K2194" s="27"/>
    </row>
    <row r="2195" spans="1:11" x14ac:dyDescent="0.25">
      <c r="A2195" s="77"/>
      <c r="B2195" s="69"/>
      <c r="C2195" s="71"/>
      <c r="E2195" s="22"/>
      <c r="F2195" s="22"/>
      <c r="G2195" s="31"/>
      <c r="J2195" s="23"/>
      <c r="K2195" s="27"/>
    </row>
    <row r="2196" spans="1:11" x14ac:dyDescent="0.25">
      <c r="A2196" s="77"/>
      <c r="B2196" s="69"/>
      <c r="C2196" s="71"/>
      <c r="E2196" s="22"/>
      <c r="F2196" s="22"/>
      <c r="G2196" s="31"/>
      <c r="J2196" s="23"/>
      <c r="K2196" s="27"/>
    </row>
    <row r="2197" spans="1:11" x14ac:dyDescent="0.25">
      <c r="A2197" s="77"/>
      <c r="B2197" s="69"/>
      <c r="C2197" s="71"/>
      <c r="E2197" s="22"/>
      <c r="F2197" s="22"/>
      <c r="G2197" s="31"/>
      <c r="J2197" s="23"/>
      <c r="K2197" s="27"/>
    </row>
    <row r="2198" spans="1:11" x14ac:dyDescent="0.25">
      <c r="A2198" s="77"/>
      <c r="B2198" s="69"/>
      <c r="C2198" s="71"/>
      <c r="E2198" s="22"/>
      <c r="F2198" s="22"/>
      <c r="G2198" s="31"/>
      <c r="J2198" s="23"/>
      <c r="K2198" s="27"/>
    </row>
    <row r="2199" spans="1:11" x14ac:dyDescent="0.25">
      <c r="A2199" s="77"/>
      <c r="B2199" s="69"/>
      <c r="C2199" s="71"/>
      <c r="E2199" s="22"/>
      <c r="F2199" s="22"/>
      <c r="G2199" s="31"/>
      <c r="J2199" s="23"/>
      <c r="K2199" s="27"/>
    </row>
    <row r="2200" spans="1:11" x14ac:dyDescent="0.25">
      <c r="A2200" s="77"/>
      <c r="B2200" s="69"/>
      <c r="C2200" s="71"/>
      <c r="E2200" s="22"/>
      <c r="F2200" s="22"/>
      <c r="G2200" s="31"/>
      <c r="J2200" s="23"/>
      <c r="K2200" s="27"/>
    </row>
    <row r="2201" spans="1:11" x14ac:dyDescent="0.25">
      <c r="A2201" s="77"/>
      <c r="B2201" s="69"/>
      <c r="C2201" s="71"/>
      <c r="E2201" s="22"/>
      <c r="F2201" s="22"/>
      <c r="G2201" s="31"/>
      <c r="J2201" s="23"/>
      <c r="K2201" s="27"/>
    </row>
    <row r="2202" spans="1:11" x14ac:dyDescent="0.25">
      <c r="A2202" s="77"/>
      <c r="B2202" s="69"/>
      <c r="C2202" s="71"/>
      <c r="E2202" s="22"/>
      <c r="F2202" s="22"/>
      <c r="G2202" s="31"/>
      <c r="J2202" s="23"/>
      <c r="K2202" s="27"/>
    </row>
    <row r="2203" spans="1:11" x14ac:dyDescent="0.25">
      <c r="A2203" s="77"/>
      <c r="B2203" s="69"/>
      <c r="C2203" s="71"/>
      <c r="E2203" s="22"/>
      <c r="F2203" s="22"/>
      <c r="G2203" s="31"/>
      <c r="J2203" s="23"/>
      <c r="K2203" s="27"/>
    </row>
    <row r="2204" spans="1:11" x14ac:dyDescent="0.25">
      <c r="A2204" s="77"/>
      <c r="B2204" s="69"/>
      <c r="C2204" s="71"/>
      <c r="E2204" s="22"/>
      <c r="F2204" s="22"/>
      <c r="G2204" s="31"/>
      <c r="J2204" s="23"/>
      <c r="K2204" s="27"/>
    </row>
    <row r="2205" spans="1:11" x14ac:dyDescent="0.25">
      <c r="A2205" s="77"/>
      <c r="B2205" s="69"/>
      <c r="C2205" s="71"/>
      <c r="E2205" s="22"/>
      <c r="F2205" s="22"/>
      <c r="G2205" s="31"/>
      <c r="J2205" s="23"/>
      <c r="K2205" s="27"/>
    </row>
    <row r="2206" spans="1:11" x14ac:dyDescent="0.25">
      <c r="A2206" s="77"/>
      <c r="B2206" s="69"/>
      <c r="C2206" s="71"/>
      <c r="E2206" s="22"/>
      <c r="F2206" s="22"/>
      <c r="G2206" s="31"/>
      <c r="J2206" s="23"/>
      <c r="K2206" s="27"/>
    </row>
    <row r="2207" spans="1:11" x14ac:dyDescent="0.25">
      <c r="A2207" s="77"/>
      <c r="B2207" s="69"/>
      <c r="C2207" s="71"/>
      <c r="E2207" s="22"/>
      <c r="F2207" s="22"/>
      <c r="G2207" s="31"/>
      <c r="J2207" s="23"/>
      <c r="K2207" s="27"/>
    </row>
    <row r="2208" spans="1:11" x14ac:dyDescent="0.25">
      <c r="A2208" s="77"/>
      <c r="B2208" s="69"/>
      <c r="C2208" s="71"/>
      <c r="E2208" s="22"/>
      <c r="F2208" s="22"/>
      <c r="G2208" s="31"/>
      <c r="J2208" s="23"/>
      <c r="K2208" s="27"/>
    </row>
    <row r="2209" spans="1:11" x14ac:dyDescent="0.25">
      <c r="A2209" s="77"/>
      <c r="B2209" s="69"/>
      <c r="C2209" s="71"/>
      <c r="E2209" s="22"/>
      <c r="F2209" s="22"/>
      <c r="G2209" s="31"/>
      <c r="J2209" s="23"/>
      <c r="K2209" s="27"/>
    </row>
    <row r="2210" spans="1:11" x14ac:dyDescent="0.25">
      <c r="A2210" s="77"/>
      <c r="B2210" s="69"/>
      <c r="C2210" s="71"/>
      <c r="E2210" s="22"/>
      <c r="F2210" s="22"/>
      <c r="G2210" s="31"/>
      <c r="J2210" s="23"/>
      <c r="K2210" s="27"/>
    </row>
    <row r="2211" spans="1:11" x14ac:dyDescent="0.25">
      <c r="A2211" s="77"/>
      <c r="B2211" s="69"/>
      <c r="C2211" s="71"/>
      <c r="E2211" s="22"/>
      <c r="F2211" s="22"/>
      <c r="G2211" s="31"/>
      <c r="J2211" s="23"/>
      <c r="K2211" s="27"/>
    </row>
    <row r="2212" spans="1:11" x14ac:dyDescent="0.25">
      <c r="A2212" s="77"/>
      <c r="B2212" s="69"/>
      <c r="C2212" s="71"/>
      <c r="E2212" s="22"/>
      <c r="F2212" s="22"/>
      <c r="G2212" s="31"/>
      <c r="J2212" s="23"/>
      <c r="K2212" s="27"/>
    </row>
    <row r="2213" spans="1:11" x14ac:dyDescent="0.25">
      <c r="A2213" s="77"/>
      <c r="B2213" s="69"/>
      <c r="C2213" s="71"/>
      <c r="E2213" s="22"/>
      <c r="F2213" s="22"/>
      <c r="G2213" s="31"/>
      <c r="J2213" s="23"/>
      <c r="K2213" s="27"/>
    </row>
    <row r="2214" spans="1:11" x14ac:dyDescent="0.25">
      <c r="A2214" s="77"/>
      <c r="B2214" s="69"/>
      <c r="C2214" s="71"/>
      <c r="E2214" s="22"/>
      <c r="F2214" s="22"/>
      <c r="G2214" s="31"/>
      <c r="J2214" s="23"/>
      <c r="K2214" s="27"/>
    </row>
    <row r="2215" spans="1:11" x14ac:dyDescent="0.25">
      <c r="A2215" s="77"/>
      <c r="B2215" s="69"/>
      <c r="C2215" s="71"/>
      <c r="E2215" s="22"/>
      <c r="F2215" s="22"/>
      <c r="G2215" s="31"/>
      <c r="J2215" s="23"/>
      <c r="K2215" s="27"/>
    </row>
    <row r="2216" spans="1:11" x14ac:dyDescent="0.25">
      <c r="A2216" s="77"/>
      <c r="B2216" s="69"/>
      <c r="C2216" s="71"/>
      <c r="E2216" s="22"/>
      <c r="F2216" s="22"/>
      <c r="G2216" s="31"/>
      <c r="J2216" s="23"/>
      <c r="K2216" s="27"/>
    </row>
    <row r="2217" spans="1:11" x14ac:dyDescent="0.25">
      <c r="A2217" s="77"/>
      <c r="B2217" s="69"/>
      <c r="C2217" s="71"/>
      <c r="E2217" s="22"/>
      <c r="F2217" s="22"/>
      <c r="G2217" s="31"/>
      <c r="J2217" s="23"/>
      <c r="K2217" s="27"/>
    </row>
    <row r="2218" spans="1:11" x14ac:dyDescent="0.25">
      <c r="A2218" s="77"/>
      <c r="B2218" s="69"/>
      <c r="C2218" s="71"/>
      <c r="E2218" s="22"/>
      <c r="F2218" s="22"/>
      <c r="G2218" s="31"/>
      <c r="J2218" s="23"/>
      <c r="K2218" s="27"/>
    </row>
    <row r="2219" spans="1:11" x14ac:dyDescent="0.25">
      <c r="A2219" s="77"/>
      <c r="B2219" s="69"/>
      <c r="C2219" s="71"/>
      <c r="E2219" s="22"/>
      <c r="F2219" s="22"/>
      <c r="G2219" s="31"/>
      <c r="J2219" s="23"/>
      <c r="K2219" s="27"/>
    </row>
    <row r="2220" spans="1:11" x14ac:dyDescent="0.25">
      <c r="A2220" s="77"/>
      <c r="B2220" s="69"/>
      <c r="C2220" s="71"/>
      <c r="E2220" s="22"/>
      <c r="F2220" s="22"/>
      <c r="G2220" s="31"/>
      <c r="J2220" s="23"/>
      <c r="K2220" s="27"/>
    </row>
    <row r="2221" spans="1:11" x14ac:dyDescent="0.25">
      <c r="A2221" s="77"/>
      <c r="B2221" s="69"/>
      <c r="C2221" s="71"/>
      <c r="E2221" s="22"/>
      <c r="F2221" s="22"/>
      <c r="G2221" s="31"/>
      <c r="J2221" s="23"/>
      <c r="K2221" s="27"/>
    </row>
    <row r="2222" spans="1:11" x14ac:dyDescent="0.25">
      <c r="A2222" s="77"/>
      <c r="B2222" s="69"/>
      <c r="C2222" s="71"/>
      <c r="E2222" s="22"/>
      <c r="F2222" s="22"/>
      <c r="G2222" s="31"/>
      <c r="J2222" s="23"/>
      <c r="K2222" s="27"/>
    </row>
    <row r="2223" spans="1:11" x14ac:dyDescent="0.25">
      <c r="A2223" s="77"/>
      <c r="B2223" s="69"/>
      <c r="C2223" s="71"/>
      <c r="E2223" s="22"/>
      <c r="F2223" s="22"/>
      <c r="G2223" s="31"/>
      <c r="J2223" s="23"/>
      <c r="K2223" s="27"/>
    </row>
    <row r="2224" spans="1:11" x14ac:dyDescent="0.25">
      <c r="A2224" s="77"/>
      <c r="B2224" s="69"/>
      <c r="C2224" s="71"/>
      <c r="E2224" s="22"/>
      <c r="F2224" s="22"/>
      <c r="G2224" s="31"/>
      <c r="J2224" s="23"/>
      <c r="K2224" s="27"/>
    </row>
    <row r="2225" spans="1:11" x14ac:dyDescent="0.25">
      <c r="A2225" s="77"/>
      <c r="B2225" s="69"/>
      <c r="C2225" s="71"/>
      <c r="E2225" s="22"/>
      <c r="F2225" s="22"/>
      <c r="G2225" s="31"/>
      <c r="J2225" s="23"/>
      <c r="K2225" s="27"/>
    </row>
    <row r="2226" spans="1:11" x14ac:dyDescent="0.25">
      <c r="A2226" s="77"/>
      <c r="B2226" s="69"/>
      <c r="C2226" s="71"/>
      <c r="E2226" s="22"/>
      <c r="F2226" s="22"/>
      <c r="G2226" s="31"/>
      <c r="J2226" s="23"/>
      <c r="K2226" s="27"/>
    </row>
    <row r="2227" spans="1:11" x14ac:dyDescent="0.25">
      <c r="A2227" s="77"/>
      <c r="B2227" s="69"/>
      <c r="C2227" s="71"/>
      <c r="E2227" s="22"/>
      <c r="F2227" s="22"/>
      <c r="G2227" s="31"/>
      <c r="J2227" s="23"/>
      <c r="K2227" s="27"/>
    </row>
    <row r="2228" spans="1:11" x14ac:dyDescent="0.25">
      <c r="A2228" s="77"/>
      <c r="B2228" s="69"/>
      <c r="C2228" s="71"/>
      <c r="E2228" s="22"/>
      <c r="F2228" s="22"/>
      <c r="G2228" s="31"/>
      <c r="J2228" s="23"/>
      <c r="K2228" s="27"/>
    </row>
    <row r="2229" spans="1:11" x14ac:dyDescent="0.25">
      <c r="A2229" s="77"/>
      <c r="B2229" s="69"/>
      <c r="C2229" s="71"/>
      <c r="E2229" s="22"/>
      <c r="F2229" s="22"/>
      <c r="G2229" s="31"/>
      <c r="J2229" s="23"/>
      <c r="K2229" s="27"/>
    </row>
    <row r="2230" spans="1:11" x14ac:dyDescent="0.25">
      <c r="A2230" s="77"/>
      <c r="B2230" s="69"/>
      <c r="C2230" s="71"/>
      <c r="E2230" s="22"/>
      <c r="F2230" s="22"/>
      <c r="G2230" s="31"/>
      <c r="J2230" s="23"/>
      <c r="K2230" s="27"/>
    </row>
    <row r="2231" spans="1:11" x14ac:dyDescent="0.25">
      <c r="A2231" s="77"/>
      <c r="B2231" s="69"/>
      <c r="C2231" s="71"/>
      <c r="E2231" s="22"/>
      <c r="F2231" s="22"/>
      <c r="G2231" s="31"/>
      <c r="J2231" s="23"/>
      <c r="K2231" s="27"/>
    </row>
    <row r="2232" spans="1:11" x14ac:dyDescent="0.25">
      <c r="A2232" s="77"/>
      <c r="B2232" s="69"/>
      <c r="C2232" s="71"/>
      <c r="E2232" s="22"/>
      <c r="F2232" s="22"/>
      <c r="G2232" s="31"/>
      <c r="J2232" s="23"/>
      <c r="K2232" s="27"/>
    </row>
    <row r="2233" spans="1:11" x14ac:dyDescent="0.25">
      <c r="A2233" s="77"/>
      <c r="B2233" s="69"/>
      <c r="C2233" s="71"/>
      <c r="E2233" s="22"/>
      <c r="F2233" s="22"/>
      <c r="G2233" s="31"/>
      <c r="J2233" s="23"/>
      <c r="K2233" s="27"/>
    </row>
    <row r="2234" spans="1:11" x14ac:dyDescent="0.25">
      <c r="A2234" s="77"/>
      <c r="B2234" s="69"/>
      <c r="C2234" s="71"/>
      <c r="E2234" s="22"/>
      <c r="F2234" s="22"/>
      <c r="G2234" s="31"/>
      <c r="J2234" s="23"/>
      <c r="K2234" s="27"/>
    </row>
    <row r="2235" spans="1:11" x14ac:dyDescent="0.25">
      <c r="A2235" s="77"/>
      <c r="B2235" s="69"/>
      <c r="C2235" s="71"/>
      <c r="E2235" s="22"/>
      <c r="F2235" s="22"/>
      <c r="G2235" s="31"/>
      <c r="J2235" s="23"/>
      <c r="K2235" s="27"/>
    </row>
    <row r="2236" spans="1:11" x14ac:dyDescent="0.25">
      <c r="A2236" s="77"/>
      <c r="B2236" s="69"/>
      <c r="C2236" s="71"/>
      <c r="E2236" s="22"/>
      <c r="F2236" s="22"/>
      <c r="G2236" s="31"/>
      <c r="J2236" s="23"/>
      <c r="K2236" s="27"/>
    </row>
    <row r="2237" spans="1:11" x14ac:dyDescent="0.25">
      <c r="A2237" s="77"/>
      <c r="B2237" s="69"/>
      <c r="C2237" s="71"/>
      <c r="E2237" s="22"/>
      <c r="F2237" s="22"/>
      <c r="G2237" s="31"/>
      <c r="J2237" s="23"/>
      <c r="K2237" s="27"/>
    </row>
    <row r="2238" spans="1:11" x14ac:dyDescent="0.25">
      <c r="A2238" s="77"/>
      <c r="B2238" s="69"/>
      <c r="C2238" s="71"/>
      <c r="E2238" s="22"/>
      <c r="F2238" s="22"/>
      <c r="G2238" s="31"/>
      <c r="J2238" s="23"/>
      <c r="K2238" s="27"/>
    </row>
    <row r="2239" spans="1:11" x14ac:dyDescent="0.25">
      <c r="A2239" s="77"/>
      <c r="B2239" s="69"/>
      <c r="C2239" s="71"/>
      <c r="E2239" s="22"/>
      <c r="F2239" s="22"/>
      <c r="G2239" s="31"/>
      <c r="J2239" s="23"/>
      <c r="K2239" s="27"/>
    </row>
    <row r="2240" spans="1:11" x14ac:dyDescent="0.25">
      <c r="A2240" s="77"/>
      <c r="B2240" s="69"/>
      <c r="C2240" s="71"/>
      <c r="E2240" s="22"/>
      <c r="F2240" s="22"/>
      <c r="G2240" s="31"/>
      <c r="J2240" s="23"/>
      <c r="K2240" s="27"/>
    </row>
    <row r="2241" spans="1:11" x14ac:dyDescent="0.25">
      <c r="A2241" s="77"/>
      <c r="B2241" s="69"/>
      <c r="C2241" s="71"/>
      <c r="E2241" s="22"/>
      <c r="F2241" s="22"/>
      <c r="G2241" s="31"/>
      <c r="J2241" s="23"/>
      <c r="K2241" s="27"/>
    </row>
    <row r="2242" spans="1:11" x14ac:dyDescent="0.25">
      <c r="A2242" s="77"/>
      <c r="B2242" s="69"/>
      <c r="C2242" s="71"/>
      <c r="E2242" s="22"/>
      <c r="F2242" s="22"/>
      <c r="G2242" s="31"/>
      <c r="J2242" s="23"/>
      <c r="K2242" s="27"/>
    </row>
    <row r="2243" spans="1:11" x14ac:dyDescent="0.25">
      <c r="A2243" s="77"/>
      <c r="B2243" s="69"/>
      <c r="C2243" s="71"/>
      <c r="E2243" s="22"/>
      <c r="F2243" s="22"/>
      <c r="G2243" s="31"/>
      <c r="J2243" s="23"/>
      <c r="K2243" s="27"/>
    </row>
    <row r="2244" spans="1:11" x14ac:dyDescent="0.25">
      <c r="A2244" s="77"/>
      <c r="B2244" s="69"/>
      <c r="C2244" s="71"/>
      <c r="E2244" s="22"/>
      <c r="F2244" s="22"/>
      <c r="G2244" s="31"/>
      <c r="J2244" s="23"/>
      <c r="K2244" s="27"/>
    </row>
    <row r="2245" spans="1:11" x14ac:dyDescent="0.25">
      <c r="A2245" s="77"/>
      <c r="B2245" s="69"/>
      <c r="C2245" s="71"/>
      <c r="E2245" s="22"/>
      <c r="F2245" s="22"/>
      <c r="G2245" s="31"/>
      <c r="J2245" s="23"/>
      <c r="K2245" s="27"/>
    </row>
    <row r="2246" spans="1:11" x14ac:dyDescent="0.25">
      <c r="A2246" s="77"/>
      <c r="B2246" s="69"/>
      <c r="C2246" s="71"/>
      <c r="E2246" s="22"/>
      <c r="F2246" s="22"/>
      <c r="G2246" s="31"/>
      <c r="J2246" s="23"/>
      <c r="K2246" s="27"/>
    </row>
    <row r="2247" spans="1:11" x14ac:dyDescent="0.25">
      <c r="A2247" s="77"/>
      <c r="B2247" s="69"/>
      <c r="C2247" s="71"/>
      <c r="E2247" s="22"/>
      <c r="F2247" s="22"/>
      <c r="G2247" s="31"/>
      <c r="J2247" s="23"/>
      <c r="K2247" s="27"/>
    </row>
    <row r="2248" spans="1:11" x14ac:dyDescent="0.25">
      <c r="A2248" s="77"/>
      <c r="B2248" s="69"/>
      <c r="C2248" s="71"/>
      <c r="E2248" s="22"/>
      <c r="F2248" s="22"/>
      <c r="G2248" s="31"/>
      <c r="J2248" s="23"/>
      <c r="K2248" s="27"/>
    </row>
    <row r="2249" spans="1:11" x14ac:dyDescent="0.25">
      <c r="A2249" s="77"/>
      <c r="B2249" s="69"/>
      <c r="C2249" s="71"/>
      <c r="E2249" s="22"/>
      <c r="F2249" s="22"/>
      <c r="G2249" s="31"/>
      <c r="J2249" s="23"/>
      <c r="K2249" s="27"/>
    </row>
    <row r="2250" spans="1:11" x14ac:dyDescent="0.25">
      <c r="A2250" s="77"/>
      <c r="B2250" s="69"/>
      <c r="C2250" s="71"/>
      <c r="E2250" s="22"/>
      <c r="F2250" s="22"/>
      <c r="G2250" s="31"/>
      <c r="J2250" s="23"/>
      <c r="K2250" s="27"/>
    </row>
    <row r="2251" spans="1:11" x14ac:dyDescent="0.25">
      <c r="A2251" s="77"/>
      <c r="B2251" s="69"/>
      <c r="C2251" s="71"/>
      <c r="E2251" s="22"/>
      <c r="F2251" s="22"/>
      <c r="G2251" s="31"/>
      <c r="J2251" s="23"/>
      <c r="K2251" s="27"/>
    </row>
    <row r="2252" spans="1:11" x14ac:dyDescent="0.25">
      <c r="A2252" s="77"/>
      <c r="B2252" s="69"/>
      <c r="C2252" s="71"/>
      <c r="E2252" s="22"/>
      <c r="F2252" s="22"/>
      <c r="G2252" s="31"/>
      <c r="J2252" s="23"/>
      <c r="K2252" s="27"/>
    </row>
    <row r="2253" spans="1:11" x14ac:dyDescent="0.25">
      <c r="A2253" s="77"/>
      <c r="B2253" s="69"/>
      <c r="C2253" s="71"/>
      <c r="E2253" s="22"/>
      <c r="F2253" s="22"/>
      <c r="G2253" s="31"/>
      <c r="J2253" s="23"/>
      <c r="K2253" s="27"/>
    </row>
    <row r="2254" spans="1:11" x14ac:dyDescent="0.25">
      <c r="A2254" s="77"/>
      <c r="B2254" s="69"/>
      <c r="C2254" s="71"/>
      <c r="E2254" s="22"/>
      <c r="F2254" s="22"/>
      <c r="G2254" s="31"/>
      <c r="J2254" s="23"/>
      <c r="K2254" s="27"/>
    </row>
    <row r="2255" spans="1:11" x14ac:dyDescent="0.25">
      <c r="A2255" s="77"/>
      <c r="B2255" s="69"/>
      <c r="C2255" s="71"/>
      <c r="E2255" s="22"/>
      <c r="F2255" s="22"/>
      <c r="G2255" s="31"/>
      <c r="J2255" s="23"/>
      <c r="K2255" s="27"/>
    </row>
    <row r="2256" spans="1:11" x14ac:dyDescent="0.25">
      <c r="A2256" s="77"/>
      <c r="B2256" s="69"/>
      <c r="C2256" s="71"/>
      <c r="E2256" s="22"/>
      <c r="F2256" s="22"/>
      <c r="G2256" s="31"/>
      <c r="J2256" s="23"/>
      <c r="K2256" s="27"/>
    </row>
    <row r="2257" spans="1:11" x14ac:dyDescent="0.25">
      <c r="A2257" s="77"/>
      <c r="B2257" s="69"/>
      <c r="C2257" s="71"/>
      <c r="E2257" s="22"/>
      <c r="F2257" s="22"/>
      <c r="G2257" s="31"/>
      <c r="J2257" s="23"/>
      <c r="K2257" s="27"/>
    </row>
    <row r="2258" spans="1:11" x14ac:dyDescent="0.25">
      <c r="A2258" s="77"/>
      <c r="B2258" s="69"/>
      <c r="C2258" s="71"/>
      <c r="E2258" s="22"/>
      <c r="F2258" s="22"/>
      <c r="G2258" s="31"/>
      <c r="J2258" s="23"/>
      <c r="K2258" s="27"/>
    </row>
    <row r="2259" spans="1:11" x14ac:dyDescent="0.25">
      <c r="A2259" s="77"/>
      <c r="B2259" s="69"/>
      <c r="C2259" s="71"/>
      <c r="E2259" s="22"/>
      <c r="F2259" s="22"/>
      <c r="G2259" s="31"/>
      <c r="J2259" s="23"/>
      <c r="K2259" s="27"/>
    </row>
    <row r="2260" spans="1:11" x14ac:dyDescent="0.25">
      <c r="A2260" s="77"/>
      <c r="B2260" s="69"/>
      <c r="C2260" s="71"/>
      <c r="E2260" s="22"/>
      <c r="F2260" s="22"/>
      <c r="G2260" s="31"/>
      <c r="J2260" s="23"/>
      <c r="K2260" s="27"/>
    </row>
    <row r="2261" spans="1:11" x14ac:dyDescent="0.25">
      <c r="A2261" s="77"/>
      <c r="B2261" s="69"/>
      <c r="C2261" s="71"/>
      <c r="E2261" s="22"/>
      <c r="F2261" s="22"/>
      <c r="G2261" s="31"/>
      <c r="J2261" s="23"/>
      <c r="K2261" s="27"/>
    </row>
    <row r="2262" spans="1:11" x14ac:dyDescent="0.25">
      <c r="A2262" s="77"/>
      <c r="B2262" s="69"/>
      <c r="C2262" s="71"/>
      <c r="E2262" s="22"/>
      <c r="F2262" s="22"/>
      <c r="G2262" s="31"/>
      <c r="J2262" s="23"/>
      <c r="K2262" s="27"/>
    </row>
    <row r="2263" spans="1:11" x14ac:dyDescent="0.25">
      <c r="A2263" s="77"/>
      <c r="B2263" s="69"/>
      <c r="C2263" s="71"/>
      <c r="E2263" s="22"/>
      <c r="F2263" s="22"/>
      <c r="G2263" s="31"/>
      <c r="J2263" s="23"/>
      <c r="K2263" s="27"/>
    </row>
    <row r="2264" spans="1:11" x14ac:dyDescent="0.25">
      <c r="A2264" s="77"/>
      <c r="B2264" s="69"/>
      <c r="C2264" s="71"/>
      <c r="E2264" s="22"/>
      <c r="F2264" s="22"/>
      <c r="G2264" s="31"/>
      <c r="J2264" s="23"/>
      <c r="K2264" s="27"/>
    </row>
    <row r="2265" spans="1:11" x14ac:dyDescent="0.25">
      <c r="A2265" s="77"/>
      <c r="B2265" s="69"/>
      <c r="C2265" s="71"/>
      <c r="E2265" s="22"/>
      <c r="F2265" s="22"/>
      <c r="G2265" s="31"/>
      <c r="J2265" s="23"/>
      <c r="K2265" s="27"/>
    </row>
    <row r="2266" spans="1:11" x14ac:dyDescent="0.25">
      <c r="A2266" s="77"/>
      <c r="B2266" s="69"/>
      <c r="C2266" s="71"/>
      <c r="E2266" s="22"/>
      <c r="F2266" s="22"/>
      <c r="G2266" s="31"/>
      <c r="J2266" s="23"/>
      <c r="K2266" s="27"/>
    </row>
    <row r="2267" spans="1:11" x14ac:dyDescent="0.25">
      <c r="A2267" s="77"/>
      <c r="B2267" s="69"/>
      <c r="C2267" s="71"/>
      <c r="E2267" s="22"/>
      <c r="F2267" s="22"/>
      <c r="G2267" s="31"/>
      <c r="J2267" s="23"/>
      <c r="K2267" s="27"/>
    </row>
    <row r="2268" spans="1:11" x14ac:dyDescent="0.25">
      <c r="A2268" s="77"/>
      <c r="B2268" s="69"/>
      <c r="C2268" s="71"/>
      <c r="E2268" s="22"/>
      <c r="F2268" s="22"/>
      <c r="G2268" s="31"/>
      <c r="J2268" s="23"/>
      <c r="K2268" s="27"/>
    </row>
    <row r="2269" spans="1:11" x14ac:dyDescent="0.25">
      <c r="A2269" s="77"/>
      <c r="B2269" s="69"/>
      <c r="C2269" s="71"/>
      <c r="E2269" s="22"/>
      <c r="F2269" s="22"/>
      <c r="G2269" s="31"/>
      <c r="J2269" s="23"/>
      <c r="K2269" s="27"/>
    </row>
    <row r="2270" spans="1:11" x14ac:dyDescent="0.25">
      <c r="A2270" s="77"/>
      <c r="B2270" s="69"/>
      <c r="C2270" s="71"/>
      <c r="E2270" s="22"/>
      <c r="F2270" s="22"/>
      <c r="G2270" s="31"/>
      <c r="J2270" s="23"/>
      <c r="K2270" s="27"/>
    </row>
    <row r="2271" spans="1:11" x14ac:dyDescent="0.25">
      <c r="A2271" s="77"/>
      <c r="B2271" s="69"/>
      <c r="C2271" s="71"/>
      <c r="E2271" s="22"/>
      <c r="F2271" s="22"/>
      <c r="G2271" s="31"/>
      <c r="J2271" s="23"/>
      <c r="K2271" s="27"/>
    </row>
    <row r="2272" spans="1:11" x14ac:dyDescent="0.25">
      <c r="A2272" s="77"/>
      <c r="B2272" s="69"/>
      <c r="C2272" s="71"/>
      <c r="E2272" s="22"/>
      <c r="F2272" s="22"/>
      <c r="G2272" s="31"/>
      <c r="J2272" s="23"/>
      <c r="K2272" s="27"/>
    </row>
    <row r="2273" spans="1:11" x14ac:dyDescent="0.25">
      <c r="A2273" s="77"/>
      <c r="B2273" s="69"/>
      <c r="C2273" s="71"/>
      <c r="E2273" s="22"/>
      <c r="F2273" s="22"/>
      <c r="G2273" s="31"/>
      <c r="J2273" s="23"/>
      <c r="K2273" s="27"/>
    </row>
    <row r="2274" spans="1:11" x14ac:dyDescent="0.25">
      <c r="A2274" s="77"/>
      <c r="B2274" s="69"/>
      <c r="C2274" s="71"/>
      <c r="E2274" s="22"/>
      <c r="F2274" s="22"/>
      <c r="G2274" s="31"/>
      <c r="J2274" s="23"/>
      <c r="K2274" s="27"/>
    </row>
    <row r="2275" spans="1:11" x14ac:dyDescent="0.25">
      <c r="A2275" s="77"/>
      <c r="B2275" s="69"/>
      <c r="C2275" s="71"/>
      <c r="E2275" s="22"/>
      <c r="F2275" s="22"/>
      <c r="G2275" s="31"/>
      <c r="J2275" s="23"/>
      <c r="K2275" s="27"/>
    </row>
    <row r="2276" spans="1:11" x14ac:dyDescent="0.25">
      <c r="A2276" s="77"/>
      <c r="B2276" s="69"/>
      <c r="C2276" s="71"/>
      <c r="E2276" s="22"/>
      <c r="F2276" s="22"/>
      <c r="G2276" s="31"/>
      <c r="J2276" s="23"/>
      <c r="K2276" s="27"/>
    </row>
    <row r="2277" spans="1:11" x14ac:dyDescent="0.25">
      <c r="A2277" s="77"/>
      <c r="B2277" s="69"/>
      <c r="C2277" s="71"/>
      <c r="E2277" s="22"/>
      <c r="F2277" s="22"/>
      <c r="G2277" s="31"/>
      <c r="J2277" s="23"/>
      <c r="K2277" s="27"/>
    </row>
    <row r="2278" spans="1:11" x14ac:dyDescent="0.25">
      <c r="A2278" s="77"/>
      <c r="B2278" s="69"/>
      <c r="C2278" s="71"/>
      <c r="E2278" s="22"/>
      <c r="F2278" s="22"/>
      <c r="G2278" s="31"/>
      <c r="J2278" s="23"/>
      <c r="K2278" s="27"/>
    </row>
    <row r="2279" spans="1:11" x14ac:dyDescent="0.25">
      <c r="A2279" s="77"/>
      <c r="B2279" s="69"/>
      <c r="C2279" s="71"/>
      <c r="E2279" s="22"/>
      <c r="F2279" s="22"/>
      <c r="G2279" s="31"/>
      <c r="J2279" s="23"/>
      <c r="K2279" s="27"/>
    </row>
    <row r="2280" spans="1:11" x14ac:dyDescent="0.25">
      <c r="A2280" s="77"/>
      <c r="B2280" s="69"/>
      <c r="C2280" s="71"/>
      <c r="E2280" s="22"/>
      <c r="F2280" s="22"/>
      <c r="G2280" s="31"/>
      <c r="J2280" s="23"/>
      <c r="K2280" s="27"/>
    </row>
    <row r="2281" spans="1:11" x14ac:dyDescent="0.25">
      <c r="A2281" s="77"/>
      <c r="B2281" s="69"/>
      <c r="C2281" s="71"/>
      <c r="E2281" s="22"/>
      <c r="F2281" s="22"/>
      <c r="G2281" s="31"/>
      <c r="J2281" s="23"/>
      <c r="K2281" s="27"/>
    </row>
    <row r="2282" spans="1:11" x14ac:dyDescent="0.25">
      <c r="A2282" s="77"/>
      <c r="B2282" s="69"/>
      <c r="C2282" s="71"/>
      <c r="E2282" s="22"/>
      <c r="F2282" s="22"/>
      <c r="G2282" s="31"/>
      <c r="J2282" s="23"/>
      <c r="K2282" s="27"/>
    </row>
    <row r="2283" spans="1:11" x14ac:dyDescent="0.25">
      <c r="A2283" s="77"/>
      <c r="B2283" s="69"/>
      <c r="C2283" s="71"/>
      <c r="E2283" s="22"/>
      <c r="F2283" s="22"/>
      <c r="G2283" s="31"/>
      <c r="J2283" s="23"/>
      <c r="K2283" s="27"/>
    </row>
    <row r="2284" spans="1:11" x14ac:dyDescent="0.25">
      <c r="A2284" s="77"/>
      <c r="B2284" s="69"/>
      <c r="C2284" s="71"/>
      <c r="E2284" s="22"/>
      <c r="F2284" s="22"/>
      <c r="G2284" s="31"/>
      <c r="J2284" s="23"/>
      <c r="K2284" s="27"/>
    </row>
    <row r="2285" spans="1:11" x14ac:dyDescent="0.25">
      <c r="A2285" s="77"/>
      <c r="B2285" s="69"/>
      <c r="C2285" s="71"/>
      <c r="E2285" s="22"/>
      <c r="F2285" s="22"/>
      <c r="G2285" s="31"/>
      <c r="J2285" s="23"/>
      <c r="K2285" s="27"/>
    </row>
    <row r="2286" spans="1:11" x14ac:dyDescent="0.25">
      <c r="A2286" s="77"/>
      <c r="B2286" s="69"/>
      <c r="C2286" s="71"/>
      <c r="E2286" s="22"/>
      <c r="F2286" s="22"/>
      <c r="G2286" s="31"/>
      <c r="J2286" s="23"/>
      <c r="K2286" s="27"/>
    </row>
    <row r="2287" spans="1:11" x14ac:dyDescent="0.25">
      <c r="A2287" s="77"/>
      <c r="B2287" s="69"/>
      <c r="C2287" s="71"/>
      <c r="E2287" s="22"/>
      <c r="F2287" s="22"/>
      <c r="G2287" s="31"/>
      <c r="J2287" s="23"/>
      <c r="K2287" s="27"/>
    </row>
    <row r="2288" spans="1:11" x14ac:dyDescent="0.25">
      <c r="A2288" s="77"/>
      <c r="B2288" s="69"/>
      <c r="C2288" s="71"/>
      <c r="E2288" s="22"/>
      <c r="F2288" s="22"/>
      <c r="G2288" s="31"/>
      <c r="J2288" s="23"/>
      <c r="K2288" s="27"/>
    </row>
    <row r="2289" spans="1:11" x14ac:dyDescent="0.25">
      <c r="A2289" s="77"/>
      <c r="B2289" s="69"/>
      <c r="C2289" s="71"/>
      <c r="E2289" s="22"/>
      <c r="F2289" s="22"/>
      <c r="G2289" s="31"/>
      <c r="J2289" s="23"/>
      <c r="K2289" s="27"/>
    </row>
    <row r="2290" spans="1:11" x14ac:dyDescent="0.25">
      <c r="A2290" s="77"/>
      <c r="B2290" s="69"/>
      <c r="C2290" s="71"/>
      <c r="E2290" s="22"/>
      <c r="F2290" s="22"/>
      <c r="G2290" s="31"/>
      <c r="J2290" s="23"/>
      <c r="K2290" s="27"/>
    </row>
    <row r="2291" spans="1:11" x14ac:dyDescent="0.25">
      <c r="A2291" s="77"/>
      <c r="B2291" s="69"/>
      <c r="C2291" s="71"/>
      <c r="E2291" s="22"/>
      <c r="F2291" s="22"/>
      <c r="G2291" s="31"/>
      <c r="J2291" s="23"/>
      <c r="K2291" s="27"/>
    </row>
    <row r="2292" spans="1:11" x14ac:dyDescent="0.25">
      <c r="A2292" s="77"/>
      <c r="B2292" s="69"/>
      <c r="C2292" s="71"/>
      <c r="E2292" s="22"/>
      <c r="F2292" s="22"/>
      <c r="G2292" s="31"/>
      <c r="J2292" s="23"/>
      <c r="K2292" s="27"/>
    </row>
    <row r="2293" spans="1:11" x14ac:dyDescent="0.25">
      <c r="A2293" s="77"/>
      <c r="B2293" s="69"/>
      <c r="C2293" s="71"/>
      <c r="E2293" s="22"/>
      <c r="F2293" s="22"/>
      <c r="G2293" s="31"/>
      <c r="J2293" s="23"/>
      <c r="K2293" s="27"/>
    </row>
    <row r="2294" spans="1:11" x14ac:dyDescent="0.25">
      <c r="A2294" s="77"/>
      <c r="B2294" s="69"/>
      <c r="C2294" s="71"/>
      <c r="E2294" s="22"/>
      <c r="F2294" s="22"/>
      <c r="G2294" s="31"/>
      <c r="J2294" s="23"/>
      <c r="K2294" s="27"/>
    </row>
    <row r="2295" spans="1:11" x14ac:dyDescent="0.25">
      <c r="A2295" s="77"/>
      <c r="B2295" s="69"/>
      <c r="C2295" s="71"/>
      <c r="E2295" s="22"/>
      <c r="F2295" s="22"/>
      <c r="G2295" s="31"/>
      <c r="J2295" s="23"/>
      <c r="K2295" s="27"/>
    </row>
    <row r="2296" spans="1:11" x14ac:dyDescent="0.25">
      <c r="A2296" s="77"/>
      <c r="B2296" s="69"/>
      <c r="C2296" s="71"/>
      <c r="E2296" s="22"/>
      <c r="F2296" s="22"/>
      <c r="G2296" s="31"/>
      <c r="J2296" s="23"/>
      <c r="K2296" s="27"/>
    </row>
    <row r="2297" spans="1:11" x14ac:dyDescent="0.25">
      <c r="A2297" s="77"/>
      <c r="B2297" s="69"/>
      <c r="C2297" s="71"/>
      <c r="E2297" s="22"/>
      <c r="F2297" s="22"/>
      <c r="G2297" s="31"/>
      <c r="J2297" s="23"/>
      <c r="K2297" s="27"/>
    </row>
    <row r="2298" spans="1:11" x14ac:dyDescent="0.25">
      <c r="A2298" s="77"/>
      <c r="B2298" s="69"/>
      <c r="C2298" s="71"/>
      <c r="E2298" s="22"/>
      <c r="F2298" s="22"/>
      <c r="G2298" s="31"/>
      <c r="J2298" s="23"/>
      <c r="K2298" s="27"/>
    </row>
    <row r="2299" spans="1:11" x14ac:dyDescent="0.25">
      <c r="A2299" s="77"/>
      <c r="B2299" s="69"/>
      <c r="C2299" s="71"/>
      <c r="E2299" s="22"/>
      <c r="F2299" s="22"/>
      <c r="G2299" s="31"/>
      <c r="J2299" s="23"/>
      <c r="K2299" s="27"/>
    </row>
    <row r="2300" spans="1:11" x14ac:dyDescent="0.25">
      <c r="A2300" s="77"/>
      <c r="B2300" s="69"/>
      <c r="C2300" s="71"/>
      <c r="E2300" s="22"/>
      <c r="F2300" s="22"/>
      <c r="G2300" s="31"/>
      <c r="J2300" s="23"/>
      <c r="K2300" s="27"/>
    </row>
    <row r="2301" spans="1:11" x14ac:dyDescent="0.25">
      <c r="A2301" s="77"/>
      <c r="B2301" s="69"/>
      <c r="C2301" s="71"/>
      <c r="E2301" s="22"/>
      <c r="F2301" s="22"/>
      <c r="G2301" s="31"/>
      <c r="J2301" s="23"/>
      <c r="K2301" s="27"/>
    </row>
    <row r="2302" spans="1:11" x14ac:dyDescent="0.25">
      <c r="A2302" s="77"/>
      <c r="B2302" s="69"/>
      <c r="C2302" s="71"/>
      <c r="E2302" s="22"/>
      <c r="F2302" s="22"/>
      <c r="G2302" s="31"/>
      <c r="J2302" s="23"/>
      <c r="K2302" s="27"/>
    </row>
    <row r="2303" spans="1:11" x14ac:dyDescent="0.25">
      <c r="A2303" s="77"/>
      <c r="B2303" s="69"/>
      <c r="C2303" s="71"/>
      <c r="E2303" s="22"/>
      <c r="F2303" s="22"/>
      <c r="G2303" s="31"/>
      <c r="J2303" s="23"/>
      <c r="K2303" s="27"/>
    </row>
    <row r="2304" spans="1:11" x14ac:dyDescent="0.25">
      <c r="A2304" s="77"/>
      <c r="B2304" s="69"/>
      <c r="C2304" s="71"/>
      <c r="E2304" s="22"/>
      <c r="F2304" s="22"/>
      <c r="G2304" s="31"/>
      <c r="J2304" s="23"/>
      <c r="K2304" s="27"/>
    </row>
    <row r="2305" spans="1:11" x14ac:dyDescent="0.25">
      <c r="A2305" s="77"/>
      <c r="B2305" s="69"/>
      <c r="C2305" s="71"/>
      <c r="E2305" s="22"/>
      <c r="F2305" s="22"/>
      <c r="G2305" s="31"/>
      <c r="J2305" s="23"/>
      <c r="K2305" s="27"/>
    </row>
    <row r="2306" spans="1:11" x14ac:dyDescent="0.25">
      <c r="A2306" s="77"/>
      <c r="B2306" s="69"/>
      <c r="C2306" s="71"/>
      <c r="E2306" s="22"/>
      <c r="F2306" s="22"/>
      <c r="G2306" s="31"/>
      <c r="J2306" s="23"/>
      <c r="K2306" s="27"/>
    </row>
    <row r="2307" spans="1:11" x14ac:dyDescent="0.25">
      <c r="A2307" s="77"/>
      <c r="B2307" s="69"/>
      <c r="C2307" s="71"/>
      <c r="E2307" s="22"/>
      <c r="F2307" s="22"/>
      <c r="G2307" s="31"/>
      <c r="J2307" s="23"/>
      <c r="K2307" s="27"/>
    </row>
    <row r="2308" spans="1:11" x14ac:dyDescent="0.25">
      <c r="A2308" s="77"/>
      <c r="B2308" s="69"/>
      <c r="C2308" s="71"/>
      <c r="E2308" s="22"/>
      <c r="F2308" s="22"/>
      <c r="G2308" s="31"/>
      <c r="J2308" s="23"/>
      <c r="K2308" s="27"/>
    </row>
    <row r="2309" spans="1:11" x14ac:dyDescent="0.25">
      <c r="A2309" s="77"/>
      <c r="B2309" s="69"/>
      <c r="C2309" s="71"/>
      <c r="E2309" s="22"/>
      <c r="F2309" s="22"/>
      <c r="G2309" s="31"/>
      <c r="J2309" s="23"/>
      <c r="K2309" s="27"/>
    </row>
    <row r="2310" spans="1:11" x14ac:dyDescent="0.25">
      <c r="A2310" s="77"/>
      <c r="B2310" s="69"/>
      <c r="C2310" s="71"/>
      <c r="E2310" s="22"/>
      <c r="F2310" s="22"/>
      <c r="G2310" s="31"/>
      <c r="J2310" s="23"/>
      <c r="K2310" s="27"/>
    </row>
    <row r="2311" spans="1:11" x14ac:dyDescent="0.25">
      <c r="A2311" s="77"/>
      <c r="B2311" s="69"/>
      <c r="C2311" s="71"/>
      <c r="E2311" s="22"/>
      <c r="F2311" s="22"/>
      <c r="G2311" s="31"/>
      <c r="J2311" s="23"/>
      <c r="K2311" s="27"/>
    </row>
    <row r="2312" spans="1:11" x14ac:dyDescent="0.25">
      <c r="A2312" s="77"/>
      <c r="B2312" s="69"/>
      <c r="C2312" s="71"/>
      <c r="E2312" s="22"/>
      <c r="F2312" s="22"/>
      <c r="G2312" s="31"/>
      <c r="J2312" s="23"/>
      <c r="K2312" s="27"/>
    </row>
    <row r="2313" spans="1:11" x14ac:dyDescent="0.25">
      <c r="A2313" s="77"/>
      <c r="B2313" s="69"/>
      <c r="C2313" s="71"/>
      <c r="E2313" s="22"/>
      <c r="F2313" s="22"/>
      <c r="G2313" s="31"/>
      <c r="J2313" s="23"/>
      <c r="K2313" s="27"/>
    </row>
    <row r="2314" spans="1:11" x14ac:dyDescent="0.25">
      <c r="A2314" s="77"/>
      <c r="B2314" s="69"/>
      <c r="C2314" s="71"/>
      <c r="E2314" s="22"/>
      <c r="F2314" s="22"/>
      <c r="G2314" s="31"/>
      <c r="J2314" s="23"/>
      <c r="K2314" s="27"/>
    </row>
    <row r="2315" spans="1:11" x14ac:dyDescent="0.25">
      <c r="A2315" s="77"/>
      <c r="B2315" s="69"/>
      <c r="C2315" s="71"/>
      <c r="E2315" s="22"/>
      <c r="F2315" s="22"/>
      <c r="G2315" s="31"/>
      <c r="J2315" s="23"/>
      <c r="K2315" s="27"/>
    </row>
    <row r="2316" spans="1:11" x14ac:dyDescent="0.25">
      <c r="A2316" s="77"/>
      <c r="B2316" s="69"/>
      <c r="C2316" s="71"/>
      <c r="E2316" s="22"/>
      <c r="F2316" s="22"/>
      <c r="G2316" s="31"/>
      <c r="J2316" s="23"/>
      <c r="K2316" s="27"/>
    </row>
    <row r="2317" spans="1:11" x14ac:dyDescent="0.25">
      <c r="A2317" s="77"/>
      <c r="B2317" s="69"/>
      <c r="C2317" s="71"/>
      <c r="E2317" s="22"/>
      <c r="F2317" s="22"/>
      <c r="G2317" s="31"/>
      <c r="J2317" s="23"/>
      <c r="K2317" s="27"/>
    </row>
    <row r="2318" spans="1:11" x14ac:dyDescent="0.25">
      <c r="A2318" s="77"/>
      <c r="B2318" s="69"/>
      <c r="C2318" s="71"/>
      <c r="E2318" s="22"/>
      <c r="F2318" s="22"/>
      <c r="G2318" s="31"/>
      <c r="J2318" s="23"/>
      <c r="K2318" s="27"/>
    </row>
    <row r="2319" spans="1:11" x14ac:dyDescent="0.25">
      <c r="A2319" s="77"/>
      <c r="B2319" s="69"/>
      <c r="C2319" s="71"/>
      <c r="E2319" s="22"/>
      <c r="F2319" s="22"/>
      <c r="G2319" s="31"/>
      <c r="J2319" s="23"/>
      <c r="K2319" s="27"/>
    </row>
    <row r="2320" spans="1:11" x14ac:dyDescent="0.25">
      <c r="A2320" s="77"/>
      <c r="B2320" s="69"/>
      <c r="C2320" s="71"/>
      <c r="E2320" s="22"/>
      <c r="F2320" s="22"/>
      <c r="G2320" s="31"/>
      <c r="J2320" s="23"/>
      <c r="K2320" s="27"/>
    </row>
    <row r="2321" spans="1:11" x14ac:dyDescent="0.25">
      <c r="A2321" s="77"/>
      <c r="B2321" s="69"/>
      <c r="C2321" s="71"/>
      <c r="E2321" s="22"/>
      <c r="F2321" s="22"/>
      <c r="G2321" s="31"/>
      <c r="J2321" s="23"/>
      <c r="K2321" s="27"/>
    </row>
    <row r="2322" spans="1:11" x14ac:dyDescent="0.25">
      <c r="A2322" s="77"/>
      <c r="B2322" s="69"/>
      <c r="C2322" s="71"/>
      <c r="E2322" s="22"/>
      <c r="F2322" s="22"/>
      <c r="G2322" s="31"/>
      <c r="J2322" s="23"/>
      <c r="K2322" s="27"/>
    </row>
    <row r="2323" spans="1:11" x14ac:dyDescent="0.25">
      <c r="A2323" s="77"/>
      <c r="B2323" s="69"/>
      <c r="C2323" s="71"/>
      <c r="E2323" s="22"/>
      <c r="F2323" s="22"/>
      <c r="G2323" s="31"/>
      <c r="J2323" s="23"/>
      <c r="K2323" s="27"/>
    </row>
    <row r="2324" spans="1:11" x14ac:dyDescent="0.25">
      <c r="A2324" s="77"/>
      <c r="B2324" s="69"/>
      <c r="C2324" s="71"/>
      <c r="E2324" s="22"/>
      <c r="F2324" s="22"/>
      <c r="G2324" s="31"/>
      <c r="J2324" s="23"/>
      <c r="K2324" s="27"/>
    </row>
    <row r="2325" spans="1:11" x14ac:dyDescent="0.25">
      <c r="A2325" s="77"/>
      <c r="B2325" s="69"/>
      <c r="C2325" s="71"/>
      <c r="E2325" s="22"/>
      <c r="F2325" s="22"/>
      <c r="G2325" s="31"/>
      <c r="J2325" s="23"/>
      <c r="K2325" s="27"/>
    </row>
    <row r="2326" spans="1:11" x14ac:dyDescent="0.25">
      <c r="A2326" s="77"/>
      <c r="B2326" s="69"/>
      <c r="C2326" s="71"/>
      <c r="E2326" s="22"/>
      <c r="F2326" s="22"/>
      <c r="G2326" s="31"/>
      <c r="J2326" s="23"/>
      <c r="K2326" s="27"/>
    </row>
    <row r="2327" spans="1:11" x14ac:dyDescent="0.25">
      <c r="A2327" s="77"/>
      <c r="B2327" s="69"/>
      <c r="C2327" s="71"/>
      <c r="E2327" s="22"/>
      <c r="F2327" s="22"/>
      <c r="G2327" s="31"/>
      <c r="J2327" s="23"/>
      <c r="K2327" s="27"/>
    </row>
    <row r="2328" spans="1:11" x14ac:dyDescent="0.25">
      <c r="A2328" s="77"/>
      <c r="B2328" s="69"/>
      <c r="C2328" s="71"/>
      <c r="E2328" s="22"/>
      <c r="F2328" s="22"/>
      <c r="G2328" s="31"/>
      <c r="J2328" s="23"/>
      <c r="K2328" s="27"/>
    </row>
    <row r="2329" spans="1:11" x14ac:dyDescent="0.25">
      <c r="A2329" s="77"/>
      <c r="B2329" s="69"/>
      <c r="C2329" s="71"/>
      <c r="E2329" s="22"/>
      <c r="F2329" s="22"/>
      <c r="G2329" s="31"/>
      <c r="J2329" s="23"/>
      <c r="K2329" s="27"/>
    </row>
    <row r="2330" spans="1:11" x14ac:dyDescent="0.25">
      <c r="A2330" s="77"/>
      <c r="B2330" s="69"/>
      <c r="C2330" s="71"/>
      <c r="E2330" s="22"/>
      <c r="F2330" s="22"/>
      <c r="G2330" s="31"/>
      <c r="J2330" s="23"/>
      <c r="K2330" s="27"/>
    </row>
    <row r="2331" spans="1:11" x14ac:dyDescent="0.25">
      <c r="A2331" s="77"/>
      <c r="B2331" s="69"/>
      <c r="C2331" s="71"/>
      <c r="E2331" s="22"/>
      <c r="F2331" s="22"/>
      <c r="G2331" s="31"/>
      <c r="J2331" s="23"/>
      <c r="K2331" s="27"/>
    </row>
    <row r="2332" spans="1:11" x14ac:dyDescent="0.25">
      <c r="A2332" s="77"/>
      <c r="B2332" s="69"/>
      <c r="C2332" s="71"/>
      <c r="E2332" s="22"/>
      <c r="F2332" s="22"/>
      <c r="G2332" s="31"/>
      <c r="J2332" s="23"/>
      <c r="K2332" s="27"/>
    </row>
    <row r="2333" spans="1:11" x14ac:dyDescent="0.25">
      <c r="A2333" s="77"/>
      <c r="B2333" s="69"/>
      <c r="C2333" s="71"/>
      <c r="E2333" s="22"/>
      <c r="F2333" s="22"/>
      <c r="G2333" s="31"/>
      <c r="J2333" s="23"/>
      <c r="K2333" s="27"/>
    </row>
    <row r="2334" spans="1:11" x14ac:dyDescent="0.25">
      <c r="A2334" s="77"/>
      <c r="B2334" s="69"/>
      <c r="C2334" s="71"/>
      <c r="E2334" s="22"/>
      <c r="F2334" s="22"/>
      <c r="G2334" s="31"/>
      <c r="J2334" s="23"/>
      <c r="K2334" s="27"/>
    </row>
    <row r="2335" spans="1:11" x14ac:dyDescent="0.25">
      <c r="A2335" s="77"/>
      <c r="B2335" s="69"/>
      <c r="C2335" s="71"/>
      <c r="E2335" s="22"/>
      <c r="F2335" s="22"/>
      <c r="G2335" s="31"/>
      <c r="J2335" s="23"/>
      <c r="K2335" s="27"/>
    </row>
    <row r="2336" spans="1:11" x14ac:dyDescent="0.25">
      <c r="A2336" s="77"/>
      <c r="B2336" s="69"/>
      <c r="C2336" s="71"/>
      <c r="E2336" s="22"/>
      <c r="F2336" s="22"/>
      <c r="G2336" s="31"/>
      <c r="J2336" s="23"/>
      <c r="K2336" s="27"/>
    </row>
    <row r="2337" spans="1:11" x14ac:dyDescent="0.25">
      <c r="A2337" s="77"/>
      <c r="B2337" s="69"/>
      <c r="C2337" s="71"/>
      <c r="E2337" s="22"/>
      <c r="F2337" s="22"/>
      <c r="G2337" s="31"/>
      <c r="J2337" s="23"/>
      <c r="K2337" s="27"/>
    </row>
    <row r="2338" spans="1:11" x14ac:dyDescent="0.25">
      <c r="A2338" s="77"/>
      <c r="B2338" s="69"/>
      <c r="C2338" s="71"/>
      <c r="E2338" s="22"/>
      <c r="F2338" s="22"/>
      <c r="G2338" s="31"/>
      <c r="J2338" s="23"/>
      <c r="K2338" s="27"/>
    </row>
    <row r="2339" spans="1:11" x14ac:dyDescent="0.25">
      <c r="A2339" s="77"/>
      <c r="B2339" s="69"/>
      <c r="C2339" s="71"/>
      <c r="E2339" s="22"/>
      <c r="F2339" s="22"/>
      <c r="G2339" s="31"/>
      <c r="J2339" s="23"/>
      <c r="K2339" s="27"/>
    </row>
    <row r="2340" spans="1:11" x14ac:dyDescent="0.25">
      <c r="A2340" s="77"/>
      <c r="B2340" s="69"/>
      <c r="C2340" s="71"/>
      <c r="E2340" s="22"/>
      <c r="F2340" s="22"/>
      <c r="G2340" s="31"/>
      <c r="J2340" s="23"/>
      <c r="K2340" s="27"/>
    </row>
    <row r="2341" spans="1:11" x14ac:dyDescent="0.25">
      <c r="A2341" s="77"/>
      <c r="B2341" s="69"/>
      <c r="C2341" s="71"/>
      <c r="E2341" s="22"/>
      <c r="F2341" s="22"/>
      <c r="G2341" s="31"/>
      <c r="J2341" s="23"/>
      <c r="K2341" s="27"/>
    </row>
    <row r="2342" spans="1:11" x14ac:dyDescent="0.25">
      <c r="A2342" s="77"/>
      <c r="B2342" s="69"/>
      <c r="C2342" s="71"/>
      <c r="E2342" s="22"/>
      <c r="F2342" s="22"/>
      <c r="G2342" s="31"/>
      <c r="J2342" s="23"/>
      <c r="K2342" s="27"/>
    </row>
    <row r="2343" spans="1:11" x14ac:dyDescent="0.25">
      <c r="A2343" s="77"/>
      <c r="B2343" s="69"/>
      <c r="C2343" s="71"/>
      <c r="E2343" s="22"/>
      <c r="F2343" s="22"/>
      <c r="G2343" s="31"/>
      <c r="J2343" s="23"/>
      <c r="K2343" s="27"/>
    </row>
    <row r="2344" spans="1:11" x14ac:dyDescent="0.25">
      <c r="A2344" s="77"/>
      <c r="B2344" s="69"/>
      <c r="C2344" s="71"/>
      <c r="E2344" s="22"/>
      <c r="F2344" s="22"/>
      <c r="G2344" s="31"/>
      <c r="J2344" s="23"/>
      <c r="K2344" s="27"/>
    </row>
    <row r="2345" spans="1:11" x14ac:dyDescent="0.25">
      <c r="A2345" s="77"/>
      <c r="B2345" s="69"/>
      <c r="C2345" s="71"/>
      <c r="E2345" s="22"/>
      <c r="F2345" s="22"/>
      <c r="G2345" s="31"/>
      <c r="J2345" s="23"/>
      <c r="K2345" s="27"/>
    </row>
    <row r="2346" spans="1:11" x14ac:dyDescent="0.25">
      <c r="A2346" s="77"/>
      <c r="B2346" s="69"/>
      <c r="C2346" s="71"/>
      <c r="E2346" s="22"/>
      <c r="F2346" s="22"/>
      <c r="G2346" s="31"/>
      <c r="J2346" s="23"/>
      <c r="K2346" s="27"/>
    </row>
    <row r="2347" spans="1:11" x14ac:dyDescent="0.25">
      <c r="A2347" s="77"/>
      <c r="B2347" s="69"/>
      <c r="C2347" s="71"/>
      <c r="E2347" s="22"/>
      <c r="F2347" s="22"/>
      <c r="G2347" s="31"/>
      <c r="J2347" s="23"/>
      <c r="K2347" s="27"/>
    </row>
    <row r="2348" spans="1:11" x14ac:dyDescent="0.25">
      <c r="A2348" s="77"/>
      <c r="B2348" s="69"/>
      <c r="C2348" s="71"/>
      <c r="E2348" s="22"/>
      <c r="F2348" s="22"/>
      <c r="G2348" s="31"/>
      <c r="J2348" s="23"/>
      <c r="K2348" s="27"/>
    </row>
    <row r="2349" spans="1:11" x14ac:dyDescent="0.25">
      <c r="A2349" s="77"/>
      <c r="B2349" s="69"/>
      <c r="C2349" s="71"/>
      <c r="E2349" s="22"/>
      <c r="F2349" s="22"/>
      <c r="G2349" s="31"/>
      <c r="J2349" s="23"/>
      <c r="K2349" s="27"/>
    </row>
    <row r="2350" spans="1:11" x14ac:dyDescent="0.25">
      <c r="A2350" s="77"/>
      <c r="B2350" s="69"/>
      <c r="C2350" s="71"/>
      <c r="E2350" s="22"/>
      <c r="F2350" s="22"/>
      <c r="G2350" s="31"/>
      <c r="J2350" s="23"/>
      <c r="K2350" s="27"/>
    </row>
    <row r="2351" spans="1:11" x14ac:dyDescent="0.25">
      <c r="A2351" s="77"/>
      <c r="B2351" s="69"/>
      <c r="C2351" s="71"/>
      <c r="E2351" s="22"/>
      <c r="F2351" s="22"/>
      <c r="G2351" s="31"/>
      <c r="J2351" s="23"/>
      <c r="K2351" s="27"/>
    </row>
    <row r="2352" spans="1:11" x14ac:dyDescent="0.25">
      <c r="A2352" s="77"/>
      <c r="B2352" s="69"/>
      <c r="C2352" s="71"/>
      <c r="E2352" s="22"/>
      <c r="F2352" s="22"/>
      <c r="G2352" s="31"/>
      <c r="J2352" s="23"/>
      <c r="K2352" s="27"/>
    </row>
    <row r="2353" spans="1:11" x14ac:dyDescent="0.25">
      <c r="A2353" s="77"/>
      <c r="B2353" s="69"/>
      <c r="C2353" s="71"/>
      <c r="E2353" s="22"/>
      <c r="F2353" s="22"/>
      <c r="G2353" s="31"/>
      <c r="J2353" s="23"/>
      <c r="K2353" s="27"/>
    </row>
    <row r="2354" spans="1:11" x14ac:dyDescent="0.25">
      <c r="A2354" s="77"/>
      <c r="B2354" s="69"/>
      <c r="C2354" s="71"/>
      <c r="E2354" s="22"/>
      <c r="F2354" s="22"/>
      <c r="G2354" s="31"/>
      <c r="J2354" s="23"/>
      <c r="K2354" s="27"/>
    </row>
    <row r="2355" spans="1:11" x14ac:dyDescent="0.25">
      <c r="A2355" s="77"/>
      <c r="B2355" s="69"/>
      <c r="C2355" s="71"/>
      <c r="E2355" s="22"/>
      <c r="F2355" s="22"/>
      <c r="G2355" s="31"/>
      <c r="J2355" s="23"/>
      <c r="K2355" s="27"/>
    </row>
    <row r="2356" spans="1:11" x14ac:dyDescent="0.25">
      <c r="A2356" s="77"/>
      <c r="B2356" s="69"/>
      <c r="C2356" s="71"/>
      <c r="E2356" s="22"/>
      <c r="F2356" s="22"/>
      <c r="G2356" s="31"/>
      <c r="J2356" s="23"/>
      <c r="K2356" s="27"/>
    </row>
    <row r="2357" spans="1:11" x14ac:dyDescent="0.25">
      <c r="A2357" s="77"/>
      <c r="B2357" s="69"/>
      <c r="C2357" s="71"/>
      <c r="E2357" s="22"/>
      <c r="F2357" s="22"/>
      <c r="G2357" s="31"/>
      <c r="J2357" s="23"/>
      <c r="K2357" s="27"/>
    </row>
    <row r="2358" spans="1:11" x14ac:dyDescent="0.25">
      <c r="A2358" s="77"/>
      <c r="B2358" s="69"/>
      <c r="C2358" s="71"/>
      <c r="E2358" s="22"/>
      <c r="F2358" s="22"/>
      <c r="G2358" s="31"/>
      <c r="J2358" s="23"/>
      <c r="K2358" s="27"/>
    </row>
    <row r="2359" spans="1:11" x14ac:dyDescent="0.25">
      <c r="A2359" s="77"/>
      <c r="B2359" s="69"/>
      <c r="C2359" s="71"/>
      <c r="E2359" s="22"/>
      <c r="F2359" s="22"/>
      <c r="G2359" s="31"/>
      <c r="J2359" s="23"/>
      <c r="K2359" s="27"/>
    </row>
    <row r="2360" spans="1:11" x14ac:dyDescent="0.25">
      <c r="A2360" s="77"/>
      <c r="B2360" s="69"/>
      <c r="C2360" s="71"/>
      <c r="E2360" s="22"/>
      <c r="F2360" s="22"/>
      <c r="G2360" s="31"/>
      <c r="J2360" s="23"/>
      <c r="K2360" s="27"/>
    </row>
    <row r="2361" spans="1:11" x14ac:dyDescent="0.25">
      <c r="A2361" s="77"/>
      <c r="B2361" s="69"/>
      <c r="C2361" s="71"/>
      <c r="E2361" s="22"/>
      <c r="F2361" s="22"/>
      <c r="G2361" s="31"/>
      <c r="J2361" s="23"/>
      <c r="K2361" s="27"/>
    </row>
    <row r="2362" spans="1:11" x14ac:dyDescent="0.25">
      <c r="A2362" s="77"/>
      <c r="B2362" s="69"/>
      <c r="C2362" s="71"/>
      <c r="E2362" s="22"/>
      <c r="F2362" s="22"/>
      <c r="G2362" s="31"/>
      <c r="J2362" s="23"/>
      <c r="K2362" s="27"/>
    </row>
    <row r="2363" spans="1:11" x14ac:dyDescent="0.25">
      <c r="A2363" s="77"/>
      <c r="B2363" s="69"/>
      <c r="C2363" s="71"/>
      <c r="E2363" s="22"/>
      <c r="F2363" s="22"/>
      <c r="G2363" s="31"/>
      <c r="J2363" s="23"/>
      <c r="K2363" s="27"/>
    </row>
    <row r="2364" spans="1:11" x14ac:dyDescent="0.25">
      <c r="A2364" s="77"/>
      <c r="B2364" s="69"/>
      <c r="C2364" s="71"/>
      <c r="E2364" s="22"/>
      <c r="F2364" s="22"/>
      <c r="G2364" s="31"/>
      <c r="J2364" s="23"/>
      <c r="K2364" s="27"/>
    </row>
    <row r="2365" spans="1:11" x14ac:dyDescent="0.25">
      <c r="A2365" s="77"/>
      <c r="B2365" s="69"/>
      <c r="C2365" s="71"/>
      <c r="E2365" s="22"/>
      <c r="F2365" s="22"/>
      <c r="G2365" s="31"/>
      <c r="J2365" s="23"/>
      <c r="K2365" s="27"/>
    </row>
    <row r="2366" spans="1:11" x14ac:dyDescent="0.25">
      <c r="A2366" s="77"/>
      <c r="B2366" s="69"/>
      <c r="C2366" s="71"/>
      <c r="E2366" s="22"/>
      <c r="F2366" s="22"/>
      <c r="G2366" s="31"/>
      <c r="J2366" s="23"/>
      <c r="K2366" s="27"/>
    </row>
    <row r="2367" spans="1:11" x14ac:dyDescent="0.25">
      <c r="A2367" s="77"/>
      <c r="B2367" s="69"/>
      <c r="C2367" s="71"/>
      <c r="E2367" s="22"/>
      <c r="F2367" s="22"/>
      <c r="G2367" s="31"/>
      <c r="J2367" s="23"/>
      <c r="K2367" s="27"/>
    </row>
    <row r="2368" spans="1:11" x14ac:dyDescent="0.25">
      <c r="A2368" s="77"/>
      <c r="B2368" s="69"/>
      <c r="C2368" s="71"/>
      <c r="E2368" s="22"/>
      <c r="F2368" s="22"/>
      <c r="G2368" s="31"/>
      <c r="J2368" s="23"/>
      <c r="K2368" s="27"/>
    </row>
    <row r="2369" spans="1:11" x14ac:dyDescent="0.25">
      <c r="A2369" s="77"/>
      <c r="B2369" s="69"/>
      <c r="C2369" s="71"/>
      <c r="E2369" s="22"/>
      <c r="F2369" s="22"/>
      <c r="G2369" s="31"/>
      <c r="J2369" s="23"/>
      <c r="K2369" s="27"/>
    </row>
    <row r="2370" spans="1:11" x14ac:dyDescent="0.25">
      <c r="A2370" s="77"/>
      <c r="B2370" s="69"/>
      <c r="C2370" s="71"/>
      <c r="E2370" s="22"/>
      <c r="F2370" s="22"/>
      <c r="G2370" s="31"/>
      <c r="J2370" s="23"/>
      <c r="K2370" s="27"/>
    </row>
    <row r="2371" spans="1:11" x14ac:dyDescent="0.25">
      <c r="A2371" s="77"/>
      <c r="B2371" s="69"/>
      <c r="C2371" s="71"/>
      <c r="E2371" s="22"/>
      <c r="F2371" s="22"/>
      <c r="G2371" s="31"/>
      <c r="J2371" s="23"/>
      <c r="K2371" s="27"/>
    </row>
    <row r="2372" spans="1:11" x14ac:dyDescent="0.25">
      <c r="A2372" s="77"/>
      <c r="B2372" s="69"/>
      <c r="C2372" s="71"/>
      <c r="E2372" s="22"/>
      <c r="F2372" s="22"/>
      <c r="G2372" s="31"/>
      <c r="J2372" s="23"/>
      <c r="K2372" s="27"/>
    </row>
    <row r="2373" spans="1:11" x14ac:dyDescent="0.25">
      <c r="A2373" s="77"/>
      <c r="B2373" s="69"/>
      <c r="C2373" s="71"/>
      <c r="E2373" s="22"/>
      <c r="F2373" s="22"/>
      <c r="G2373" s="31"/>
      <c r="J2373" s="23"/>
      <c r="K2373" s="27"/>
    </row>
    <row r="2374" spans="1:11" x14ac:dyDescent="0.25">
      <c r="A2374" s="77"/>
      <c r="B2374" s="69"/>
      <c r="C2374" s="71"/>
      <c r="E2374" s="22"/>
      <c r="F2374" s="22"/>
      <c r="G2374" s="31"/>
      <c r="J2374" s="23"/>
      <c r="K2374" s="27"/>
    </row>
    <row r="2375" spans="1:11" x14ac:dyDescent="0.25">
      <c r="A2375" s="77"/>
      <c r="B2375" s="69"/>
      <c r="C2375" s="71"/>
      <c r="E2375" s="22"/>
      <c r="F2375" s="22"/>
      <c r="G2375" s="31"/>
      <c r="J2375" s="23"/>
      <c r="K2375" s="27"/>
    </row>
    <row r="2376" spans="1:11" x14ac:dyDescent="0.25">
      <c r="A2376" s="77"/>
      <c r="B2376" s="69"/>
      <c r="C2376" s="71"/>
      <c r="E2376" s="22"/>
      <c r="F2376" s="22"/>
      <c r="G2376" s="31"/>
      <c r="J2376" s="23"/>
      <c r="K2376" s="27"/>
    </row>
    <row r="2377" spans="1:11" x14ac:dyDescent="0.25">
      <c r="A2377" s="77"/>
      <c r="B2377" s="69"/>
      <c r="C2377" s="71"/>
      <c r="E2377" s="22"/>
      <c r="F2377" s="22"/>
      <c r="G2377" s="31"/>
      <c r="J2377" s="23"/>
      <c r="K2377" s="27"/>
    </row>
    <row r="2378" spans="1:11" x14ac:dyDescent="0.25">
      <c r="A2378" s="77"/>
      <c r="B2378" s="69"/>
      <c r="C2378" s="71"/>
      <c r="E2378" s="22"/>
      <c r="F2378" s="22"/>
      <c r="G2378" s="31"/>
      <c r="J2378" s="23"/>
      <c r="K2378" s="27"/>
    </row>
    <row r="2379" spans="1:11" x14ac:dyDescent="0.25">
      <c r="A2379" s="77"/>
      <c r="B2379" s="69"/>
      <c r="C2379" s="71"/>
      <c r="E2379" s="22"/>
      <c r="F2379" s="22"/>
      <c r="G2379" s="31"/>
      <c r="J2379" s="23"/>
      <c r="K2379" s="27"/>
    </row>
    <row r="2380" spans="1:11" x14ac:dyDescent="0.25">
      <c r="A2380" s="77"/>
      <c r="B2380" s="69"/>
      <c r="C2380" s="71"/>
      <c r="E2380" s="22"/>
      <c r="F2380" s="22"/>
      <c r="G2380" s="31"/>
      <c r="J2380" s="23"/>
      <c r="K2380" s="27"/>
    </row>
    <row r="2381" spans="1:11" x14ac:dyDescent="0.25">
      <c r="A2381" s="77"/>
      <c r="B2381" s="69"/>
      <c r="C2381" s="71"/>
      <c r="E2381" s="22"/>
      <c r="F2381" s="22"/>
      <c r="G2381" s="31"/>
      <c r="J2381" s="23"/>
      <c r="K2381" s="27"/>
    </row>
    <row r="2382" spans="1:11" x14ac:dyDescent="0.25">
      <c r="A2382" s="77"/>
      <c r="B2382" s="69"/>
      <c r="C2382" s="71"/>
      <c r="E2382" s="22"/>
      <c r="F2382" s="22"/>
      <c r="G2382" s="31"/>
      <c r="J2382" s="23"/>
      <c r="K2382" s="27"/>
    </row>
    <row r="2383" spans="1:11" x14ac:dyDescent="0.25">
      <c r="A2383" s="77"/>
      <c r="B2383" s="69"/>
      <c r="C2383" s="71"/>
      <c r="E2383" s="22"/>
      <c r="F2383" s="22"/>
      <c r="G2383" s="31"/>
      <c r="J2383" s="23"/>
      <c r="K2383" s="27"/>
    </row>
    <row r="2384" spans="1:11" x14ac:dyDescent="0.25">
      <c r="A2384" s="77"/>
      <c r="B2384" s="69"/>
      <c r="C2384" s="71"/>
      <c r="E2384" s="22"/>
      <c r="F2384" s="22"/>
      <c r="G2384" s="31"/>
      <c r="J2384" s="23"/>
      <c r="K2384" s="27"/>
    </row>
    <row r="2385" spans="1:11" x14ac:dyDescent="0.25">
      <c r="A2385" s="77"/>
      <c r="B2385" s="69"/>
      <c r="C2385" s="71"/>
      <c r="E2385" s="22"/>
      <c r="F2385" s="22"/>
      <c r="G2385" s="31"/>
      <c r="J2385" s="23"/>
      <c r="K2385" s="27"/>
    </row>
    <row r="2386" spans="1:11" x14ac:dyDescent="0.25">
      <c r="A2386" s="77"/>
      <c r="B2386" s="69"/>
      <c r="C2386" s="71"/>
      <c r="E2386" s="22"/>
      <c r="F2386" s="22"/>
      <c r="G2386" s="31"/>
      <c r="J2386" s="23"/>
      <c r="K2386" s="27"/>
    </row>
    <row r="2387" spans="1:11" x14ac:dyDescent="0.25">
      <c r="A2387" s="77"/>
      <c r="B2387" s="69"/>
      <c r="C2387" s="71"/>
      <c r="E2387" s="22"/>
      <c r="F2387" s="22"/>
      <c r="G2387" s="31"/>
      <c r="J2387" s="23"/>
      <c r="K2387" s="27"/>
    </row>
    <row r="2388" spans="1:11" x14ac:dyDescent="0.25">
      <c r="A2388" s="77"/>
      <c r="B2388" s="69"/>
      <c r="C2388" s="71"/>
      <c r="E2388" s="22"/>
      <c r="F2388" s="22"/>
      <c r="G2388" s="31"/>
      <c r="J2388" s="23"/>
      <c r="K2388" s="27"/>
    </row>
    <row r="2389" spans="1:11" x14ac:dyDescent="0.25">
      <c r="A2389" s="77"/>
      <c r="B2389" s="69"/>
      <c r="C2389" s="71"/>
      <c r="E2389" s="22"/>
      <c r="F2389" s="22"/>
      <c r="G2389" s="31"/>
      <c r="J2389" s="23"/>
      <c r="K2389" s="27"/>
    </row>
    <row r="2390" spans="1:11" x14ac:dyDescent="0.25">
      <c r="A2390" s="77"/>
      <c r="B2390" s="69"/>
      <c r="C2390" s="71"/>
      <c r="E2390" s="22"/>
      <c r="F2390" s="22"/>
      <c r="G2390" s="31"/>
      <c r="J2390" s="23"/>
      <c r="K2390" s="27"/>
    </row>
    <row r="2391" spans="1:11" x14ac:dyDescent="0.25">
      <c r="A2391" s="77"/>
      <c r="B2391" s="69"/>
      <c r="C2391" s="71"/>
      <c r="E2391" s="22"/>
      <c r="F2391" s="22"/>
      <c r="G2391" s="31"/>
      <c r="J2391" s="23"/>
      <c r="K2391" s="27"/>
    </row>
    <row r="2392" spans="1:11" x14ac:dyDescent="0.25">
      <c r="A2392" s="77"/>
      <c r="B2392" s="69"/>
      <c r="C2392" s="71"/>
      <c r="E2392" s="22"/>
      <c r="F2392" s="22"/>
      <c r="G2392" s="31"/>
      <c r="J2392" s="23"/>
      <c r="K2392" s="27"/>
    </row>
    <row r="2393" spans="1:11" x14ac:dyDescent="0.25">
      <c r="A2393" s="77"/>
      <c r="B2393" s="69"/>
      <c r="C2393" s="71"/>
      <c r="E2393" s="22"/>
      <c r="F2393" s="22"/>
      <c r="G2393" s="31"/>
      <c r="J2393" s="23"/>
      <c r="K2393" s="27"/>
    </row>
    <row r="2394" spans="1:11" x14ac:dyDescent="0.25">
      <c r="A2394" s="77"/>
      <c r="B2394" s="69"/>
      <c r="C2394" s="71"/>
      <c r="E2394" s="22"/>
      <c r="F2394" s="22"/>
      <c r="G2394" s="31"/>
      <c r="J2394" s="23"/>
      <c r="K2394" s="27"/>
    </row>
    <row r="2395" spans="1:11" x14ac:dyDescent="0.25">
      <c r="A2395" s="77"/>
      <c r="B2395" s="69"/>
      <c r="C2395" s="71"/>
      <c r="E2395" s="22"/>
      <c r="F2395" s="22"/>
      <c r="G2395" s="31"/>
      <c r="J2395" s="23"/>
      <c r="K2395" s="27"/>
    </row>
    <row r="2396" spans="1:11" x14ac:dyDescent="0.25">
      <c r="A2396" s="77"/>
      <c r="B2396" s="69"/>
      <c r="C2396" s="71"/>
      <c r="E2396" s="22"/>
      <c r="F2396" s="22"/>
      <c r="G2396" s="31"/>
      <c r="J2396" s="23"/>
      <c r="K2396" s="27"/>
    </row>
    <row r="2397" spans="1:11" x14ac:dyDescent="0.25">
      <c r="A2397" s="77"/>
      <c r="B2397" s="69"/>
      <c r="C2397" s="71"/>
      <c r="E2397" s="22"/>
      <c r="F2397" s="22"/>
      <c r="G2397" s="31"/>
      <c r="J2397" s="23"/>
      <c r="K2397" s="27"/>
    </row>
    <row r="2398" spans="1:11" x14ac:dyDescent="0.25">
      <c r="A2398" s="77"/>
      <c r="B2398" s="69"/>
      <c r="C2398" s="71"/>
      <c r="E2398" s="22"/>
      <c r="F2398" s="22"/>
      <c r="G2398" s="31"/>
      <c r="J2398" s="23"/>
      <c r="K2398" s="27"/>
    </row>
    <row r="2399" spans="1:11" x14ac:dyDescent="0.25">
      <c r="A2399" s="77"/>
      <c r="B2399" s="69"/>
      <c r="C2399" s="71"/>
      <c r="E2399" s="22"/>
      <c r="F2399" s="22"/>
      <c r="G2399" s="31"/>
      <c r="J2399" s="23"/>
      <c r="K2399" s="27"/>
    </row>
    <row r="2400" spans="1:11" x14ac:dyDescent="0.25">
      <c r="A2400" s="77"/>
      <c r="B2400" s="69"/>
      <c r="C2400" s="71"/>
      <c r="E2400" s="22"/>
      <c r="F2400" s="22"/>
      <c r="G2400" s="31"/>
      <c r="J2400" s="23"/>
      <c r="K2400" s="27"/>
    </row>
    <row r="2401" spans="1:11" x14ac:dyDescent="0.25">
      <c r="A2401" s="77"/>
      <c r="B2401" s="69"/>
      <c r="C2401" s="71"/>
      <c r="E2401" s="22"/>
      <c r="F2401" s="22"/>
      <c r="G2401" s="31"/>
      <c r="J2401" s="23"/>
      <c r="K2401" s="27"/>
    </row>
    <row r="2402" spans="1:11" x14ac:dyDescent="0.25">
      <c r="A2402" s="77"/>
      <c r="B2402" s="69"/>
      <c r="C2402" s="71"/>
      <c r="E2402" s="22"/>
      <c r="F2402" s="22"/>
      <c r="G2402" s="31"/>
      <c r="J2402" s="23"/>
      <c r="K2402" s="27"/>
    </row>
    <row r="2403" spans="1:11" x14ac:dyDescent="0.25">
      <c r="A2403" s="77"/>
      <c r="B2403" s="69"/>
      <c r="C2403" s="71"/>
      <c r="E2403" s="22"/>
      <c r="F2403" s="22"/>
      <c r="G2403" s="31"/>
      <c r="J2403" s="23"/>
      <c r="K2403" s="27"/>
    </row>
    <row r="2404" spans="1:11" x14ac:dyDescent="0.25">
      <c r="A2404" s="77"/>
      <c r="B2404" s="69"/>
      <c r="C2404" s="71"/>
      <c r="E2404" s="22"/>
      <c r="F2404" s="22"/>
      <c r="G2404" s="31"/>
      <c r="J2404" s="23"/>
      <c r="K2404" s="27"/>
    </row>
    <row r="2405" spans="1:11" x14ac:dyDescent="0.25">
      <c r="A2405" s="77"/>
      <c r="B2405" s="69"/>
      <c r="C2405" s="71"/>
      <c r="E2405" s="22"/>
      <c r="F2405" s="22"/>
      <c r="G2405" s="31"/>
      <c r="J2405" s="23"/>
      <c r="K2405" s="27"/>
    </row>
    <row r="2406" spans="1:11" x14ac:dyDescent="0.25">
      <c r="A2406" s="77"/>
      <c r="B2406" s="69"/>
      <c r="C2406" s="71"/>
      <c r="E2406" s="22"/>
      <c r="F2406" s="22"/>
      <c r="G2406" s="31"/>
      <c r="J2406" s="23"/>
      <c r="K2406" s="27"/>
    </row>
    <row r="2407" spans="1:11" x14ac:dyDescent="0.25">
      <c r="A2407" s="77"/>
      <c r="B2407" s="69"/>
      <c r="C2407" s="71"/>
      <c r="E2407" s="22"/>
      <c r="F2407" s="22"/>
      <c r="G2407" s="31"/>
      <c r="J2407" s="23"/>
      <c r="K2407" s="27"/>
    </row>
    <row r="2408" spans="1:11" x14ac:dyDescent="0.25">
      <c r="A2408" s="77"/>
      <c r="B2408" s="69"/>
      <c r="C2408" s="71"/>
      <c r="E2408" s="22"/>
      <c r="F2408" s="22"/>
      <c r="G2408" s="31"/>
      <c r="J2408" s="23"/>
      <c r="K2408" s="27"/>
    </row>
    <row r="2409" spans="1:11" x14ac:dyDescent="0.25">
      <c r="A2409" s="77"/>
      <c r="B2409" s="69"/>
      <c r="C2409" s="71"/>
      <c r="E2409" s="22"/>
      <c r="F2409" s="22"/>
      <c r="G2409" s="31"/>
      <c r="J2409" s="23"/>
      <c r="K2409" s="27"/>
    </row>
    <row r="2410" spans="1:11" x14ac:dyDescent="0.25">
      <c r="A2410" s="77"/>
      <c r="B2410" s="69"/>
      <c r="C2410" s="71"/>
      <c r="E2410" s="22"/>
      <c r="F2410" s="22"/>
      <c r="G2410" s="31"/>
      <c r="J2410" s="23"/>
      <c r="K2410" s="27"/>
    </row>
    <row r="2411" spans="1:11" x14ac:dyDescent="0.25">
      <c r="A2411" s="77"/>
      <c r="B2411" s="69"/>
      <c r="C2411" s="71"/>
      <c r="E2411" s="22"/>
      <c r="F2411" s="22"/>
      <c r="G2411" s="31"/>
      <c r="J2411" s="23"/>
      <c r="K2411" s="27"/>
    </row>
    <row r="2412" spans="1:11" x14ac:dyDescent="0.25">
      <c r="A2412" s="77"/>
      <c r="B2412" s="69"/>
      <c r="C2412" s="71"/>
      <c r="E2412" s="22"/>
      <c r="F2412" s="22"/>
      <c r="G2412" s="31"/>
      <c r="J2412" s="23"/>
      <c r="K2412" s="27"/>
    </row>
    <row r="2413" spans="1:11" x14ac:dyDescent="0.25">
      <c r="A2413" s="77"/>
      <c r="B2413" s="69"/>
      <c r="C2413" s="71"/>
      <c r="E2413" s="22"/>
      <c r="F2413" s="22"/>
      <c r="G2413" s="31"/>
      <c r="J2413" s="23"/>
      <c r="K2413" s="27"/>
    </row>
    <row r="2414" spans="1:11" x14ac:dyDescent="0.25">
      <c r="A2414" s="77"/>
      <c r="B2414" s="69"/>
      <c r="C2414" s="71"/>
      <c r="E2414" s="22"/>
      <c r="F2414" s="22"/>
      <c r="G2414" s="31"/>
      <c r="J2414" s="23"/>
      <c r="K2414" s="27"/>
    </row>
    <row r="2415" spans="1:11" x14ac:dyDescent="0.25">
      <c r="A2415" s="77"/>
      <c r="B2415" s="69"/>
      <c r="C2415" s="71"/>
      <c r="E2415" s="22"/>
      <c r="F2415" s="22"/>
      <c r="G2415" s="31"/>
      <c r="J2415" s="23"/>
      <c r="K2415" s="27"/>
    </row>
    <row r="2416" spans="1:11" x14ac:dyDescent="0.25">
      <c r="A2416" s="77"/>
      <c r="B2416" s="69"/>
      <c r="C2416" s="71"/>
      <c r="E2416" s="22"/>
      <c r="F2416" s="22"/>
      <c r="G2416" s="31"/>
      <c r="J2416" s="23"/>
      <c r="K2416" s="27"/>
    </row>
    <row r="2417" spans="1:11" x14ac:dyDescent="0.25">
      <c r="A2417" s="77"/>
      <c r="B2417" s="69"/>
      <c r="C2417" s="71"/>
      <c r="E2417" s="22"/>
      <c r="F2417" s="22"/>
      <c r="G2417" s="31"/>
      <c r="J2417" s="23"/>
      <c r="K2417" s="27"/>
    </row>
    <row r="2418" spans="1:11" x14ac:dyDescent="0.25">
      <c r="A2418" s="77"/>
      <c r="B2418" s="69"/>
      <c r="C2418" s="71"/>
      <c r="E2418" s="22"/>
      <c r="F2418" s="22"/>
      <c r="G2418" s="31"/>
      <c r="J2418" s="23"/>
      <c r="K2418" s="27"/>
    </row>
    <row r="2419" spans="1:11" x14ac:dyDescent="0.25">
      <c r="A2419" s="77"/>
      <c r="B2419" s="69"/>
      <c r="C2419" s="71"/>
      <c r="E2419" s="22"/>
      <c r="F2419" s="22"/>
      <c r="G2419" s="31"/>
      <c r="J2419" s="23"/>
      <c r="K2419" s="27"/>
    </row>
    <row r="2420" spans="1:11" x14ac:dyDescent="0.25">
      <c r="A2420" s="77"/>
      <c r="B2420" s="69"/>
      <c r="C2420" s="71"/>
      <c r="E2420" s="22"/>
      <c r="F2420" s="22"/>
      <c r="G2420" s="31"/>
      <c r="J2420" s="23"/>
      <c r="K2420" s="27"/>
    </row>
    <row r="2421" spans="1:11" x14ac:dyDescent="0.25">
      <c r="A2421" s="77"/>
      <c r="B2421" s="69"/>
      <c r="C2421" s="71"/>
      <c r="E2421" s="22"/>
      <c r="F2421" s="22"/>
      <c r="G2421" s="31"/>
      <c r="J2421" s="23"/>
      <c r="K2421" s="27"/>
    </row>
    <row r="2422" spans="1:11" x14ac:dyDescent="0.25">
      <c r="A2422" s="77"/>
      <c r="B2422" s="69"/>
      <c r="C2422" s="71"/>
      <c r="E2422" s="22"/>
      <c r="F2422" s="22"/>
      <c r="G2422" s="31"/>
      <c r="J2422" s="23"/>
      <c r="K2422" s="27"/>
    </row>
    <row r="2423" spans="1:11" x14ac:dyDescent="0.25">
      <c r="A2423" s="77"/>
      <c r="B2423" s="69"/>
      <c r="C2423" s="71"/>
      <c r="E2423" s="22"/>
      <c r="F2423" s="22"/>
      <c r="G2423" s="31"/>
      <c r="J2423" s="23"/>
      <c r="K2423" s="27"/>
    </row>
    <row r="2424" spans="1:11" x14ac:dyDescent="0.25">
      <c r="A2424" s="77"/>
      <c r="B2424" s="69"/>
      <c r="C2424" s="71"/>
      <c r="E2424" s="22"/>
      <c r="F2424" s="22"/>
      <c r="G2424" s="31"/>
      <c r="J2424" s="23"/>
      <c r="K2424" s="27"/>
    </row>
    <row r="2425" spans="1:11" x14ac:dyDescent="0.25">
      <c r="A2425" s="77"/>
      <c r="B2425" s="69"/>
      <c r="C2425" s="71"/>
      <c r="E2425" s="22"/>
      <c r="F2425" s="22"/>
      <c r="G2425" s="31"/>
      <c r="J2425" s="23"/>
      <c r="K2425" s="27"/>
    </row>
    <row r="2426" spans="1:11" x14ac:dyDescent="0.25">
      <c r="A2426" s="77"/>
      <c r="B2426" s="69"/>
      <c r="C2426" s="71"/>
      <c r="E2426" s="22"/>
      <c r="F2426" s="22"/>
      <c r="G2426" s="31"/>
      <c r="J2426" s="23"/>
      <c r="K2426" s="27"/>
    </row>
    <row r="2427" spans="1:11" x14ac:dyDescent="0.25">
      <c r="A2427" s="77"/>
      <c r="B2427" s="69"/>
      <c r="C2427" s="71"/>
      <c r="E2427" s="22"/>
      <c r="F2427" s="22"/>
      <c r="G2427" s="31"/>
      <c r="J2427" s="23"/>
      <c r="K2427" s="27"/>
    </row>
    <row r="2428" spans="1:11" x14ac:dyDescent="0.25">
      <c r="A2428" s="77"/>
      <c r="B2428" s="69"/>
      <c r="C2428" s="71"/>
      <c r="E2428" s="22"/>
      <c r="F2428" s="22"/>
      <c r="G2428" s="31"/>
      <c r="J2428" s="23"/>
      <c r="K2428" s="27"/>
    </row>
    <row r="2429" spans="1:11" x14ac:dyDescent="0.25">
      <c r="A2429" s="77"/>
      <c r="B2429" s="69"/>
      <c r="C2429" s="71"/>
      <c r="E2429" s="22"/>
      <c r="F2429" s="22"/>
      <c r="G2429" s="31"/>
      <c r="J2429" s="23"/>
      <c r="K2429" s="27"/>
    </row>
    <row r="2430" spans="1:11" x14ac:dyDescent="0.25">
      <c r="A2430" s="77"/>
      <c r="B2430" s="69"/>
      <c r="C2430" s="71"/>
      <c r="E2430" s="22"/>
      <c r="F2430" s="22"/>
      <c r="G2430" s="31"/>
      <c r="J2430" s="23"/>
      <c r="K2430" s="27"/>
    </row>
    <row r="2431" spans="1:11" x14ac:dyDescent="0.25">
      <c r="A2431" s="77"/>
      <c r="B2431" s="69"/>
      <c r="C2431" s="71"/>
      <c r="E2431" s="22"/>
      <c r="F2431" s="22"/>
      <c r="G2431" s="31"/>
      <c r="J2431" s="23"/>
      <c r="K2431" s="27"/>
    </row>
    <row r="2432" spans="1:11" x14ac:dyDescent="0.25">
      <c r="A2432" s="77"/>
      <c r="B2432" s="69"/>
      <c r="C2432" s="71"/>
      <c r="E2432" s="22"/>
      <c r="F2432" s="22"/>
      <c r="G2432" s="31"/>
      <c r="J2432" s="23"/>
      <c r="K2432" s="27"/>
    </row>
    <row r="2433" spans="1:11" x14ac:dyDescent="0.25">
      <c r="A2433" s="77"/>
      <c r="B2433" s="69"/>
      <c r="C2433" s="71"/>
      <c r="E2433" s="22"/>
      <c r="F2433" s="22"/>
      <c r="G2433" s="31"/>
      <c r="J2433" s="23"/>
      <c r="K2433" s="27"/>
    </row>
    <row r="2434" spans="1:11" x14ac:dyDescent="0.25">
      <c r="A2434" s="77"/>
      <c r="B2434" s="69"/>
      <c r="C2434" s="71"/>
      <c r="E2434" s="22"/>
      <c r="F2434" s="22"/>
      <c r="G2434" s="31"/>
      <c r="J2434" s="23"/>
      <c r="K2434" s="27"/>
    </row>
    <row r="2435" spans="1:11" x14ac:dyDescent="0.25">
      <c r="A2435" s="77"/>
      <c r="B2435" s="69"/>
      <c r="C2435" s="71"/>
      <c r="E2435" s="22"/>
      <c r="F2435" s="22"/>
      <c r="G2435" s="31"/>
      <c r="J2435" s="23"/>
      <c r="K2435" s="27"/>
    </row>
    <row r="2436" spans="1:11" x14ac:dyDescent="0.25">
      <c r="A2436" s="77"/>
      <c r="B2436" s="69"/>
      <c r="C2436" s="71"/>
      <c r="E2436" s="22"/>
      <c r="F2436" s="22"/>
      <c r="G2436" s="31"/>
      <c r="J2436" s="23"/>
      <c r="K2436" s="27"/>
    </row>
    <row r="2437" spans="1:11" x14ac:dyDescent="0.25">
      <c r="A2437" s="77"/>
      <c r="B2437" s="69"/>
      <c r="C2437" s="71"/>
      <c r="E2437" s="22"/>
      <c r="F2437" s="22"/>
      <c r="G2437" s="31"/>
      <c r="J2437" s="23"/>
      <c r="K2437" s="27"/>
    </row>
    <row r="2438" spans="1:11" x14ac:dyDescent="0.25">
      <c r="A2438" s="77"/>
      <c r="B2438" s="69"/>
      <c r="C2438" s="71"/>
      <c r="E2438" s="22"/>
      <c r="F2438" s="22"/>
      <c r="G2438" s="31"/>
      <c r="J2438" s="23"/>
      <c r="K2438" s="27"/>
    </row>
    <row r="2439" spans="1:11" x14ac:dyDescent="0.25">
      <c r="A2439" s="77"/>
      <c r="B2439" s="69"/>
      <c r="C2439" s="71"/>
      <c r="E2439" s="22"/>
      <c r="F2439" s="22"/>
      <c r="G2439" s="31"/>
      <c r="J2439" s="23"/>
      <c r="K2439" s="27"/>
    </row>
    <row r="2440" spans="1:11" x14ac:dyDescent="0.25">
      <c r="A2440" s="77"/>
      <c r="B2440" s="69"/>
      <c r="C2440" s="71"/>
      <c r="E2440" s="22"/>
      <c r="F2440" s="22"/>
      <c r="G2440" s="31"/>
      <c r="J2440" s="23"/>
      <c r="K2440" s="27"/>
    </row>
    <row r="2441" spans="1:11" x14ac:dyDescent="0.25">
      <c r="A2441" s="77"/>
      <c r="B2441" s="69"/>
      <c r="C2441" s="71"/>
      <c r="E2441" s="22"/>
      <c r="F2441" s="22"/>
      <c r="G2441" s="31"/>
      <c r="J2441" s="23"/>
      <c r="K2441" s="27"/>
    </row>
    <row r="2442" spans="1:11" x14ac:dyDescent="0.25">
      <c r="A2442" s="77"/>
      <c r="B2442" s="69"/>
      <c r="C2442" s="71"/>
      <c r="E2442" s="22"/>
      <c r="F2442" s="22"/>
      <c r="G2442" s="31"/>
      <c r="J2442" s="23"/>
      <c r="K2442" s="27"/>
    </row>
    <row r="2443" spans="1:11" x14ac:dyDescent="0.25">
      <c r="A2443" s="77"/>
      <c r="B2443" s="69"/>
      <c r="C2443" s="71"/>
      <c r="E2443" s="22"/>
      <c r="F2443" s="22"/>
      <c r="G2443" s="31"/>
      <c r="J2443" s="23"/>
      <c r="K2443" s="27"/>
    </row>
    <row r="2444" spans="1:11" x14ac:dyDescent="0.25">
      <c r="A2444" s="77"/>
      <c r="B2444" s="69"/>
      <c r="C2444" s="71"/>
      <c r="E2444" s="22"/>
      <c r="F2444" s="22"/>
      <c r="G2444" s="31"/>
      <c r="J2444" s="23"/>
      <c r="K2444" s="27"/>
    </row>
    <row r="2445" spans="1:11" x14ac:dyDescent="0.25">
      <c r="A2445" s="77"/>
      <c r="B2445" s="69"/>
      <c r="C2445" s="71"/>
      <c r="E2445" s="22"/>
      <c r="F2445" s="22"/>
      <c r="G2445" s="31"/>
      <c r="J2445" s="23"/>
      <c r="K2445" s="27"/>
    </row>
    <row r="2446" spans="1:11" x14ac:dyDescent="0.25">
      <c r="A2446" s="77"/>
      <c r="B2446" s="69"/>
      <c r="C2446" s="71"/>
      <c r="E2446" s="22"/>
      <c r="F2446" s="22"/>
      <c r="G2446" s="31"/>
      <c r="J2446" s="23"/>
      <c r="K2446" s="27"/>
    </row>
    <row r="2447" spans="1:11" x14ac:dyDescent="0.25">
      <c r="A2447" s="77"/>
      <c r="B2447" s="69"/>
      <c r="C2447" s="71"/>
      <c r="E2447" s="22"/>
      <c r="F2447" s="22"/>
      <c r="G2447" s="31"/>
      <c r="J2447" s="23"/>
      <c r="K2447" s="27"/>
    </row>
    <row r="2448" spans="1:11" x14ac:dyDescent="0.25">
      <c r="A2448" s="77"/>
      <c r="B2448" s="69"/>
      <c r="C2448" s="71"/>
      <c r="E2448" s="22"/>
      <c r="F2448" s="22"/>
      <c r="G2448" s="31"/>
      <c r="J2448" s="23"/>
      <c r="K2448" s="27"/>
    </row>
    <row r="2449" spans="1:11" x14ac:dyDescent="0.25">
      <c r="A2449" s="77"/>
      <c r="B2449" s="69"/>
      <c r="C2449" s="71"/>
      <c r="E2449" s="22"/>
      <c r="F2449" s="22"/>
      <c r="G2449" s="31"/>
      <c r="J2449" s="23"/>
      <c r="K2449" s="27"/>
    </row>
    <row r="2450" spans="1:11" x14ac:dyDescent="0.25">
      <c r="A2450" s="77"/>
      <c r="B2450" s="69"/>
      <c r="C2450" s="71"/>
      <c r="E2450" s="22"/>
      <c r="F2450" s="22"/>
      <c r="G2450" s="31"/>
      <c r="J2450" s="23"/>
      <c r="K2450" s="27"/>
    </row>
    <row r="2451" spans="1:11" x14ac:dyDescent="0.25">
      <c r="A2451" s="77"/>
      <c r="B2451" s="69"/>
      <c r="C2451" s="71"/>
      <c r="E2451" s="22"/>
      <c r="F2451" s="22"/>
      <c r="G2451" s="31"/>
      <c r="J2451" s="23"/>
      <c r="K2451" s="27"/>
    </row>
    <row r="2452" spans="1:11" x14ac:dyDescent="0.25">
      <c r="A2452" s="77"/>
      <c r="B2452" s="69"/>
      <c r="C2452" s="71"/>
      <c r="E2452" s="22"/>
      <c r="F2452" s="22"/>
      <c r="G2452" s="31"/>
      <c r="J2452" s="23"/>
      <c r="K2452" s="27"/>
    </row>
    <row r="2453" spans="1:11" x14ac:dyDescent="0.25">
      <c r="A2453" s="77"/>
      <c r="B2453" s="69"/>
      <c r="C2453" s="71"/>
      <c r="E2453" s="22"/>
      <c r="F2453" s="22"/>
      <c r="G2453" s="31"/>
      <c r="J2453" s="23"/>
      <c r="K2453" s="27"/>
    </row>
    <row r="2454" spans="1:11" x14ac:dyDescent="0.25">
      <c r="A2454" s="77"/>
      <c r="B2454" s="69"/>
      <c r="C2454" s="71"/>
      <c r="E2454" s="22"/>
      <c r="F2454" s="22"/>
      <c r="G2454" s="31"/>
      <c r="J2454" s="23"/>
      <c r="K2454" s="27"/>
    </row>
    <row r="2455" spans="1:11" x14ac:dyDescent="0.25">
      <c r="A2455" s="77"/>
      <c r="B2455" s="69"/>
      <c r="C2455" s="71"/>
      <c r="E2455" s="22"/>
      <c r="F2455" s="22"/>
      <c r="G2455" s="31"/>
      <c r="J2455" s="23"/>
      <c r="K2455" s="27"/>
    </row>
    <row r="2456" spans="1:11" x14ac:dyDescent="0.25">
      <c r="A2456" s="77"/>
      <c r="B2456" s="69"/>
      <c r="C2456" s="71"/>
      <c r="E2456" s="22"/>
      <c r="F2456" s="22"/>
      <c r="G2456" s="31"/>
      <c r="J2456" s="23"/>
      <c r="K2456" s="27"/>
    </row>
    <row r="2457" spans="1:11" x14ac:dyDescent="0.25">
      <c r="A2457" s="77"/>
      <c r="B2457" s="69"/>
      <c r="C2457" s="71"/>
      <c r="E2457" s="22"/>
      <c r="F2457" s="22"/>
      <c r="G2457" s="31"/>
      <c r="J2457" s="23"/>
      <c r="K2457" s="27"/>
    </row>
    <row r="2458" spans="1:11" x14ac:dyDescent="0.25">
      <c r="A2458" s="77"/>
      <c r="B2458" s="69"/>
      <c r="C2458" s="71"/>
      <c r="E2458" s="22"/>
      <c r="F2458" s="22"/>
      <c r="G2458" s="31"/>
      <c r="J2458" s="23"/>
      <c r="K2458" s="27"/>
    </row>
    <row r="2459" spans="1:11" x14ac:dyDescent="0.25">
      <c r="A2459" s="77"/>
      <c r="B2459" s="69"/>
      <c r="C2459" s="71"/>
      <c r="E2459" s="22"/>
      <c r="F2459" s="22"/>
      <c r="G2459" s="31"/>
      <c r="J2459" s="23"/>
      <c r="K2459" s="27"/>
    </row>
    <row r="2460" spans="1:11" x14ac:dyDescent="0.25">
      <c r="A2460" s="77"/>
      <c r="B2460" s="69"/>
      <c r="C2460" s="71"/>
      <c r="E2460" s="22"/>
      <c r="F2460" s="22"/>
      <c r="G2460" s="31"/>
      <c r="J2460" s="23"/>
      <c r="K2460" s="27"/>
    </row>
    <row r="2461" spans="1:11" x14ac:dyDescent="0.25">
      <c r="A2461" s="77"/>
      <c r="B2461" s="69"/>
      <c r="C2461" s="71"/>
      <c r="E2461" s="22"/>
      <c r="F2461" s="22"/>
      <c r="G2461" s="31"/>
      <c r="J2461" s="23"/>
      <c r="K2461" s="27"/>
    </row>
    <row r="2462" spans="1:11" x14ac:dyDescent="0.25">
      <c r="A2462" s="77"/>
      <c r="B2462" s="69"/>
      <c r="C2462" s="71"/>
      <c r="E2462" s="22"/>
      <c r="F2462" s="22"/>
      <c r="G2462" s="31"/>
      <c r="J2462" s="23"/>
      <c r="K2462" s="27"/>
    </row>
    <row r="2463" spans="1:11" x14ac:dyDescent="0.25">
      <c r="A2463" s="77"/>
      <c r="B2463" s="69"/>
      <c r="C2463" s="71"/>
      <c r="E2463" s="22"/>
      <c r="F2463" s="22"/>
      <c r="G2463" s="31"/>
      <c r="J2463" s="23"/>
      <c r="K2463" s="27"/>
    </row>
    <row r="2464" spans="1:11" x14ac:dyDescent="0.25">
      <c r="A2464" s="77"/>
      <c r="B2464" s="69"/>
      <c r="C2464" s="71"/>
      <c r="E2464" s="22"/>
      <c r="F2464" s="22"/>
      <c r="G2464" s="31"/>
      <c r="J2464" s="23"/>
      <c r="K2464" s="27"/>
    </row>
    <row r="2465" spans="1:11" x14ac:dyDescent="0.25">
      <c r="A2465" s="77"/>
      <c r="B2465" s="69"/>
      <c r="C2465" s="71"/>
      <c r="E2465" s="22"/>
      <c r="F2465" s="22"/>
      <c r="G2465" s="31"/>
      <c r="J2465" s="23"/>
      <c r="K2465" s="27"/>
    </row>
    <row r="2466" spans="1:11" x14ac:dyDescent="0.25">
      <c r="A2466" s="77"/>
      <c r="B2466" s="69"/>
      <c r="C2466" s="71"/>
      <c r="E2466" s="22"/>
      <c r="F2466" s="22"/>
      <c r="G2466" s="31"/>
      <c r="J2466" s="23"/>
      <c r="K2466" s="27"/>
    </row>
    <row r="2467" spans="1:11" x14ac:dyDescent="0.25">
      <c r="A2467" s="77"/>
      <c r="B2467" s="69"/>
      <c r="C2467" s="71"/>
      <c r="E2467" s="22"/>
      <c r="F2467" s="22"/>
      <c r="G2467" s="31"/>
      <c r="J2467" s="23"/>
      <c r="K2467" s="27"/>
    </row>
    <row r="2468" spans="1:11" x14ac:dyDescent="0.25">
      <c r="A2468" s="77"/>
      <c r="B2468" s="69"/>
      <c r="C2468" s="71"/>
      <c r="E2468" s="22"/>
      <c r="F2468" s="22"/>
      <c r="G2468" s="31"/>
      <c r="J2468" s="23"/>
      <c r="K2468" s="27"/>
    </row>
    <row r="2469" spans="1:11" x14ac:dyDescent="0.25">
      <c r="A2469" s="77"/>
      <c r="B2469" s="69"/>
      <c r="C2469" s="71"/>
      <c r="E2469" s="22"/>
      <c r="F2469" s="22"/>
      <c r="G2469" s="31"/>
      <c r="J2469" s="23"/>
      <c r="K2469" s="27"/>
    </row>
    <row r="2470" spans="1:11" x14ac:dyDescent="0.25">
      <c r="A2470" s="77"/>
      <c r="B2470" s="69"/>
      <c r="C2470" s="71"/>
      <c r="E2470" s="22"/>
      <c r="F2470" s="22"/>
      <c r="G2470" s="31"/>
      <c r="J2470" s="23"/>
      <c r="K2470" s="27"/>
    </row>
    <row r="2471" spans="1:11" x14ac:dyDescent="0.25">
      <c r="A2471" s="77"/>
      <c r="B2471" s="69"/>
      <c r="C2471" s="71"/>
      <c r="E2471" s="22"/>
      <c r="F2471" s="22"/>
      <c r="G2471" s="31"/>
      <c r="J2471" s="23"/>
      <c r="K2471" s="27"/>
    </row>
    <row r="2472" spans="1:11" x14ac:dyDescent="0.25">
      <c r="A2472" s="77"/>
      <c r="B2472" s="69"/>
      <c r="C2472" s="71"/>
      <c r="E2472" s="22"/>
      <c r="F2472" s="22"/>
      <c r="G2472" s="31"/>
      <c r="J2472" s="23"/>
      <c r="K2472" s="27"/>
    </row>
    <row r="2473" spans="1:11" x14ac:dyDescent="0.25">
      <c r="A2473" s="74"/>
      <c r="B2473" s="69"/>
      <c r="C2473" s="71"/>
      <c r="E2473" s="22"/>
      <c r="F2473" s="22"/>
      <c r="G2473" s="31"/>
      <c r="J2473" s="23"/>
      <c r="K2473" s="27"/>
    </row>
    <row r="2474" spans="1:11" x14ac:dyDescent="0.25">
      <c r="A2474" s="74"/>
      <c r="B2474" s="69"/>
      <c r="C2474" s="71"/>
      <c r="E2474" s="22"/>
      <c r="F2474" s="22"/>
      <c r="G2474" s="31"/>
      <c r="J2474" s="23"/>
      <c r="K2474" s="27"/>
    </row>
    <row r="2475" spans="1:11" x14ac:dyDescent="0.25">
      <c r="A2475" s="74"/>
      <c r="B2475" s="69"/>
      <c r="C2475" s="71"/>
      <c r="E2475" s="22"/>
      <c r="F2475" s="22"/>
      <c r="G2475" s="31"/>
      <c r="J2475" s="23"/>
      <c r="K2475" s="27"/>
    </row>
    <row r="2476" spans="1:11" x14ac:dyDescent="0.25">
      <c r="A2476" s="74"/>
      <c r="B2476" s="69"/>
      <c r="C2476" s="71"/>
      <c r="E2476" s="22"/>
      <c r="F2476" s="22"/>
      <c r="G2476" s="31"/>
      <c r="J2476" s="23"/>
      <c r="K2476" s="27"/>
    </row>
    <row r="2477" spans="1:11" x14ac:dyDescent="0.25">
      <c r="A2477" s="74"/>
      <c r="B2477" s="69"/>
      <c r="C2477" s="71"/>
      <c r="E2477" s="22"/>
      <c r="F2477" s="22"/>
      <c r="G2477" s="31"/>
      <c r="J2477" s="23"/>
      <c r="K2477" s="27"/>
    </row>
    <row r="2478" spans="1:11" x14ac:dyDescent="0.25">
      <c r="A2478" s="74"/>
      <c r="B2478" s="69"/>
      <c r="C2478" s="71"/>
      <c r="E2478" s="22"/>
      <c r="F2478" s="22"/>
      <c r="G2478" s="31"/>
      <c r="J2478" s="23"/>
      <c r="K2478" s="27"/>
    </row>
    <row r="2479" spans="1:11" x14ac:dyDescent="0.25">
      <c r="A2479" s="74"/>
      <c r="B2479" s="69"/>
      <c r="C2479" s="71"/>
      <c r="E2479" s="22"/>
      <c r="F2479" s="22"/>
      <c r="G2479" s="31"/>
      <c r="J2479" s="23"/>
      <c r="K2479" s="27"/>
    </row>
    <row r="2480" spans="1:11" x14ac:dyDescent="0.25">
      <c r="A2480" s="74"/>
      <c r="B2480" s="69"/>
      <c r="C2480" s="71"/>
      <c r="E2480" s="22"/>
      <c r="F2480" s="22"/>
      <c r="G2480" s="31"/>
      <c r="J2480" s="23"/>
      <c r="K2480" s="27"/>
    </row>
    <row r="2481" spans="1:11" x14ac:dyDescent="0.25">
      <c r="A2481" s="74"/>
      <c r="B2481" s="69"/>
      <c r="C2481" s="71"/>
      <c r="E2481" s="22"/>
      <c r="F2481" s="22"/>
      <c r="G2481" s="31"/>
      <c r="J2481" s="23"/>
      <c r="K2481" s="27"/>
    </row>
    <row r="2482" spans="1:11" x14ac:dyDescent="0.25">
      <c r="A2482" s="74"/>
      <c r="B2482" s="69"/>
      <c r="C2482" s="71"/>
      <c r="E2482" s="22"/>
      <c r="F2482" s="22"/>
      <c r="G2482" s="31"/>
      <c r="J2482" s="23"/>
      <c r="K2482" s="27"/>
    </row>
    <row r="2483" spans="1:11" x14ac:dyDescent="0.25">
      <c r="A2483" s="74"/>
      <c r="B2483" s="69"/>
      <c r="C2483" s="71"/>
      <c r="E2483" s="22"/>
      <c r="F2483" s="22"/>
      <c r="G2483" s="31"/>
      <c r="J2483" s="23"/>
      <c r="K2483" s="27"/>
    </row>
    <row r="2484" spans="1:11" x14ac:dyDescent="0.25">
      <c r="A2484" s="74"/>
      <c r="B2484" s="69"/>
      <c r="C2484" s="71"/>
      <c r="E2484" s="22"/>
      <c r="F2484" s="22"/>
      <c r="G2484" s="31"/>
      <c r="J2484" s="23"/>
      <c r="K2484" s="27"/>
    </row>
    <row r="2485" spans="1:11" x14ac:dyDescent="0.25">
      <c r="A2485" s="74"/>
      <c r="B2485" s="69"/>
      <c r="C2485" s="71"/>
      <c r="E2485" s="22"/>
      <c r="F2485" s="22"/>
      <c r="G2485" s="31"/>
      <c r="J2485" s="23"/>
      <c r="K2485" s="27"/>
    </row>
    <row r="2486" spans="1:11" x14ac:dyDescent="0.25">
      <c r="A2486" s="74"/>
      <c r="B2486" s="69"/>
      <c r="C2486" s="71"/>
      <c r="E2486" s="22"/>
      <c r="F2486" s="22"/>
      <c r="G2486" s="31"/>
      <c r="J2486" s="23"/>
      <c r="K2486" s="27"/>
    </row>
    <row r="2487" spans="1:11" x14ac:dyDescent="0.25">
      <c r="A2487" s="74"/>
      <c r="B2487" s="69"/>
      <c r="C2487" s="71"/>
      <c r="E2487" s="22"/>
      <c r="F2487" s="22"/>
      <c r="G2487" s="31"/>
      <c r="J2487" s="23"/>
      <c r="K2487" s="27"/>
    </row>
    <row r="2488" spans="1:11" x14ac:dyDescent="0.25">
      <c r="A2488" s="74"/>
      <c r="B2488" s="69"/>
      <c r="C2488" s="71"/>
      <c r="E2488" s="22"/>
      <c r="F2488" s="22"/>
      <c r="G2488" s="31"/>
      <c r="J2488" s="23"/>
      <c r="K2488" s="27"/>
    </row>
    <row r="2489" spans="1:11" x14ac:dyDescent="0.25">
      <c r="A2489" s="74"/>
      <c r="B2489" s="69"/>
      <c r="C2489" s="71"/>
      <c r="E2489" s="22"/>
      <c r="F2489" s="22"/>
      <c r="G2489" s="31"/>
      <c r="J2489" s="23"/>
      <c r="K2489" s="27"/>
    </row>
    <row r="2490" spans="1:11" x14ac:dyDescent="0.25">
      <c r="A2490" s="74"/>
      <c r="B2490" s="69"/>
      <c r="C2490" s="71"/>
      <c r="E2490" s="22"/>
      <c r="F2490" s="22"/>
      <c r="G2490" s="31"/>
      <c r="J2490" s="23"/>
      <c r="K2490" s="27"/>
    </row>
    <row r="2491" spans="1:11" x14ac:dyDescent="0.25">
      <c r="A2491" s="74"/>
      <c r="B2491" s="69"/>
      <c r="C2491" s="71"/>
      <c r="E2491" s="22"/>
      <c r="F2491" s="22"/>
      <c r="G2491" s="31"/>
      <c r="J2491" s="23"/>
      <c r="K2491" s="27"/>
    </row>
    <row r="2492" spans="1:11" x14ac:dyDescent="0.25">
      <c r="A2492" s="74"/>
      <c r="B2492" s="69"/>
      <c r="C2492" s="71"/>
      <c r="E2492" s="22"/>
      <c r="F2492" s="22"/>
      <c r="G2492" s="31"/>
      <c r="J2492" s="23"/>
      <c r="K2492" s="27"/>
    </row>
    <row r="2493" spans="1:11" x14ac:dyDescent="0.25">
      <c r="A2493" s="74"/>
      <c r="B2493" s="69"/>
      <c r="C2493" s="71"/>
      <c r="E2493" s="22"/>
      <c r="F2493" s="22"/>
      <c r="G2493" s="31"/>
      <c r="J2493" s="23"/>
      <c r="K2493" s="27"/>
    </row>
    <row r="2494" spans="1:11" x14ac:dyDescent="0.25">
      <c r="A2494" s="74"/>
      <c r="B2494" s="69"/>
      <c r="C2494" s="71"/>
      <c r="E2494" s="22"/>
      <c r="F2494" s="22"/>
      <c r="G2494" s="31"/>
      <c r="J2494" s="23"/>
      <c r="K2494" s="27"/>
    </row>
    <row r="2495" spans="1:11" x14ac:dyDescent="0.25">
      <c r="A2495" s="74"/>
      <c r="B2495" s="69"/>
      <c r="C2495" s="71"/>
      <c r="E2495" s="22"/>
      <c r="F2495" s="22"/>
      <c r="G2495" s="31"/>
      <c r="J2495" s="23"/>
      <c r="K2495" s="27"/>
    </row>
    <row r="2496" spans="1:11" x14ac:dyDescent="0.25">
      <c r="A2496" s="74"/>
      <c r="B2496" s="69"/>
      <c r="C2496" s="71"/>
      <c r="E2496" s="22"/>
      <c r="F2496" s="22"/>
      <c r="G2496" s="31"/>
      <c r="J2496" s="23"/>
      <c r="K2496" s="27"/>
    </row>
    <row r="2497" spans="1:11" x14ac:dyDescent="0.25">
      <c r="A2497" s="74"/>
      <c r="B2497" s="69"/>
      <c r="C2497" s="71"/>
      <c r="E2497" s="22"/>
      <c r="F2497" s="22"/>
      <c r="G2497" s="31"/>
      <c r="J2497" s="23"/>
      <c r="K2497" s="27"/>
    </row>
    <row r="2498" spans="1:11" x14ac:dyDescent="0.25">
      <c r="A2498" s="74"/>
      <c r="B2498" s="69"/>
      <c r="C2498" s="71"/>
      <c r="E2498" s="22"/>
      <c r="F2498" s="22"/>
      <c r="G2498" s="31"/>
      <c r="J2498" s="23"/>
      <c r="K2498" s="27"/>
    </row>
    <row r="2499" spans="1:11" x14ac:dyDescent="0.25">
      <c r="A2499" s="74"/>
      <c r="B2499" s="69"/>
      <c r="C2499" s="71"/>
      <c r="E2499" s="22"/>
      <c r="F2499" s="22"/>
      <c r="G2499" s="31"/>
      <c r="J2499" s="23"/>
      <c r="K2499" s="27"/>
    </row>
    <row r="2500" spans="1:11" x14ac:dyDescent="0.25">
      <c r="A2500" s="74"/>
      <c r="B2500" s="69"/>
      <c r="C2500" s="71"/>
      <c r="E2500" s="22"/>
      <c r="F2500" s="22"/>
      <c r="G2500" s="31"/>
      <c r="J2500" s="23"/>
      <c r="K2500" s="27"/>
    </row>
    <row r="2501" spans="1:11" x14ac:dyDescent="0.25">
      <c r="A2501" s="74"/>
      <c r="B2501" s="69"/>
      <c r="C2501" s="71"/>
      <c r="E2501" s="22"/>
      <c r="F2501" s="22"/>
      <c r="G2501" s="31"/>
      <c r="J2501" s="23"/>
      <c r="K2501" s="27"/>
    </row>
    <row r="2502" spans="1:11" x14ac:dyDescent="0.25">
      <c r="A2502" s="74"/>
      <c r="B2502" s="69"/>
      <c r="C2502" s="71"/>
      <c r="E2502" s="22"/>
      <c r="F2502" s="22"/>
      <c r="G2502" s="31"/>
      <c r="J2502" s="23"/>
      <c r="K2502" s="27"/>
    </row>
    <row r="2503" spans="1:11" x14ac:dyDescent="0.25">
      <c r="A2503" s="74"/>
      <c r="B2503" s="69"/>
      <c r="C2503" s="71"/>
      <c r="E2503" s="22"/>
      <c r="F2503" s="22"/>
      <c r="G2503" s="31"/>
      <c r="J2503" s="23"/>
      <c r="K2503" s="27"/>
    </row>
    <row r="2504" spans="1:11" x14ac:dyDescent="0.25">
      <c r="A2504" s="74"/>
      <c r="B2504" s="69"/>
      <c r="C2504" s="71"/>
      <c r="E2504" s="22"/>
      <c r="F2504" s="22"/>
      <c r="G2504" s="31"/>
      <c r="J2504" s="23"/>
      <c r="K2504" s="27"/>
    </row>
    <row r="2505" spans="1:11" x14ac:dyDescent="0.25">
      <c r="A2505" s="74"/>
      <c r="B2505" s="69"/>
      <c r="C2505" s="71"/>
      <c r="E2505" s="22"/>
      <c r="F2505" s="22"/>
      <c r="G2505" s="31"/>
      <c r="J2505" s="23"/>
      <c r="K2505" s="27"/>
    </row>
    <row r="2506" spans="1:11" x14ac:dyDescent="0.25">
      <c r="A2506" s="74"/>
      <c r="B2506" s="69"/>
      <c r="C2506" s="71"/>
      <c r="E2506" s="22"/>
      <c r="F2506" s="22"/>
      <c r="G2506" s="31"/>
      <c r="J2506" s="23"/>
      <c r="K2506" s="27"/>
    </row>
    <row r="2507" spans="1:11" x14ac:dyDescent="0.25">
      <c r="A2507" s="74"/>
      <c r="B2507" s="69"/>
      <c r="C2507" s="71"/>
      <c r="E2507" s="22"/>
      <c r="F2507" s="22"/>
      <c r="G2507" s="31"/>
      <c r="J2507" s="23"/>
      <c r="K2507" s="27"/>
    </row>
    <row r="2508" spans="1:11" x14ac:dyDescent="0.25">
      <c r="A2508" s="74"/>
      <c r="B2508" s="69"/>
      <c r="C2508" s="71"/>
      <c r="E2508" s="22"/>
      <c r="F2508" s="22"/>
      <c r="G2508" s="31"/>
      <c r="J2508" s="23"/>
      <c r="K2508" s="27"/>
    </row>
    <row r="2509" spans="1:11" x14ac:dyDescent="0.25">
      <c r="A2509" s="74"/>
      <c r="B2509" s="69"/>
      <c r="C2509" s="71"/>
      <c r="E2509" s="22"/>
      <c r="F2509" s="22"/>
      <c r="G2509" s="31"/>
      <c r="J2509" s="23"/>
      <c r="K2509" s="27"/>
    </row>
    <row r="2510" spans="1:11" x14ac:dyDescent="0.25">
      <c r="A2510" s="74"/>
      <c r="B2510" s="69"/>
      <c r="C2510" s="71"/>
      <c r="E2510" s="22"/>
      <c r="F2510" s="22"/>
      <c r="G2510" s="31"/>
      <c r="J2510" s="23"/>
      <c r="K2510" s="27"/>
    </row>
    <row r="2511" spans="1:11" x14ac:dyDescent="0.25">
      <c r="A2511" s="74"/>
      <c r="B2511" s="69"/>
      <c r="C2511" s="71"/>
      <c r="E2511" s="22"/>
      <c r="F2511" s="22"/>
      <c r="G2511" s="31"/>
      <c r="J2511" s="23"/>
      <c r="K2511" s="27"/>
    </row>
    <row r="2512" spans="1:11" x14ac:dyDescent="0.25">
      <c r="A2512" s="74"/>
      <c r="B2512" s="69"/>
      <c r="C2512" s="71"/>
      <c r="E2512" s="22"/>
      <c r="F2512" s="22"/>
      <c r="G2512" s="31"/>
      <c r="J2512" s="23"/>
      <c r="K2512" s="27"/>
    </row>
    <row r="2513" spans="1:11" x14ac:dyDescent="0.25">
      <c r="A2513" s="74"/>
      <c r="B2513" s="69"/>
      <c r="C2513" s="71"/>
      <c r="E2513" s="22"/>
      <c r="F2513" s="22"/>
      <c r="G2513" s="31"/>
      <c r="J2513" s="23"/>
      <c r="K2513" s="27"/>
    </row>
    <row r="2514" spans="1:11" x14ac:dyDescent="0.25">
      <c r="A2514" s="74"/>
      <c r="B2514" s="69"/>
      <c r="C2514" s="71"/>
      <c r="E2514" s="22"/>
      <c r="F2514" s="22"/>
      <c r="G2514" s="31"/>
      <c r="J2514" s="23"/>
      <c r="K2514" s="27"/>
    </row>
    <row r="2515" spans="1:11" x14ac:dyDescent="0.25">
      <c r="A2515" s="74"/>
      <c r="B2515" s="69"/>
      <c r="C2515" s="71"/>
      <c r="E2515" s="22"/>
      <c r="F2515" s="22"/>
      <c r="G2515" s="31"/>
      <c r="J2515" s="23"/>
      <c r="K2515" s="27"/>
    </row>
    <row r="2516" spans="1:11" x14ac:dyDescent="0.25">
      <c r="A2516" s="74"/>
      <c r="B2516" s="69"/>
      <c r="C2516" s="71"/>
      <c r="E2516" s="22"/>
      <c r="F2516" s="22"/>
      <c r="G2516" s="31"/>
      <c r="J2516" s="23"/>
      <c r="K2516" s="27"/>
    </row>
    <row r="2517" spans="1:11" x14ac:dyDescent="0.25">
      <c r="A2517" s="74"/>
      <c r="B2517" s="69"/>
      <c r="C2517" s="71"/>
      <c r="E2517" s="22"/>
      <c r="F2517" s="22"/>
      <c r="G2517" s="31"/>
      <c r="J2517" s="23"/>
      <c r="K2517" s="27"/>
    </row>
    <row r="2518" spans="1:11" x14ac:dyDescent="0.25">
      <c r="A2518" s="74"/>
      <c r="B2518" s="69"/>
      <c r="C2518" s="71"/>
      <c r="E2518" s="22"/>
      <c r="F2518" s="22"/>
      <c r="G2518" s="31"/>
      <c r="J2518" s="23"/>
      <c r="K2518" s="27"/>
    </row>
    <row r="2519" spans="1:11" x14ac:dyDescent="0.25">
      <c r="A2519" s="74"/>
      <c r="B2519" s="69"/>
      <c r="C2519" s="71"/>
      <c r="E2519" s="22"/>
      <c r="F2519" s="22"/>
      <c r="G2519" s="31"/>
      <c r="J2519" s="23"/>
      <c r="K2519" s="27"/>
    </row>
    <row r="2520" spans="1:11" x14ac:dyDescent="0.25">
      <c r="A2520" s="74"/>
      <c r="B2520" s="69"/>
      <c r="C2520" s="71"/>
      <c r="E2520" s="22"/>
      <c r="F2520" s="22"/>
      <c r="G2520" s="31"/>
      <c r="J2520" s="23"/>
      <c r="K2520" s="27"/>
    </row>
    <row r="2521" spans="1:11" x14ac:dyDescent="0.25">
      <c r="A2521" s="74"/>
      <c r="B2521" s="69"/>
      <c r="C2521" s="71"/>
      <c r="E2521" s="22"/>
      <c r="F2521" s="22"/>
      <c r="G2521" s="31"/>
      <c r="J2521" s="23"/>
      <c r="K2521" s="27"/>
    </row>
    <row r="2522" spans="1:11" x14ac:dyDescent="0.25">
      <c r="A2522" s="74"/>
      <c r="B2522" s="69"/>
      <c r="C2522" s="71"/>
      <c r="E2522" s="22"/>
      <c r="F2522" s="22"/>
      <c r="G2522" s="31"/>
      <c r="J2522" s="23"/>
      <c r="K2522" s="27"/>
    </row>
    <row r="2523" spans="1:11" x14ac:dyDescent="0.25">
      <c r="A2523" s="74"/>
      <c r="B2523" s="69"/>
      <c r="C2523" s="71"/>
      <c r="E2523" s="22"/>
      <c r="F2523" s="22"/>
      <c r="G2523" s="31"/>
      <c r="J2523" s="23"/>
      <c r="K2523" s="27"/>
    </row>
    <row r="2524" spans="1:11" x14ac:dyDescent="0.25">
      <c r="A2524" s="74"/>
      <c r="B2524" s="69"/>
      <c r="C2524" s="71"/>
      <c r="E2524" s="22"/>
      <c r="F2524" s="22"/>
      <c r="G2524" s="31"/>
      <c r="J2524" s="23"/>
      <c r="K2524" s="27"/>
    </row>
    <row r="2525" spans="1:11" x14ac:dyDescent="0.25">
      <c r="A2525" s="74"/>
      <c r="B2525" s="69"/>
      <c r="C2525" s="71"/>
      <c r="E2525" s="22"/>
      <c r="F2525" s="22"/>
      <c r="G2525" s="31"/>
      <c r="J2525" s="23"/>
      <c r="K2525" s="27"/>
    </row>
    <row r="2526" spans="1:11" x14ac:dyDescent="0.25">
      <c r="A2526" s="74"/>
      <c r="B2526" s="69"/>
      <c r="C2526" s="71"/>
      <c r="E2526" s="22"/>
      <c r="F2526" s="22"/>
      <c r="G2526" s="31"/>
      <c r="J2526" s="23"/>
      <c r="K2526" s="27"/>
    </row>
    <row r="2527" spans="1:11" x14ac:dyDescent="0.25">
      <c r="A2527" s="74"/>
      <c r="B2527" s="69"/>
      <c r="C2527" s="71"/>
      <c r="E2527" s="22"/>
      <c r="F2527" s="22"/>
      <c r="G2527" s="31"/>
      <c r="J2527" s="23"/>
      <c r="K2527" s="27"/>
    </row>
    <row r="2528" spans="1:11" x14ac:dyDescent="0.25">
      <c r="A2528" s="74"/>
      <c r="B2528" s="69"/>
      <c r="C2528" s="71"/>
      <c r="E2528" s="22"/>
      <c r="F2528" s="22"/>
      <c r="G2528" s="31"/>
      <c r="J2528" s="23"/>
      <c r="K2528" s="27"/>
    </row>
    <row r="2529" spans="1:11" x14ac:dyDescent="0.25">
      <c r="A2529" s="74"/>
      <c r="B2529" s="69"/>
      <c r="C2529" s="71"/>
      <c r="E2529" s="22"/>
      <c r="F2529" s="22"/>
      <c r="G2529" s="31"/>
      <c r="J2529" s="23"/>
      <c r="K2529" s="27"/>
    </row>
    <row r="2530" spans="1:11" x14ac:dyDescent="0.25">
      <c r="A2530" s="74"/>
      <c r="B2530" s="69"/>
      <c r="C2530" s="71"/>
      <c r="E2530" s="22"/>
      <c r="F2530" s="22"/>
      <c r="G2530" s="31"/>
      <c r="J2530" s="23"/>
      <c r="K2530" s="27"/>
    </row>
    <row r="2531" spans="1:11" x14ac:dyDescent="0.25">
      <c r="A2531" s="74"/>
      <c r="B2531" s="69"/>
      <c r="C2531" s="71"/>
      <c r="E2531" s="22"/>
      <c r="F2531" s="22"/>
      <c r="G2531" s="31"/>
      <c r="J2531" s="23"/>
      <c r="K2531" s="27"/>
    </row>
    <row r="2532" spans="1:11" x14ac:dyDescent="0.25">
      <c r="A2532" s="74"/>
      <c r="B2532" s="69"/>
      <c r="C2532" s="71"/>
      <c r="E2532" s="22"/>
      <c r="F2532" s="22"/>
      <c r="G2532" s="31"/>
      <c r="J2532" s="23"/>
      <c r="K2532" s="27"/>
    </row>
    <row r="2533" spans="1:11" x14ac:dyDescent="0.25">
      <c r="A2533" s="74"/>
      <c r="B2533" s="69"/>
      <c r="C2533" s="71"/>
      <c r="E2533" s="22"/>
      <c r="F2533" s="22"/>
      <c r="G2533" s="31"/>
      <c r="J2533" s="23"/>
      <c r="K2533" s="27"/>
    </row>
    <row r="2534" spans="1:11" x14ac:dyDescent="0.25">
      <c r="A2534" s="74"/>
      <c r="B2534" s="69"/>
      <c r="C2534" s="71"/>
      <c r="E2534" s="22"/>
      <c r="F2534" s="22"/>
      <c r="G2534" s="31"/>
      <c r="J2534" s="23"/>
      <c r="K2534" s="27"/>
    </row>
    <row r="2535" spans="1:11" x14ac:dyDescent="0.25">
      <c r="A2535" s="74"/>
      <c r="B2535" s="69"/>
      <c r="C2535" s="71"/>
      <c r="E2535" s="22"/>
      <c r="F2535" s="22"/>
      <c r="G2535" s="31"/>
      <c r="J2535" s="23"/>
      <c r="K2535" s="27"/>
    </row>
    <row r="2536" spans="1:11" x14ac:dyDescent="0.25">
      <c r="A2536" s="74"/>
      <c r="B2536" s="69"/>
      <c r="C2536" s="71"/>
      <c r="E2536" s="22"/>
      <c r="F2536" s="22"/>
      <c r="G2536" s="31"/>
      <c r="J2536" s="23"/>
      <c r="K2536" s="27"/>
    </row>
    <row r="2537" spans="1:11" x14ac:dyDescent="0.25">
      <c r="A2537" s="74"/>
      <c r="B2537" s="69"/>
      <c r="C2537" s="71"/>
      <c r="E2537" s="22"/>
      <c r="F2537" s="22"/>
      <c r="G2537" s="31"/>
      <c r="J2537" s="23"/>
      <c r="K2537" s="27"/>
    </row>
    <row r="2538" spans="1:11" x14ac:dyDescent="0.25">
      <c r="A2538" s="74"/>
      <c r="B2538" s="69"/>
      <c r="C2538" s="71"/>
      <c r="E2538" s="22"/>
      <c r="F2538" s="22"/>
      <c r="G2538" s="31"/>
      <c r="J2538" s="23"/>
      <c r="K2538" s="27"/>
    </row>
    <row r="2539" spans="1:11" x14ac:dyDescent="0.25">
      <c r="A2539" s="74"/>
      <c r="B2539" s="69"/>
      <c r="C2539" s="71"/>
      <c r="E2539" s="22"/>
      <c r="F2539" s="22"/>
      <c r="G2539" s="31"/>
      <c r="J2539" s="23"/>
      <c r="K2539" s="27"/>
    </row>
    <row r="2540" spans="1:11" x14ac:dyDescent="0.25">
      <c r="A2540" s="74"/>
      <c r="B2540" s="69"/>
      <c r="C2540" s="71"/>
      <c r="E2540" s="22"/>
      <c r="F2540" s="22"/>
      <c r="G2540" s="31"/>
      <c r="J2540" s="23"/>
      <c r="K2540" s="27"/>
    </row>
    <row r="2541" spans="1:11" x14ac:dyDescent="0.25">
      <c r="A2541" s="74"/>
      <c r="B2541" s="69"/>
      <c r="C2541" s="71"/>
      <c r="E2541" s="22"/>
      <c r="F2541" s="22"/>
      <c r="G2541" s="31"/>
      <c r="J2541" s="23"/>
      <c r="K2541" s="27"/>
    </row>
    <row r="2542" spans="1:11" x14ac:dyDescent="0.25">
      <c r="A2542" s="74"/>
      <c r="B2542" s="69"/>
      <c r="C2542" s="71"/>
      <c r="E2542" s="22"/>
      <c r="F2542" s="22"/>
      <c r="G2542" s="31"/>
      <c r="J2542" s="23"/>
      <c r="K2542" s="27"/>
    </row>
    <row r="2543" spans="1:11" x14ac:dyDescent="0.25">
      <c r="A2543" s="74"/>
      <c r="B2543" s="69"/>
      <c r="C2543" s="71"/>
      <c r="E2543" s="22"/>
      <c r="F2543" s="22"/>
      <c r="G2543" s="31"/>
      <c r="J2543" s="23"/>
      <c r="K2543" s="27"/>
    </row>
    <row r="2544" spans="1:11" x14ac:dyDescent="0.25">
      <c r="A2544" s="74"/>
      <c r="B2544" s="69"/>
      <c r="C2544" s="71"/>
      <c r="E2544" s="22"/>
      <c r="F2544" s="22"/>
      <c r="G2544" s="31"/>
      <c r="J2544" s="23"/>
      <c r="K2544" s="27"/>
    </row>
    <row r="2545" spans="1:11" x14ac:dyDescent="0.25">
      <c r="A2545" s="74"/>
      <c r="B2545" s="69"/>
      <c r="C2545" s="71"/>
      <c r="E2545" s="22"/>
      <c r="F2545" s="22"/>
      <c r="G2545" s="31"/>
      <c r="J2545" s="23"/>
      <c r="K2545" s="27"/>
    </row>
    <row r="2546" spans="1:11" x14ac:dyDescent="0.25">
      <c r="A2546" s="74"/>
      <c r="B2546" s="69"/>
      <c r="C2546" s="71"/>
      <c r="E2546" s="22"/>
      <c r="F2546" s="22"/>
      <c r="G2546" s="31"/>
      <c r="J2546" s="23"/>
      <c r="K2546" s="27"/>
    </row>
    <row r="2547" spans="1:11" x14ac:dyDescent="0.25">
      <c r="A2547" s="74"/>
      <c r="B2547" s="69"/>
      <c r="C2547" s="71"/>
      <c r="E2547" s="22"/>
      <c r="F2547" s="22"/>
      <c r="G2547" s="31"/>
      <c r="J2547" s="23"/>
      <c r="K2547" s="27"/>
    </row>
    <row r="2548" spans="1:11" x14ac:dyDescent="0.25">
      <c r="A2548" s="74"/>
      <c r="B2548" s="69"/>
      <c r="C2548" s="71"/>
      <c r="E2548" s="22"/>
      <c r="F2548" s="22"/>
      <c r="G2548" s="31"/>
      <c r="J2548" s="23"/>
      <c r="K2548" s="27"/>
    </row>
    <row r="2549" spans="1:11" x14ac:dyDescent="0.25">
      <c r="A2549" s="74"/>
      <c r="B2549" s="69"/>
      <c r="C2549" s="71"/>
      <c r="E2549" s="22"/>
      <c r="F2549" s="22"/>
      <c r="G2549" s="31"/>
      <c r="J2549" s="23"/>
      <c r="K2549" s="27"/>
    </row>
    <row r="2550" spans="1:11" x14ac:dyDescent="0.25">
      <c r="A2550" s="74"/>
      <c r="B2550" s="69"/>
      <c r="C2550" s="71"/>
      <c r="E2550" s="22"/>
      <c r="F2550" s="22"/>
      <c r="G2550" s="31"/>
      <c r="J2550" s="23"/>
      <c r="K2550" s="27"/>
    </row>
    <row r="2551" spans="1:11" x14ac:dyDescent="0.25">
      <c r="A2551" s="74"/>
      <c r="B2551" s="69"/>
      <c r="C2551" s="71"/>
      <c r="E2551" s="22"/>
      <c r="F2551" s="22"/>
      <c r="G2551" s="31"/>
      <c r="J2551" s="23"/>
      <c r="K2551" s="27"/>
    </row>
    <row r="2552" spans="1:11" x14ac:dyDescent="0.25">
      <c r="A2552" s="74"/>
      <c r="B2552" s="69"/>
      <c r="C2552" s="71"/>
      <c r="E2552" s="22"/>
      <c r="F2552" s="22"/>
      <c r="G2552" s="31"/>
      <c r="J2552" s="23"/>
      <c r="K2552" s="27"/>
    </row>
    <row r="2553" spans="1:11" x14ac:dyDescent="0.25">
      <c r="A2553" s="74"/>
      <c r="B2553" s="69"/>
      <c r="C2553" s="71"/>
      <c r="E2553" s="22"/>
      <c r="F2553" s="22"/>
      <c r="G2553" s="31"/>
      <c r="J2553" s="23"/>
      <c r="K2553" s="27"/>
    </row>
    <row r="2554" spans="1:11" x14ac:dyDescent="0.25">
      <c r="A2554" s="74"/>
      <c r="B2554" s="69"/>
      <c r="C2554" s="71"/>
      <c r="E2554" s="22"/>
      <c r="F2554" s="22"/>
      <c r="G2554" s="31"/>
      <c r="J2554" s="23"/>
      <c r="K2554" s="27"/>
    </row>
    <row r="2555" spans="1:11" x14ac:dyDescent="0.25">
      <c r="A2555" s="74"/>
      <c r="B2555" s="69"/>
      <c r="C2555" s="71"/>
      <c r="E2555" s="22"/>
      <c r="F2555" s="22"/>
      <c r="G2555" s="31"/>
      <c r="J2555" s="23"/>
      <c r="K2555" s="27"/>
    </row>
    <row r="2556" spans="1:11" x14ac:dyDescent="0.25">
      <c r="A2556" s="74"/>
      <c r="B2556" s="69"/>
      <c r="C2556" s="71"/>
      <c r="E2556" s="22"/>
      <c r="F2556" s="22"/>
      <c r="G2556" s="31"/>
      <c r="J2556" s="23"/>
      <c r="K2556" s="27"/>
    </row>
    <row r="2557" spans="1:11" x14ac:dyDescent="0.25">
      <c r="A2557" s="74"/>
      <c r="B2557" s="69"/>
      <c r="C2557" s="71"/>
      <c r="E2557" s="22"/>
      <c r="F2557" s="22"/>
      <c r="G2557" s="31"/>
      <c r="J2557" s="23"/>
      <c r="K2557" s="27"/>
    </row>
    <row r="2558" spans="1:11" x14ac:dyDescent="0.25">
      <c r="A2558" s="74"/>
      <c r="B2558" s="69"/>
      <c r="C2558" s="71"/>
      <c r="E2558" s="22"/>
      <c r="F2558" s="22"/>
      <c r="G2558" s="31"/>
      <c r="J2558" s="23"/>
      <c r="K2558" s="27"/>
    </row>
    <row r="2559" spans="1:11" x14ac:dyDescent="0.25">
      <c r="A2559" s="74"/>
      <c r="B2559" s="69"/>
      <c r="C2559" s="71"/>
      <c r="E2559" s="22"/>
      <c r="F2559" s="22"/>
      <c r="G2559" s="31"/>
      <c r="J2559" s="23"/>
      <c r="K2559" s="27"/>
    </row>
    <row r="2560" spans="1:11" x14ac:dyDescent="0.25">
      <c r="A2560" s="74"/>
      <c r="B2560" s="69"/>
      <c r="C2560" s="71"/>
      <c r="E2560" s="22"/>
      <c r="F2560" s="22"/>
      <c r="G2560" s="31"/>
      <c r="J2560" s="23"/>
      <c r="K2560" s="27"/>
    </row>
    <row r="2561" spans="1:11" x14ac:dyDescent="0.25">
      <c r="A2561" s="74"/>
      <c r="B2561" s="69"/>
      <c r="C2561" s="71"/>
      <c r="E2561" s="22"/>
      <c r="F2561" s="22"/>
      <c r="G2561" s="31"/>
      <c r="J2561" s="23"/>
      <c r="K2561" s="27"/>
    </row>
    <row r="2562" spans="1:11" x14ac:dyDescent="0.25">
      <c r="A2562" s="74"/>
      <c r="B2562" s="69"/>
      <c r="C2562" s="71"/>
      <c r="E2562" s="22"/>
      <c r="F2562" s="22"/>
      <c r="G2562" s="31"/>
      <c r="J2562" s="23"/>
      <c r="K2562" s="27"/>
    </row>
    <row r="2563" spans="1:11" x14ac:dyDescent="0.25">
      <c r="A2563" s="74"/>
      <c r="B2563" s="69"/>
      <c r="C2563" s="71"/>
      <c r="E2563" s="22"/>
      <c r="F2563" s="22"/>
      <c r="G2563" s="31"/>
      <c r="J2563" s="23"/>
      <c r="K2563" s="27"/>
    </row>
    <row r="2564" spans="1:11" x14ac:dyDescent="0.25">
      <c r="A2564" s="74"/>
      <c r="B2564" s="69"/>
      <c r="C2564" s="71"/>
      <c r="E2564" s="22"/>
      <c r="F2564" s="22"/>
      <c r="G2564" s="31"/>
      <c r="J2564" s="23"/>
      <c r="K2564" s="27"/>
    </row>
    <row r="2565" spans="1:11" x14ac:dyDescent="0.25">
      <c r="A2565" s="74"/>
      <c r="B2565" s="69"/>
      <c r="C2565" s="71"/>
      <c r="E2565" s="22"/>
      <c r="F2565" s="22"/>
      <c r="G2565" s="31"/>
      <c r="J2565" s="23"/>
      <c r="K2565" s="27"/>
    </row>
    <row r="2566" spans="1:11" x14ac:dyDescent="0.25">
      <c r="A2566" s="74"/>
      <c r="B2566" s="69"/>
      <c r="C2566" s="71"/>
      <c r="E2566" s="22"/>
      <c r="F2566" s="22"/>
      <c r="G2566" s="31"/>
      <c r="J2566" s="23"/>
      <c r="K2566" s="27"/>
    </row>
    <row r="2567" spans="1:11" x14ac:dyDescent="0.25">
      <c r="A2567" s="74"/>
      <c r="B2567" s="69"/>
      <c r="C2567" s="71"/>
      <c r="E2567" s="22"/>
      <c r="F2567" s="22"/>
      <c r="G2567" s="31"/>
      <c r="J2567" s="23"/>
      <c r="K2567" s="27"/>
    </row>
    <row r="2568" spans="1:11" x14ac:dyDescent="0.25">
      <c r="A2568" s="74"/>
      <c r="B2568" s="69"/>
      <c r="C2568" s="71"/>
      <c r="E2568" s="22"/>
      <c r="F2568" s="22"/>
      <c r="G2568" s="31"/>
      <c r="J2568" s="23"/>
      <c r="K2568" s="27"/>
    </row>
    <row r="2569" spans="1:11" x14ac:dyDescent="0.25">
      <c r="A2569" s="74"/>
      <c r="B2569" s="69"/>
      <c r="C2569" s="71"/>
      <c r="E2569" s="22"/>
      <c r="F2569" s="22"/>
      <c r="G2569" s="31"/>
      <c r="J2569" s="23"/>
      <c r="K2569" s="27"/>
    </row>
    <row r="2570" spans="1:11" x14ac:dyDescent="0.25">
      <c r="A2570" s="74"/>
      <c r="B2570" s="69"/>
      <c r="C2570" s="71"/>
      <c r="E2570" s="22"/>
      <c r="F2570" s="22"/>
      <c r="G2570" s="31"/>
      <c r="J2570" s="23"/>
      <c r="K2570" s="27"/>
    </row>
    <row r="2571" spans="1:11" x14ac:dyDescent="0.25">
      <c r="A2571" s="74"/>
      <c r="B2571" s="69"/>
      <c r="C2571" s="71"/>
      <c r="E2571" s="22"/>
      <c r="F2571" s="22"/>
      <c r="G2571" s="31"/>
      <c r="J2571" s="23"/>
      <c r="K2571" s="27"/>
    </row>
    <row r="2572" spans="1:11" x14ac:dyDescent="0.25">
      <c r="A2572" s="74"/>
      <c r="B2572" s="69"/>
      <c r="C2572" s="71"/>
      <c r="E2572" s="22"/>
      <c r="F2572" s="22"/>
      <c r="G2572" s="31"/>
      <c r="J2572" s="23"/>
      <c r="K2572" s="27"/>
    </row>
    <row r="2573" spans="1:11" x14ac:dyDescent="0.25">
      <c r="A2573" s="74"/>
      <c r="B2573" s="69"/>
      <c r="C2573" s="71"/>
      <c r="E2573" s="22"/>
      <c r="F2573" s="22"/>
      <c r="G2573" s="31"/>
      <c r="J2573" s="23"/>
      <c r="K2573" s="27"/>
    </row>
    <row r="2574" spans="1:11" x14ac:dyDescent="0.25">
      <c r="A2574" s="74"/>
      <c r="B2574" s="69"/>
      <c r="C2574" s="71"/>
      <c r="E2574" s="22"/>
      <c r="F2574" s="22"/>
      <c r="G2574" s="31"/>
      <c r="J2574" s="23"/>
      <c r="K2574" s="27"/>
    </row>
    <row r="2575" spans="1:11" x14ac:dyDescent="0.25">
      <c r="A2575" s="74"/>
      <c r="B2575" s="69"/>
      <c r="C2575" s="71"/>
      <c r="E2575" s="22"/>
      <c r="F2575" s="22"/>
      <c r="G2575" s="31"/>
      <c r="J2575" s="23"/>
      <c r="K2575" s="27"/>
    </row>
    <row r="2576" spans="1:11" x14ac:dyDescent="0.25">
      <c r="A2576" s="74"/>
      <c r="B2576" s="69"/>
      <c r="C2576" s="71"/>
      <c r="E2576" s="22"/>
      <c r="F2576" s="22"/>
      <c r="G2576" s="31"/>
      <c r="J2576" s="23"/>
      <c r="K2576" s="27"/>
    </row>
    <row r="2577" spans="1:11" x14ac:dyDescent="0.25">
      <c r="A2577" s="74"/>
      <c r="B2577" s="69"/>
      <c r="C2577" s="71"/>
      <c r="E2577" s="22"/>
      <c r="F2577" s="22"/>
      <c r="G2577" s="31"/>
      <c r="J2577" s="23"/>
      <c r="K2577" s="27"/>
    </row>
    <row r="2578" spans="1:11" x14ac:dyDescent="0.25">
      <c r="A2578" s="74"/>
      <c r="B2578" s="69"/>
      <c r="C2578" s="71"/>
      <c r="E2578" s="22"/>
      <c r="F2578" s="22"/>
      <c r="G2578" s="31"/>
      <c r="J2578" s="23"/>
      <c r="K2578" s="27"/>
    </row>
    <row r="2579" spans="1:11" x14ac:dyDescent="0.25">
      <c r="A2579" s="74"/>
      <c r="B2579" s="69"/>
      <c r="C2579" s="71"/>
      <c r="E2579" s="22"/>
      <c r="F2579" s="22"/>
      <c r="G2579" s="31"/>
      <c r="J2579" s="23"/>
      <c r="K2579" s="27"/>
    </row>
    <row r="2580" spans="1:11" x14ac:dyDescent="0.25">
      <c r="A2580" s="74"/>
      <c r="B2580" s="69"/>
      <c r="C2580" s="71"/>
      <c r="E2580" s="22"/>
      <c r="F2580" s="22"/>
      <c r="G2580" s="31"/>
      <c r="J2580" s="23"/>
      <c r="K2580" s="27"/>
    </row>
    <row r="2581" spans="1:11" x14ac:dyDescent="0.25">
      <c r="A2581" s="74"/>
      <c r="B2581" s="69"/>
      <c r="C2581" s="71"/>
      <c r="E2581" s="22"/>
      <c r="F2581" s="22"/>
      <c r="G2581" s="31"/>
      <c r="J2581" s="23"/>
      <c r="K2581" s="27"/>
    </row>
    <row r="2582" spans="1:11" x14ac:dyDescent="0.25">
      <c r="A2582" s="74"/>
      <c r="B2582" s="69"/>
      <c r="C2582" s="71"/>
      <c r="E2582" s="22"/>
      <c r="F2582" s="22"/>
      <c r="G2582" s="31"/>
      <c r="J2582" s="23"/>
      <c r="K2582" s="27"/>
    </row>
    <row r="2583" spans="1:11" x14ac:dyDescent="0.25">
      <c r="A2583" s="74"/>
      <c r="B2583" s="69"/>
      <c r="C2583" s="71"/>
      <c r="E2583" s="22"/>
      <c r="F2583" s="22"/>
      <c r="G2583" s="31"/>
      <c r="J2583" s="23"/>
      <c r="K2583" s="27"/>
    </row>
    <row r="2584" spans="1:11" x14ac:dyDescent="0.25">
      <c r="A2584" s="74"/>
      <c r="B2584" s="69"/>
      <c r="C2584" s="71"/>
      <c r="E2584" s="22"/>
      <c r="F2584" s="22"/>
      <c r="G2584" s="31"/>
      <c r="J2584" s="23"/>
      <c r="K2584" s="27"/>
    </row>
    <row r="2585" spans="1:11" x14ac:dyDescent="0.25">
      <c r="A2585" s="74"/>
      <c r="B2585" s="69"/>
      <c r="C2585" s="71"/>
      <c r="E2585" s="22"/>
      <c r="F2585" s="22"/>
      <c r="G2585" s="31"/>
      <c r="J2585" s="23"/>
      <c r="K2585" s="27"/>
    </row>
    <row r="2586" spans="1:11" x14ac:dyDescent="0.25">
      <c r="A2586" s="74"/>
      <c r="B2586" s="69"/>
      <c r="C2586" s="71"/>
      <c r="E2586" s="22"/>
      <c r="F2586" s="22"/>
      <c r="G2586" s="31"/>
      <c r="J2586" s="23"/>
      <c r="K2586" s="27"/>
    </row>
    <row r="2587" spans="1:11" x14ac:dyDescent="0.25">
      <c r="A2587" s="74"/>
      <c r="B2587" s="69"/>
      <c r="C2587" s="71"/>
      <c r="E2587" s="22"/>
      <c r="F2587" s="22"/>
      <c r="G2587" s="31"/>
      <c r="J2587" s="23"/>
      <c r="K2587" s="27"/>
    </row>
    <row r="2588" spans="1:11" x14ac:dyDescent="0.25">
      <c r="A2588" s="74"/>
      <c r="B2588" s="69"/>
      <c r="C2588" s="71"/>
      <c r="E2588" s="22"/>
      <c r="F2588" s="22"/>
      <c r="G2588" s="31"/>
      <c r="J2588" s="23"/>
      <c r="K2588" s="27"/>
    </row>
    <row r="2589" spans="1:11" x14ac:dyDescent="0.25">
      <c r="A2589" s="74"/>
      <c r="B2589" s="69"/>
      <c r="C2589" s="71"/>
      <c r="E2589" s="22"/>
      <c r="F2589" s="22"/>
      <c r="G2589" s="31"/>
      <c r="J2589" s="23"/>
      <c r="K2589" s="27"/>
    </row>
    <row r="2590" spans="1:11" x14ac:dyDescent="0.25">
      <c r="A2590" s="74"/>
      <c r="B2590" s="69"/>
      <c r="C2590" s="71"/>
      <c r="E2590" s="22"/>
      <c r="F2590" s="22"/>
      <c r="G2590" s="31"/>
      <c r="J2590" s="23"/>
      <c r="K2590" s="27"/>
    </row>
    <row r="2591" spans="1:11" x14ac:dyDescent="0.25">
      <c r="A2591" s="74"/>
      <c r="B2591" s="69"/>
      <c r="C2591" s="71"/>
      <c r="E2591" s="22"/>
      <c r="F2591" s="22"/>
      <c r="G2591" s="31"/>
      <c r="J2591" s="23"/>
      <c r="K2591" s="27"/>
    </row>
    <row r="2592" spans="1:11" x14ac:dyDescent="0.25">
      <c r="A2592" s="74"/>
      <c r="B2592" s="69"/>
      <c r="C2592" s="71"/>
      <c r="E2592" s="22"/>
      <c r="F2592" s="22"/>
      <c r="G2592" s="31"/>
      <c r="J2592" s="23"/>
      <c r="K2592" s="27"/>
    </row>
    <row r="2593" spans="1:11" x14ac:dyDescent="0.25">
      <c r="A2593" s="74"/>
      <c r="B2593" s="69"/>
      <c r="C2593" s="71"/>
      <c r="E2593" s="22"/>
      <c r="F2593" s="22"/>
      <c r="G2593" s="31"/>
      <c r="J2593" s="23"/>
      <c r="K2593" s="27"/>
    </row>
    <row r="2594" spans="1:11" x14ac:dyDescent="0.25">
      <c r="A2594" s="74"/>
      <c r="B2594" s="69"/>
      <c r="C2594" s="71"/>
      <c r="E2594" s="22"/>
      <c r="F2594" s="22"/>
      <c r="G2594" s="31"/>
      <c r="J2594" s="23"/>
      <c r="K2594" s="27"/>
    </row>
    <row r="2595" spans="1:11" x14ac:dyDescent="0.25">
      <c r="A2595" s="74"/>
      <c r="B2595" s="69"/>
      <c r="C2595" s="71"/>
      <c r="E2595" s="22"/>
      <c r="F2595" s="22"/>
      <c r="G2595" s="31"/>
      <c r="J2595" s="23"/>
      <c r="K2595" s="27"/>
    </row>
    <row r="2596" spans="1:11" x14ac:dyDescent="0.25">
      <c r="A2596" s="74"/>
      <c r="B2596" s="69"/>
      <c r="C2596" s="71"/>
      <c r="E2596" s="22"/>
      <c r="F2596" s="22"/>
      <c r="G2596" s="31"/>
      <c r="J2596" s="23"/>
      <c r="K2596" s="27"/>
    </row>
    <row r="2597" spans="1:11" x14ac:dyDescent="0.25">
      <c r="A2597" s="74"/>
      <c r="B2597" s="69"/>
      <c r="C2597" s="71"/>
      <c r="E2597" s="22"/>
      <c r="F2597" s="22"/>
      <c r="G2597" s="31"/>
      <c r="J2597" s="23"/>
      <c r="K2597" s="27"/>
    </row>
    <row r="2598" spans="1:11" x14ac:dyDescent="0.25">
      <c r="A2598" s="74"/>
      <c r="B2598" s="69"/>
      <c r="C2598" s="71"/>
      <c r="E2598" s="22"/>
      <c r="F2598" s="22"/>
      <c r="G2598" s="31"/>
      <c r="J2598" s="23"/>
      <c r="K2598" s="27"/>
    </row>
    <row r="2599" spans="1:11" x14ac:dyDescent="0.25">
      <c r="A2599" s="74"/>
      <c r="B2599" s="69"/>
      <c r="C2599" s="71"/>
      <c r="E2599" s="22"/>
      <c r="F2599" s="22"/>
      <c r="G2599" s="31"/>
      <c r="J2599" s="23"/>
      <c r="K2599" s="27"/>
    </row>
    <row r="2600" spans="1:11" x14ac:dyDescent="0.25">
      <c r="A2600" s="74"/>
      <c r="B2600" s="69"/>
      <c r="C2600" s="71"/>
      <c r="E2600" s="22"/>
      <c r="F2600" s="22"/>
      <c r="G2600" s="31"/>
      <c r="J2600" s="23"/>
      <c r="K2600" s="27"/>
    </row>
    <row r="2601" spans="1:11" x14ac:dyDescent="0.25">
      <c r="A2601" s="74"/>
      <c r="B2601" s="69"/>
      <c r="C2601" s="71"/>
      <c r="E2601" s="22"/>
      <c r="F2601" s="22"/>
      <c r="G2601" s="31"/>
      <c r="J2601" s="23"/>
      <c r="K2601" s="27"/>
    </row>
    <row r="2602" spans="1:11" x14ac:dyDescent="0.25">
      <c r="A2602" s="74"/>
      <c r="B2602" s="69"/>
      <c r="C2602" s="71"/>
      <c r="E2602" s="22"/>
      <c r="F2602" s="22"/>
      <c r="G2602" s="31"/>
      <c r="J2602" s="23"/>
      <c r="K2602" s="27"/>
    </row>
    <row r="2603" spans="1:11" x14ac:dyDescent="0.25">
      <c r="A2603" s="74"/>
      <c r="B2603" s="69"/>
      <c r="C2603" s="71"/>
      <c r="E2603" s="22"/>
      <c r="F2603" s="22"/>
      <c r="G2603" s="31"/>
      <c r="J2603" s="23"/>
      <c r="K2603" s="27"/>
    </row>
    <row r="2604" spans="1:11" x14ac:dyDescent="0.25">
      <c r="A2604" s="74"/>
      <c r="B2604" s="69"/>
      <c r="C2604" s="71"/>
      <c r="E2604" s="22"/>
      <c r="F2604" s="22"/>
      <c r="G2604" s="31"/>
      <c r="J2604" s="23"/>
      <c r="K2604" s="27"/>
    </row>
    <row r="2605" spans="1:11" x14ac:dyDescent="0.25">
      <c r="A2605" s="74"/>
      <c r="B2605" s="69"/>
      <c r="C2605" s="71"/>
      <c r="E2605" s="22"/>
      <c r="F2605" s="22"/>
      <c r="G2605" s="31"/>
      <c r="J2605" s="23"/>
      <c r="K2605" s="27"/>
    </row>
    <row r="2606" spans="1:11" x14ac:dyDescent="0.25">
      <c r="A2606" s="74"/>
      <c r="B2606" s="69"/>
      <c r="C2606" s="71"/>
      <c r="E2606" s="22"/>
      <c r="F2606" s="22"/>
      <c r="G2606" s="31"/>
      <c r="J2606" s="23"/>
      <c r="K2606" s="27"/>
    </row>
    <row r="2607" spans="1:11" x14ac:dyDescent="0.25">
      <c r="A2607" s="74"/>
      <c r="B2607" s="69"/>
      <c r="C2607" s="71"/>
      <c r="E2607" s="22"/>
      <c r="F2607" s="22"/>
      <c r="G2607" s="31"/>
      <c r="J2607" s="23"/>
      <c r="K2607" s="27"/>
    </row>
    <row r="2608" spans="1:11" x14ac:dyDescent="0.25">
      <c r="A2608" s="74"/>
      <c r="B2608" s="69"/>
      <c r="C2608" s="71"/>
      <c r="E2608" s="22"/>
      <c r="F2608" s="22"/>
      <c r="G2608" s="31"/>
      <c r="J2608" s="23"/>
      <c r="K2608" s="27"/>
    </row>
    <row r="2609" spans="1:11" x14ac:dyDescent="0.25">
      <c r="A2609" s="74"/>
      <c r="B2609" s="69"/>
      <c r="C2609" s="71"/>
      <c r="E2609" s="22"/>
      <c r="F2609" s="22"/>
      <c r="G2609" s="31"/>
      <c r="J2609" s="23"/>
      <c r="K2609" s="27"/>
    </row>
    <row r="2610" spans="1:11" x14ac:dyDescent="0.25">
      <c r="A2610" s="74"/>
      <c r="B2610" s="69"/>
      <c r="C2610" s="71"/>
      <c r="E2610" s="22"/>
      <c r="F2610" s="22"/>
      <c r="G2610" s="31"/>
      <c r="J2610" s="23"/>
      <c r="K2610" s="27"/>
    </row>
    <row r="2611" spans="1:11" x14ac:dyDescent="0.25">
      <c r="A2611" s="74"/>
      <c r="B2611" s="69"/>
      <c r="C2611" s="71"/>
      <c r="E2611" s="22"/>
      <c r="F2611" s="22"/>
      <c r="G2611" s="31"/>
      <c r="J2611" s="23"/>
      <c r="K2611" s="27"/>
    </row>
    <row r="2612" spans="1:11" x14ac:dyDescent="0.25">
      <c r="A2612" s="74"/>
      <c r="B2612" s="69"/>
      <c r="C2612" s="71"/>
      <c r="E2612" s="22"/>
      <c r="F2612" s="22"/>
      <c r="G2612" s="31"/>
      <c r="J2612" s="23"/>
      <c r="K2612" s="27"/>
    </row>
    <row r="2613" spans="1:11" x14ac:dyDescent="0.25">
      <c r="A2613" s="74"/>
      <c r="B2613" s="69"/>
      <c r="C2613" s="71"/>
      <c r="E2613" s="22"/>
      <c r="F2613" s="22"/>
      <c r="G2613" s="31"/>
      <c r="J2613" s="23"/>
      <c r="K2613" s="27"/>
    </row>
    <row r="2614" spans="1:11" x14ac:dyDescent="0.25">
      <c r="A2614" s="74"/>
      <c r="B2614" s="69"/>
      <c r="C2614" s="71"/>
      <c r="E2614" s="22"/>
      <c r="F2614" s="22"/>
      <c r="G2614" s="31"/>
      <c r="J2614" s="23"/>
      <c r="K2614" s="27"/>
    </row>
    <row r="2615" spans="1:11" x14ac:dyDescent="0.25">
      <c r="A2615" s="74"/>
      <c r="B2615" s="69"/>
      <c r="C2615" s="71"/>
      <c r="E2615" s="22"/>
      <c r="F2615" s="22"/>
      <c r="G2615" s="31"/>
      <c r="J2615" s="23"/>
      <c r="K2615" s="27"/>
    </row>
    <row r="2616" spans="1:11" x14ac:dyDescent="0.25">
      <c r="A2616" s="74"/>
      <c r="B2616" s="69"/>
      <c r="C2616" s="71"/>
      <c r="E2616" s="22"/>
      <c r="F2616" s="22"/>
      <c r="G2616" s="31"/>
      <c r="J2616" s="23"/>
      <c r="K2616" s="27"/>
    </row>
    <row r="2617" spans="1:11" x14ac:dyDescent="0.25">
      <c r="A2617" s="74"/>
      <c r="B2617" s="69"/>
      <c r="C2617" s="71"/>
      <c r="E2617" s="22"/>
      <c r="F2617" s="22"/>
      <c r="G2617" s="31"/>
      <c r="J2617" s="23"/>
      <c r="K2617" s="27"/>
    </row>
    <row r="2618" spans="1:11" x14ac:dyDescent="0.25">
      <c r="A2618" s="74"/>
      <c r="B2618" s="69"/>
      <c r="C2618" s="71"/>
      <c r="E2618" s="22"/>
      <c r="F2618" s="22"/>
      <c r="G2618" s="31"/>
      <c r="J2618" s="23"/>
      <c r="K2618" s="27"/>
    </row>
    <row r="2619" spans="1:11" x14ac:dyDescent="0.25">
      <c r="A2619" s="74"/>
      <c r="B2619" s="69"/>
      <c r="C2619" s="71"/>
      <c r="E2619" s="22"/>
      <c r="F2619" s="22"/>
      <c r="G2619" s="31"/>
      <c r="J2619" s="23"/>
      <c r="K2619" s="27"/>
    </row>
    <row r="2620" spans="1:11" x14ac:dyDescent="0.25">
      <c r="A2620" s="74"/>
      <c r="B2620" s="69"/>
      <c r="C2620" s="71"/>
      <c r="E2620" s="22"/>
      <c r="F2620" s="22"/>
      <c r="G2620" s="31"/>
      <c r="J2620" s="23"/>
      <c r="K2620" s="27"/>
    </row>
    <row r="2621" spans="1:11" x14ac:dyDescent="0.25">
      <c r="A2621" s="74"/>
      <c r="B2621" s="69"/>
      <c r="C2621" s="71"/>
      <c r="E2621" s="22"/>
      <c r="F2621" s="22"/>
      <c r="G2621" s="31"/>
      <c r="J2621" s="23"/>
      <c r="K2621" s="27"/>
    </row>
    <row r="2622" spans="1:11" x14ac:dyDescent="0.25">
      <c r="A2622" s="74"/>
      <c r="B2622" s="69"/>
      <c r="C2622" s="71"/>
      <c r="E2622" s="22"/>
      <c r="F2622" s="22"/>
      <c r="G2622" s="31"/>
      <c r="J2622" s="23"/>
      <c r="K2622" s="27"/>
    </row>
    <row r="2623" spans="1:11" x14ac:dyDescent="0.25">
      <c r="A2623" s="74"/>
      <c r="B2623" s="69"/>
      <c r="C2623" s="71"/>
      <c r="E2623" s="22"/>
      <c r="F2623" s="22"/>
      <c r="G2623" s="31"/>
      <c r="J2623" s="23"/>
      <c r="K2623" s="27"/>
    </row>
    <row r="2624" spans="1:11" x14ac:dyDescent="0.25">
      <c r="A2624" s="74"/>
      <c r="B2624" s="69"/>
      <c r="C2624" s="71"/>
      <c r="E2624" s="22"/>
      <c r="F2624" s="22"/>
      <c r="G2624" s="31"/>
      <c r="J2624" s="23"/>
      <c r="K2624" s="27"/>
    </row>
    <row r="2625" spans="1:11" x14ac:dyDescent="0.25">
      <c r="A2625" s="74"/>
      <c r="B2625" s="69"/>
      <c r="C2625" s="71"/>
      <c r="E2625" s="22"/>
      <c r="F2625" s="22"/>
      <c r="G2625" s="31"/>
      <c r="J2625" s="23"/>
      <c r="K2625" s="27"/>
    </row>
    <row r="2626" spans="1:11" x14ac:dyDescent="0.25">
      <c r="A2626" s="74"/>
      <c r="B2626" s="69"/>
      <c r="C2626" s="71"/>
      <c r="E2626" s="22"/>
      <c r="F2626" s="22"/>
      <c r="G2626" s="31"/>
      <c r="J2626" s="23"/>
      <c r="K2626" s="27"/>
    </row>
    <row r="2627" spans="1:11" x14ac:dyDescent="0.25">
      <c r="A2627" s="74"/>
      <c r="B2627" s="69"/>
      <c r="C2627" s="71"/>
      <c r="E2627" s="22"/>
      <c r="F2627" s="22"/>
      <c r="G2627" s="31"/>
      <c r="J2627" s="23"/>
      <c r="K2627" s="27"/>
    </row>
    <row r="2628" spans="1:11" x14ac:dyDescent="0.25">
      <c r="A2628" s="74"/>
      <c r="B2628" s="69"/>
      <c r="C2628" s="71"/>
      <c r="E2628" s="22"/>
      <c r="F2628" s="22"/>
      <c r="G2628" s="31"/>
      <c r="J2628" s="23"/>
      <c r="K2628" s="27"/>
    </row>
    <row r="2629" spans="1:11" x14ac:dyDescent="0.25">
      <c r="A2629" s="74"/>
      <c r="B2629" s="69"/>
      <c r="C2629" s="71"/>
      <c r="E2629" s="22"/>
      <c r="F2629" s="22"/>
      <c r="G2629" s="31"/>
      <c r="J2629" s="23"/>
      <c r="K2629" s="27"/>
    </row>
    <row r="2630" spans="1:11" x14ac:dyDescent="0.25">
      <c r="A2630" s="74"/>
      <c r="B2630" s="69"/>
      <c r="C2630" s="71"/>
      <c r="E2630" s="22"/>
      <c r="F2630" s="22"/>
      <c r="G2630" s="31"/>
      <c r="J2630" s="23"/>
      <c r="K2630" s="27"/>
    </row>
    <row r="2631" spans="1:11" x14ac:dyDescent="0.25">
      <c r="A2631" s="74"/>
      <c r="B2631" s="69"/>
      <c r="C2631" s="71"/>
      <c r="E2631" s="22"/>
      <c r="F2631" s="22"/>
      <c r="G2631" s="31"/>
      <c r="J2631" s="23"/>
      <c r="K2631" s="27"/>
    </row>
    <row r="2632" spans="1:11" x14ac:dyDescent="0.25">
      <c r="A2632" s="74"/>
      <c r="B2632" s="69"/>
      <c r="C2632" s="71"/>
      <c r="E2632" s="22"/>
      <c r="F2632" s="22"/>
      <c r="G2632" s="31"/>
      <c r="J2632" s="23"/>
      <c r="K2632" s="27"/>
    </row>
    <row r="2633" spans="1:11" x14ac:dyDescent="0.25">
      <c r="A2633" s="74"/>
      <c r="B2633" s="69"/>
      <c r="C2633" s="71"/>
      <c r="E2633" s="22"/>
      <c r="F2633" s="22"/>
      <c r="G2633" s="31"/>
      <c r="J2633" s="23"/>
      <c r="K2633" s="27"/>
    </row>
    <row r="2634" spans="1:11" x14ac:dyDescent="0.25">
      <c r="A2634" s="74"/>
      <c r="B2634" s="69"/>
      <c r="C2634" s="71"/>
      <c r="E2634" s="22"/>
      <c r="F2634" s="22"/>
      <c r="G2634" s="31"/>
      <c r="J2634" s="23"/>
      <c r="K2634" s="27"/>
    </row>
    <row r="2635" spans="1:11" x14ac:dyDescent="0.25">
      <c r="A2635" s="74"/>
      <c r="B2635" s="69"/>
      <c r="C2635" s="71"/>
      <c r="E2635" s="22"/>
      <c r="F2635" s="22"/>
      <c r="G2635" s="31"/>
      <c r="J2635" s="23"/>
      <c r="K2635" s="27"/>
    </row>
    <row r="2636" spans="1:11" x14ac:dyDescent="0.25">
      <c r="A2636" s="74"/>
      <c r="B2636" s="69"/>
      <c r="C2636" s="71"/>
      <c r="E2636" s="22"/>
      <c r="F2636" s="22"/>
      <c r="G2636" s="31"/>
      <c r="J2636" s="23"/>
      <c r="K2636" s="27"/>
    </row>
    <row r="2637" spans="1:11" x14ac:dyDescent="0.25">
      <c r="A2637" s="74"/>
      <c r="B2637" s="69"/>
      <c r="C2637" s="71"/>
      <c r="E2637" s="22"/>
      <c r="F2637" s="22"/>
      <c r="G2637" s="31"/>
      <c r="J2637" s="23"/>
      <c r="K2637" s="27"/>
    </row>
    <row r="2638" spans="1:11" x14ac:dyDescent="0.25">
      <c r="A2638" s="74"/>
      <c r="B2638" s="69"/>
      <c r="C2638" s="71"/>
      <c r="E2638" s="22"/>
      <c r="F2638" s="22"/>
      <c r="G2638" s="31"/>
      <c r="J2638" s="23"/>
      <c r="K2638" s="27"/>
    </row>
    <row r="2639" spans="1:11" x14ac:dyDescent="0.25">
      <c r="A2639" s="74"/>
      <c r="B2639" s="69"/>
      <c r="C2639" s="71"/>
      <c r="E2639" s="22"/>
      <c r="F2639" s="22"/>
      <c r="G2639" s="31"/>
      <c r="J2639" s="23"/>
      <c r="K2639" s="27"/>
    </row>
    <row r="2640" spans="1:11" x14ac:dyDescent="0.25">
      <c r="A2640" s="74"/>
      <c r="B2640" s="69"/>
      <c r="C2640" s="71"/>
      <c r="E2640" s="22"/>
      <c r="F2640" s="22"/>
      <c r="G2640" s="31"/>
      <c r="J2640" s="23"/>
      <c r="K2640" s="27"/>
    </row>
    <row r="2641" spans="1:11" x14ac:dyDescent="0.25">
      <c r="A2641" s="74"/>
      <c r="B2641" s="69"/>
      <c r="C2641" s="71"/>
      <c r="E2641" s="22"/>
      <c r="F2641" s="22"/>
      <c r="G2641" s="31"/>
      <c r="J2641" s="23"/>
      <c r="K2641" s="27"/>
    </row>
    <row r="2642" spans="1:11" x14ac:dyDescent="0.25">
      <c r="A2642" s="74"/>
      <c r="B2642" s="69"/>
      <c r="C2642" s="71"/>
      <c r="E2642" s="22"/>
      <c r="F2642" s="22"/>
      <c r="G2642" s="31"/>
      <c r="J2642" s="23"/>
      <c r="K2642" s="27"/>
    </row>
    <row r="2643" spans="1:11" x14ac:dyDescent="0.25">
      <c r="A2643" s="74"/>
      <c r="B2643" s="69"/>
      <c r="C2643" s="71"/>
      <c r="E2643" s="22"/>
      <c r="F2643" s="22"/>
      <c r="G2643" s="31"/>
      <c r="J2643" s="23"/>
      <c r="K2643" s="27"/>
    </row>
    <row r="2644" spans="1:11" x14ac:dyDescent="0.25">
      <c r="A2644" s="74"/>
      <c r="B2644" s="69"/>
      <c r="C2644" s="71"/>
      <c r="E2644" s="22"/>
      <c r="F2644" s="22"/>
      <c r="G2644" s="31"/>
      <c r="J2644" s="23"/>
      <c r="K2644" s="27"/>
    </row>
    <row r="2645" spans="1:11" x14ac:dyDescent="0.25">
      <c r="A2645" s="74"/>
      <c r="B2645" s="69"/>
      <c r="C2645" s="71"/>
      <c r="E2645" s="22"/>
      <c r="F2645" s="22"/>
      <c r="G2645" s="31"/>
      <c r="J2645" s="23"/>
      <c r="K2645" s="27"/>
    </row>
    <row r="2646" spans="1:11" x14ac:dyDescent="0.25">
      <c r="A2646" s="74"/>
      <c r="B2646" s="69"/>
      <c r="C2646" s="71"/>
      <c r="E2646" s="22"/>
      <c r="F2646" s="22"/>
      <c r="G2646" s="31"/>
      <c r="J2646" s="23"/>
      <c r="K2646" s="27"/>
    </row>
    <row r="2647" spans="1:11" x14ac:dyDescent="0.25">
      <c r="A2647" s="74"/>
      <c r="B2647" s="69"/>
      <c r="C2647" s="71"/>
      <c r="E2647" s="22"/>
      <c r="F2647" s="22"/>
      <c r="G2647" s="31"/>
      <c r="J2647" s="23"/>
      <c r="K2647" s="27"/>
    </row>
    <row r="2648" spans="1:11" x14ac:dyDescent="0.25">
      <c r="A2648" s="74"/>
      <c r="B2648" s="69"/>
      <c r="C2648" s="71"/>
      <c r="E2648" s="22"/>
      <c r="F2648" s="22"/>
      <c r="G2648" s="31"/>
      <c r="J2648" s="23"/>
      <c r="K2648" s="27"/>
    </row>
    <row r="2649" spans="1:11" x14ac:dyDescent="0.25">
      <c r="A2649" s="74"/>
      <c r="B2649" s="69"/>
      <c r="C2649" s="71"/>
      <c r="E2649" s="22"/>
      <c r="F2649" s="22"/>
      <c r="G2649" s="31"/>
      <c r="J2649" s="23"/>
      <c r="K2649" s="27"/>
    </row>
    <row r="2650" spans="1:11" x14ac:dyDescent="0.25">
      <c r="A2650" s="74"/>
      <c r="B2650" s="69"/>
      <c r="C2650" s="71"/>
      <c r="E2650" s="22"/>
      <c r="F2650" s="22"/>
      <c r="G2650" s="31"/>
      <c r="J2650" s="23"/>
      <c r="K2650" s="27"/>
    </row>
    <row r="2651" spans="1:11" x14ac:dyDescent="0.25">
      <c r="A2651" s="74"/>
      <c r="B2651" s="69"/>
      <c r="C2651" s="71"/>
      <c r="E2651" s="22"/>
      <c r="F2651" s="22"/>
      <c r="G2651" s="31"/>
      <c r="J2651" s="23"/>
      <c r="K2651" s="27"/>
    </row>
    <row r="2652" spans="1:11" x14ac:dyDescent="0.25">
      <c r="A2652" s="74"/>
      <c r="B2652" s="69"/>
      <c r="C2652" s="71"/>
      <c r="E2652" s="22"/>
      <c r="F2652" s="22"/>
      <c r="G2652" s="31"/>
      <c r="J2652" s="23"/>
      <c r="K2652" s="27"/>
    </row>
    <row r="2653" spans="1:11" x14ac:dyDescent="0.25">
      <c r="A2653" s="74"/>
      <c r="B2653" s="69"/>
      <c r="C2653" s="71"/>
      <c r="E2653" s="22"/>
      <c r="F2653" s="22"/>
      <c r="G2653" s="31"/>
      <c r="J2653" s="23"/>
      <c r="K2653" s="27"/>
    </row>
    <row r="2654" spans="1:11" x14ac:dyDescent="0.25">
      <c r="A2654" s="74"/>
      <c r="B2654" s="69"/>
      <c r="C2654" s="71"/>
      <c r="E2654" s="22"/>
      <c r="F2654" s="22"/>
      <c r="G2654" s="31"/>
      <c r="J2654" s="23"/>
      <c r="K2654" s="27"/>
    </row>
    <row r="2655" spans="1:11" x14ac:dyDescent="0.25">
      <c r="A2655" s="74"/>
      <c r="B2655" s="69"/>
      <c r="C2655" s="71"/>
      <c r="E2655" s="22"/>
      <c r="F2655" s="22"/>
      <c r="G2655" s="31"/>
      <c r="J2655" s="23"/>
      <c r="K2655" s="27"/>
    </row>
    <row r="2656" spans="1:11" x14ac:dyDescent="0.25">
      <c r="A2656" s="74"/>
      <c r="B2656" s="69"/>
      <c r="C2656" s="71"/>
      <c r="E2656" s="22"/>
      <c r="F2656" s="22"/>
      <c r="G2656" s="31"/>
      <c r="J2656" s="23"/>
      <c r="K2656" s="27"/>
    </row>
    <row r="2657" spans="1:11" x14ac:dyDescent="0.25">
      <c r="A2657" s="74"/>
      <c r="B2657" s="69"/>
      <c r="C2657" s="71"/>
      <c r="E2657" s="22"/>
      <c r="F2657" s="22"/>
      <c r="G2657" s="31"/>
      <c r="J2657" s="23"/>
      <c r="K2657" s="27"/>
    </row>
    <row r="2658" spans="1:11" x14ac:dyDescent="0.25">
      <c r="A2658" s="74"/>
      <c r="B2658" s="69"/>
      <c r="C2658" s="71"/>
      <c r="E2658" s="22"/>
      <c r="F2658" s="22"/>
      <c r="G2658" s="31"/>
      <c r="J2658" s="23"/>
      <c r="K2658" s="27"/>
    </row>
    <row r="2659" spans="1:11" x14ac:dyDescent="0.25">
      <c r="A2659" s="74"/>
      <c r="B2659" s="69"/>
      <c r="C2659" s="71"/>
      <c r="E2659" s="22"/>
      <c r="F2659" s="22"/>
      <c r="G2659" s="31"/>
      <c r="J2659" s="23"/>
      <c r="K2659" s="27"/>
    </row>
    <row r="2660" spans="1:11" x14ac:dyDescent="0.25">
      <c r="A2660" s="74"/>
      <c r="B2660" s="69"/>
      <c r="C2660" s="71"/>
      <c r="E2660" s="22"/>
      <c r="F2660" s="22"/>
      <c r="G2660" s="31"/>
      <c r="J2660" s="23"/>
      <c r="K2660" s="27"/>
    </row>
    <row r="2661" spans="1:11" x14ac:dyDescent="0.25">
      <c r="A2661" s="74"/>
      <c r="B2661" s="69"/>
      <c r="C2661" s="71"/>
      <c r="E2661" s="22"/>
      <c r="F2661" s="22"/>
      <c r="G2661" s="31"/>
      <c r="J2661" s="23"/>
      <c r="K2661" s="27"/>
    </row>
    <row r="2662" spans="1:11" x14ac:dyDescent="0.25">
      <c r="A2662" s="74"/>
      <c r="B2662" s="69"/>
      <c r="C2662" s="71"/>
      <c r="E2662" s="22"/>
      <c r="F2662" s="22"/>
      <c r="G2662" s="31"/>
      <c r="J2662" s="23"/>
      <c r="K2662" s="27"/>
    </row>
    <row r="2663" spans="1:11" x14ac:dyDescent="0.25">
      <c r="A2663" s="74"/>
      <c r="B2663" s="69"/>
      <c r="C2663" s="71"/>
      <c r="E2663" s="22"/>
      <c r="F2663" s="22"/>
      <c r="G2663" s="31"/>
      <c r="J2663" s="23"/>
      <c r="K2663" s="27"/>
    </row>
    <row r="2664" spans="1:11" x14ac:dyDescent="0.25">
      <c r="A2664" s="74"/>
      <c r="B2664" s="69"/>
      <c r="C2664" s="71"/>
      <c r="E2664" s="22"/>
      <c r="F2664" s="22"/>
      <c r="G2664" s="31"/>
      <c r="J2664" s="23"/>
      <c r="K2664" s="27"/>
    </row>
    <row r="2665" spans="1:11" x14ac:dyDescent="0.25">
      <c r="A2665" s="74"/>
      <c r="B2665" s="69"/>
      <c r="C2665" s="71"/>
      <c r="E2665" s="22"/>
      <c r="F2665" s="22"/>
      <c r="G2665" s="31"/>
      <c r="J2665" s="23"/>
      <c r="K2665" s="27"/>
    </row>
    <row r="2666" spans="1:11" x14ac:dyDescent="0.25">
      <c r="A2666" s="74"/>
      <c r="B2666" s="69"/>
      <c r="C2666" s="71"/>
      <c r="E2666" s="22"/>
      <c r="F2666" s="22"/>
      <c r="G2666" s="31"/>
      <c r="J2666" s="23"/>
      <c r="K2666" s="27"/>
    </row>
    <row r="2667" spans="1:11" x14ac:dyDescent="0.25">
      <c r="A2667" s="74"/>
      <c r="B2667" s="69"/>
      <c r="C2667" s="71"/>
      <c r="E2667" s="22"/>
      <c r="F2667" s="22"/>
      <c r="G2667" s="31"/>
      <c r="J2667" s="23"/>
      <c r="K2667" s="27"/>
    </row>
    <row r="2668" spans="1:11" x14ac:dyDescent="0.25">
      <c r="A2668" s="74"/>
      <c r="B2668" s="69"/>
      <c r="C2668" s="71"/>
      <c r="E2668" s="22"/>
      <c r="F2668" s="22"/>
      <c r="G2668" s="31"/>
      <c r="J2668" s="23"/>
      <c r="K2668" s="27"/>
    </row>
    <row r="2669" spans="1:11" x14ac:dyDescent="0.25">
      <c r="A2669" s="74"/>
      <c r="B2669" s="69"/>
      <c r="C2669" s="71"/>
      <c r="E2669" s="22"/>
      <c r="F2669" s="22"/>
      <c r="G2669" s="31"/>
      <c r="J2669" s="23"/>
      <c r="K2669" s="27"/>
    </row>
    <row r="2670" spans="1:11" x14ac:dyDescent="0.25">
      <c r="A2670" s="74"/>
      <c r="B2670" s="69"/>
      <c r="C2670" s="71"/>
      <c r="E2670" s="22"/>
      <c r="F2670" s="22"/>
      <c r="G2670" s="31"/>
      <c r="J2670" s="23"/>
      <c r="K2670" s="27"/>
    </row>
    <row r="2671" spans="1:11" x14ac:dyDescent="0.25">
      <c r="A2671" s="74"/>
      <c r="B2671" s="69"/>
      <c r="C2671" s="71"/>
      <c r="E2671" s="22"/>
      <c r="F2671" s="22"/>
      <c r="G2671" s="31"/>
      <c r="J2671" s="23"/>
      <c r="K2671" s="27"/>
    </row>
    <row r="2672" spans="1:11" x14ac:dyDescent="0.25">
      <c r="A2672" s="74"/>
      <c r="B2672" s="69"/>
      <c r="C2672" s="71"/>
      <c r="E2672" s="22"/>
      <c r="F2672" s="22"/>
      <c r="G2672" s="31"/>
      <c r="J2672" s="23"/>
      <c r="K2672" s="27"/>
    </row>
    <row r="2673" spans="1:11" x14ac:dyDescent="0.25">
      <c r="A2673" s="74"/>
      <c r="B2673" s="69"/>
      <c r="C2673" s="71"/>
      <c r="E2673" s="22"/>
      <c r="F2673" s="22"/>
      <c r="G2673" s="31"/>
      <c r="J2673" s="23"/>
      <c r="K2673" s="27"/>
    </row>
    <row r="2674" spans="1:11" x14ac:dyDescent="0.25">
      <c r="A2674" s="74"/>
      <c r="B2674" s="69"/>
      <c r="C2674" s="71"/>
      <c r="E2674" s="22"/>
      <c r="F2674" s="22"/>
      <c r="G2674" s="31"/>
      <c r="J2674" s="23"/>
      <c r="K2674" s="27"/>
    </row>
    <row r="2675" spans="1:11" x14ac:dyDescent="0.25">
      <c r="A2675" s="74"/>
      <c r="B2675" s="69"/>
      <c r="C2675" s="71"/>
      <c r="E2675" s="22"/>
      <c r="F2675" s="22"/>
      <c r="G2675" s="31"/>
      <c r="J2675" s="23"/>
      <c r="K2675" s="27"/>
    </row>
    <row r="2676" spans="1:11" x14ac:dyDescent="0.25">
      <c r="A2676" s="74"/>
      <c r="B2676" s="69"/>
      <c r="C2676" s="71"/>
      <c r="E2676" s="22"/>
      <c r="F2676" s="22"/>
      <c r="G2676" s="31"/>
      <c r="J2676" s="23"/>
      <c r="K2676" s="27"/>
    </row>
    <row r="2677" spans="1:11" x14ac:dyDescent="0.25">
      <c r="A2677" s="74"/>
      <c r="B2677" s="69"/>
      <c r="C2677" s="71"/>
      <c r="E2677" s="22"/>
      <c r="F2677" s="22"/>
      <c r="G2677" s="31"/>
      <c r="J2677" s="23"/>
      <c r="K2677" s="27"/>
    </row>
    <row r="2678" spans="1:11" x14ac:dyDescent="0.25">
      <c r="A2678" s="74"/>
      <c r="B2678" s="69"/>
      <c r="C2678" s="71"/>
      <c r="E2678" s="22"/>
      <c r="F2678" s="22"/>
      <c r="G2678" s="31"/>
      <c r="J2678" s="23"/>
      <c r="K2678" s="27"/>
    </row>
    <row r="2679" spans="1:11" x14ac:dyDescent="0.25">
      <c r="A2679" s="74"/>
      <c r="B2679" s="69"/>
      <c r="C2679" s="71"/>
      <c r="E2679" s="22"/>
      <c r="F2679" s="22"/>
      <c r="G2679" s="31"/>
      <c r="J2679" s="23"/>
      <c r="K2679" s="27"/>
    </row>
    <row r="2680" spans="1:11" x14ac:dyDescent="0.25">
      <c r="A2680" s="74"/>
      <c r="B2680" s="69"/>
      <c r="C2680" s="71"/>
      <c r="E2680" s="22"/>
      <c r="F2680" s="22"/>
      <c r="G2680" s="31"/>
      <c r="J2680" s="23"/>
      <c r="K2680" s="27"/>
    </row>
    <row r="2681" spans="1:11" x14ac:dyDescent="0.25">
      <c r="A2681" s="74"/>
      <c r="B2681" s="69"/>
      <c r="C2681" s="71"/>
      <c r="E2681" s="22"/>
      <c r="F2681" s="22"/>
      <c r="G2681" s="31"/>
      <c r="J2681" s="23"/>
      <c r="K2681" s="27"/>
    </row>
    <row r="2682" spans="1:11" x14ac:dyDescent="0.25">
      <c r="A2682" s="74"/>
      <c r="B2682" s="69"/>
      <c r="C2682" s="71"/>
      <c r="E2682" s="22"/>
      <c r="F2682" s="22"/>
      <c r="G2682" s="31"/>
      <c r="J2682" s="23"/>
      <c r="K2682" s="27"/>
    </row>
    <row r="2683" spans="1:11" x14ac:dyDescent="0.25">
      <c r="A2683" s="74"/>
      <c r="B2683" s="69"/>
      <c r="C2683" s="71"/>
      <c r="E2683" s="22"/>
      <c r="F2683" s="22"/>
      <c r="G2683" s="31"/>
      <c r="J2683" s="23"/>
      <c r="K2683" s="27"/>
    </row>
    <row r="2684" spans="1:11" x14ac:dyDescent="0.25">
      <c r="A2684" s="74"/>
      <c r="B2684" s="69"/>
      <c r="C2684" s="71"/>
      <c r="E2684" s="22"/>
      <c r="F2684" s="22"/>
      <c r="G2684" s="31"/>
      <c r="J2684" s="23"/>
      <c r="K2684" s="27"/>
    </row>
    <row r="2685" spans="1:11" x14ac:dyDescent="0.25">
      <c r="A2685" s="74"/>
      <c r="B2685" s="69"/>
      <c r="C2685" s="71"/>
      <c r="E2685" s="22"/>
      <c r="F2685" s="22"/>
      <c r="G2685" s="31"/>
      <c r="J2685" s="23"/>
      <c r="K2685" s="27"/>
    </row>
    <row r="2686" spans="1:11" x14ac:dyDescent="0.25">
      <c r="A2686" s="74"/>
      <c r="B2686" s="69"/>
      <c r="C2686" s="71"/>
      <c r="E2686" s="22"/>
      <c r="F2686" s="22"/>
      <c r="G2686" s="31"/>
      <c r="J2686" s="23"/>
      <c r="K2686" s="27"/>
    </row>
    <row r="2687" spans="1:11" x14ac:dyDescent="0.25">
      <c r="A2687" s="74"/>
      <c r="B2687" s="69"/>
      <c r="C2687" s="71"/>
      <c r="E2687" s="22"/>
      <c r="F2687" s="22"/>
      <c r="G2687" s="31"/>
      <c r="J2687" s="23"/>
      <c r="K2687" s="27"/>
    </row>
    <row r="2688" spans="1:11" x14ac:dyDescent="0.25">
      <c r="A2688" s="74"/>
      <c r="B2688" s="69"/>
      <c r="C2688" s="71"/>
      <c r="E2688" s="22"/>
      <c r="F2688" s="22"/>
      <c r="G2688" s="31"/>
      <c r="J2688" s="23"/>
      <c r="K2688" s="27"/>
    </row>
    <row r="2689" spans="1:11" x14ac:dyDescent="0.25">
      <c r="A2689" s="74"/>
      <c r="B2689" s="69"/>
      <c r="C2689" s="71"/>
      <c r="E2689" s="22"/>
      <c r="F2689" s="22"/>
      <c r="G2689" s="31"/>
      <c r="J2689" s="23"/>
      <c r="K2689" s="27"/>
    </row>
    <row r="2690" spans="1:11" x14ac:dyDescent="0.25">
      <c r="A2690" s="74"/>
      <c r="B2690" s="69"/>
      <c r="C2690" s="71"/>
      <c r="E2690" s="22"/>
      <c r="F2690" s="22"/>
      <c r="G2690" s="31"/>
      <c r="J2690" s="23"/>
      <c r="K2690" s="27"/>
    </row>
    <row r="2691" spans="1:11" x14ac:dyDescent="0.25">
      <c r="A2691" s="74"/>
      <c r="B2691" s="69"/>
      <c r="C2691" s="71"/>
      <c r="E2691" s="22"/>
      <c r="F2691" s="22"/>
      <c r="G2691" s="31"/>
      <c r="J2691" s="23"/>
      <c r="K2691" s="27"/>
    </row>
    <row r="2692" spans="1:11" x14ac:dyDescent="0.25">
      <c r="A2692" s="74"/>
      <c r="B2692" s="69"/>
      <c r="C2692" s="71"/>
      <c r="E2692" s="22"/>
      <c r="F2692" s="22"/>
      <c r="G2692" s="31"/>
      <c r="J2692" s="23"/>
      <c r="K2692" s="27"/>
    </row>
    <row r="2693" spans="1:11" x14ac:dyDescent="0.25">
      <c r="A2693" s="74"/>
      <c r="B2693" s="69"/>
      <c r="C2693" s="71"/>
      <c r="E2693" s="22"/>
      <c r="F2693" s="22"/>
      <c r="G2693" s="31"/>
      <c r="J2693" s="23"/>
      <c r="K2693" s="27"/>
    </row>
    <row r="2694" spans="1:11" x14ac:dyDescent="0.25">
      <c r="A2694" s="74"/>
      <c r="B2694" s="69"/>
      <c r="C2694" s="71"/>
      <c r="E2694" s="22"/>
      <c r="F2694" s="22"/>
      <c r="G2694" s="31"/>
      <c r="J2694" s="23"/>
      <c r="K2694" s="27"/>
    </row>
    <row r="2695" spans="1:11" x14ac:dyDescent="0.25">
      <c r="A2695" s="74"/>
      <c r="B2695" s="69"/>
      <c r="C2695" s="71"/>
      <c r="E2695" s="22"/>
      <c r="F2695" s="22"/>
      <c r="G2695" s="31"/>
      <c r="J2695" s="23"/>
      <c r="K2695" s="27"/>
    </row>
    <row r="2696" spans="1:11" x14ac:dyDescent="0.25">
      <c r="A2696" s="74"/>
      <c r="B2696" s="69"/>
      <c r="C2696" s="71"/>
      <c r="E2696" s="22"/>
      <c r="F2696" s="22"/>
      <c r="G2696" s="31"/>
      <c r="J2696" s="23"/>
      <c r="K2696" s="27"/>
    </row>
    <row r="2697" spans="1:11" x14ac:dyDescent="0.25">
      <c r="A2697" s="74"/>
      <c r="B2697" s="69"/>
      <c r="C2697" s="71"/>
      <c r="E2697" s="22"/>
      <c r="F2697" s="22"/>
      <c r="G2697" s="31"/>
      <c r="J2697" s="23"/>
      <c r="K2697" s="27"/>
    </row>
    <row r="2698" spans="1:11" x14ac:dyDescent="0.25">
      <c r="A2698" s="74"/>
      <c r="B2698" s="69"/>
      <c r="C2698" s="71"/>
      <c r="E2698" s="22"/>
      <c r="F2698" s="22"/>
      <c r="G2698" s="31"/>
      <c r="J2698" s="23"/>
      <c r="K2698" s="27"/>
    </row>
    <row r="2699" spans="1:11" x14ac:dyDescent="0.25">
      <c r="A2699" s="74"/>
      <c r="B2699" s="69"/>
      <c r="C2699" s="71"/>
      <c r="E2699" s="22"/>
      <c r="F2699" s="22"/>
      <c r="G2699" s="31"/>
      <c r="J2699" s="23"/>
      <c r="K2699" s="27"/>
    </row>
    <row r="2700" spans="1:11" x14ac:dyDescent="0.25">
      <c r="A2700" s="74"/>
      <c r="B2700" s="69"/>
      <c r="C2700" s="71"/>
      <c r="E2700" s="22"/>
      <c r="F2700" s="22"/>
      <c r="G2700" s="31"/>
      <c r="J2700" s="23"/>
      <c r="K2700" s="27"/>
    </row>
    <row r="2701" spans="1:11" x14ac:dyDescent="0.25">
      <c r="A2701" s="74"/>
      <c r="B2701" s="69"/>
      <c r="C2701" s="71"/>
      <c r="E2701" s="22"/>
      <c r="F2701" s="22"/>
      <c r="G2701" s="31"/>
      <c r="J2701" s="23"/>
      <c r="K2701" s="27"/>
    </row>
    <row r="2702" spans="1:11" x14ac:dyDescent="0.25">
      <c r="A2702" s="74"/>
      <c r="B2702" s="69"/>
      <c r="C2702" s="71"/>
      <c r="E2702" s="22"/>
      <c r="F2702" s="22"/>
      <c r="G2702" s="31"/>
      <c r="J2702" s="23"/>
      <c r="K2702" s="27"/>
    </row>
    <row r="2703" spans="1:11" x14ac:dyDescent="0.25">
      <c r="A2703" s="74"/>
      <c r="B2703" s="69"/>
      <c r="C2703" s="71"/>
      <c r="E2703" s="22"/>
      <c r="F2703" s="22"/>
      <c r="G2703" s="31"/>
      <c r="J2703" s="23"/>
      <c r="K2703" s="27"/>
    </row>
    <row r="2704" spans="1:11" x14ac:dyDescent="0.25">
      <c r="A2704" s="74"/>
      <c r="B2704" s="69"/>
      <c r="C2704" s="71"/>
      <c r="E2704" s="22"/>
      <c r="F2704" s="22"/>
      <c r="G2704" s="31"/>
      <c r="J2704" s="23"/>
      <c r="K2704" s="27"/>
    </row>
    <row r="2705" spans="1:11" x14ac:dyDescent="0.25">
      <c r="A2705" s="74"/>
      <c r="B2705" s="69"/>
      <c r="C2705" s="71"/>
      <c r="E2705" s="22"/>
      <c r="F2705" s="22"/>
      <c r="G2705" s="31"/>
      <c r="J2705" s="23"/>
      <c r="K2705" s="27"/>
    </row>
    <row r="2706" spans="1:11" x14ac:dyDescent="0.25">
      <c r="A2706" s="74"/>
      <c r="B2706" s="69"/>
      <c r="C2706" s="71"/>
      <c r="E2706" s="22"/>
      <c r="F2706" s="22"/>
      <c r="G2706" s="31"/>
      <c r="J2706" s="23"/>
      <c r="K2706" s="27"/>
    </row>
    <row r="2707" spans="1:11" x14ac:dyDescent="0.25">
      <c r="A2707" s="74"/>
      <c r="B2707" s="69"/>
      <c r="C2707" s="71"/>
      <c r="E2707" s="22"/>
      <c r="F2707" s="22"/>
      <c r="G2707" s="31"/>
      <c r="J2707" s="23"/>
      <c r="K2707" s="27"/>
    </row>
    <row r="2708" spans="1:11" x14ac:dyDescent="0.25">
      <c r="A2708" s="74"/>
      <c r="B2708" s="69"/>
      <c r="C2708" s="71"/>
      <c r="E2708" s="22"/>
      <c r="F2708" s="22"/>
      <c r="G2708" s="31"/>
      <c r="J2708" s="23"/>
      <c r="K2708" s="27"/>
    </row>
    <row r="2709" spans="1:11" x14ac:dyDescent="0.25">
      <c r="A2709" s="74"/>
      <c r="B2709" s="69"/>
      <c r="C2709" s="71"/>
      <c r="E2709" s="22"/>
      <c r="F2709" s="22"/>
      <c r="G2709" s="31"/>
      <c r="J2709" s="23"/>
      <c r="K2709" s="27"/>
    </row>
    <row r="2710" spans="1:11" x14ac:dyDescent="0.25">
      <c r="A2710" s="74"/>
      <c r="B2710" s="69"/>
      <c r="C2710" s="71"/>
      <c r="E2710" s="22"/>
      <c r="F2710" s="22"/>
      <c r="G2710" s="31"/>
      <c r="J2710" s="23"/>
      <c r="K2710" s="27"/>
    </row>
    <row r="2711" spans="1:11" x14ac:dyDescent="0.25">
      <c r="A2711" s="74"/>
      <c r="B2711" s="69"/>
      <c r="C2711" s="71"/>
      <c r="E2711" s="22"/>
      <c r="F2711" s="22"/>
      <c r="G2711" s="31"/>
      <c r="J2711" s="23"/>
      <c r="K2711" s="27"/>
    </row>
    <row r="2712" spans="1:11" x14ac:dyDescent="0.25">
      <c r="A2712" s="74"/>
      <c r="B2712" s="69"/>
      <c r="C2712" s="71"/>
      <c r="E2712" s="22"/>
      <c r="F2712" s="22"/>
      <c r="G2712" s="31"/>
      <c r="J2712" s="23"/>
      <c r="K2712" s="27"/>
    </row>
    <row r="2713" spans="1:11" x14ac:dyDescent="0.25">
      <c r="A2713" s="74"/>
      <c r="B2713" s="69"/>
      <c r="C2713" s="71"/>
      <c r="E2713" s="22"/>
      <c r="F2713" s="22"/>
      <c r="G2713" s="31"/>
      <c r="J2713" s="23"/>
      <c r="K2713" s="27"/>
    </row>
    <row r="2714" spans="1:11" x14ac:dyDescent="0.25">
      <c r="A2714" s="74"/>
      <c r="B2714" s="69"/>
      <c r="C2714" s="71"/>
      <c r="E2714" s="22"/>
      <c r="F2714" s="22"/>
      <c r="G2714" s="31"/>
      <c r="J2714" s="23"/>
      <c r="K2714" s="27"/>
    </row>
    <row r="2715" spans="1:11" x14ac:dyDescent="0.25">
      <c r="A2715" s="74"/>
      <c r="B2715" s="69"/>
      <c r="C2715" s="71"/>
      <c r="E2715" s="22"/>
      <c r="F2715" s="22"/>
      <c r="G2715" s="31"/>
      <c r="J2715" s="23"/>
      <c r="K2715" s="27"/>
    </row>
    <row r="2716" spans="1:11" x14ac:dyDescent="0.25">
      <c r="A2716" s="74"/>
      <c r="B2716" s="69"/>
      <c r="C2716" s="71"/>
      <c r="E2716" s="22"/>
      <c r="F2716" s="22"/>
      <c r="G2716" s="31"/>
      <c r="J2716" s="23"/>
      <c r="K2716" s="27"/>
    </row>
    <row r="2717" spans="1:11" x14ac:dyDescent="0.25">
      <c r="A2717" s="74"/>
      <c r="B2717" s="69"/>
      <c r="C2717" s="71"/>
      <c r="E2717" s="22"/>
      <c r="F2717" s="22"/>
      <c r="G2717" s="31"/>
      <c r="J2717" s="23"/>
      <c r="K2717" s="27"/>
    </row>
    <row r="2718" spans="1:11" x14ac:dyDescent="0.25">
      <c r="A2718" s="74"/>
      <c r="B2718" s="69"/>
      <c r="C2718" s="71"/>
      <c r="E2718" s="22"/>
      <c r="F2718" s="22"/>
      <c r="G2718" s="31"/>
      <c r="J2718" s="23"/>
      <c r="K2718" s="27"/>
    </row>
    <row r="2719" spans="1:11" x14ac:dyDescent="0.25">
      <c r="A2719" s="74"/>
      <c r="B2719" s="69"/>
      <c r="C2719" s="71"/>
      <c r="E2719" s="22"/>
      <c r="F2719" s="22"/>
      <c r="G2719" s="31"/>
      <c r="J2719" s="23"/>
      <c r="K2719" s="27"/>
    </row>
    <row r="2720" spans="1:11" x14ac:dyDescent="0.25">
      <c r="A2720" s="74"/>
      <c r="B2720" s="69"/>
      <c r="C2720" s="71"/>
      <c r="E2720" s="22"/>
      <c r="F2720" s="22"/>
      <c r="G2720" s="31"/>
      <c r="J2720" s="23"/>
      <c r="K2720" s="27"/>
    </row>
    <row r="2721" spans="1:11" x14ac:dyDescent="0.25">
      <c r="A2721" s="74"/>
      <c r="B2721" s="69"/>
      <c r="C2721" s="71"/>
      <c r="E2721" s="22"/>
      <c r="F2721" s="22"/>
      <c r="G2721" s="31"/>
      <c r="J2721" s="23"/>
      <c r="K2721" s="27"/>
    </row>
    <row r="2722" spans="1:11" x14ac:dyDescent="0.25">
      <c r="A2722" s="74"/>
      <c r="B2722" s="69"/>
      <c r="C2722" s="71"/>
      <c r="E2722" s="22"/>
      <c r="F2722" s="22"/>
      <c r="G2722" s="31"/>
      <c r="J2722" s="23"/>
      <c r="K2722" s="27"/>
    </row>
    <row r="2723" spans="1:11" x14ac:dyDescent="0.25">
      <c r="A2723" s="74"/>
      <c r="B2723" s="69"/>
      <c r="C2723" s="71"/>
      <c r="E2723" s="22"/>
      <c r="F2723" s="22"/>
      <c r="G2723" s="31"/>
      <c r="J2723" s="23"/>
      <c r="K2723" s="27"/>
    </row>
    <row r="2724" spans="1:11" x14ac:dyDescent="0.25">
      <c r="A2724" s="74"/>
      <c r="B2724" s="69"/>
      <c r="C2724" s="71"/>
      <c r="E2724" s="22"/>
      <c r="F2724" s="22"/>
      <c r="G2724" s="31"/>
      <c r="J2724" s="23"/>
      <c r="K2724" s="27"/>
    </row>
    <row r="2725" spans="1:11" x14ac:dyDescent="0.25">
      <c r="A2725" s="74"/>
      <c r="B2725" s="69"/>
      <c r="C2725" s="71"/>
      <c r="E2725" s="22"/>
      <c r="F2725" s="22"/>
      <c r="G2725" s="31"/>
      <c r="J2725" s="23"/>
      <c r="K2725" s="27"/>
    </row>
    <row r="2726" spans="1:11" x14ac:dyDescent="0.25">
      <c r="A2726" s="74"/>
      <c r="B2726" s="69"/>
      <c r="C2726" s="71"/>
      <c r="E2726" s="22"/>
      <c r="F2726" s="22"/>
      <c r="G2726" s="31"/>
      <c r="J2726" s="23"/>
      <c r="K2726" s="27"/>
    </row>
    <row r="2727" spans="1:11" x14ac:dyDescent="0.25">
      <c r="A2727" s="74"/>
      <c r="B2727" s="69"/>
      <c r="C2727" s="71"/>
      <c r="E2727" s="22"/>
      <c r="F2727" s="22"/>
      <c r="G2727" s="31"/>
      <c r="J2727" s="23"/>
      <c r="K2727" s="27"/>
    </row>
    <row r="2728" spans="1:11" x14ac:dyDescent="0.25">
      <c r="A2728" s="74"/>
      <c r="B2728" s="69"/>
      <c r="C2728" s="71"/>
      <c r="E2728" s="22"/>
      <c r="F2728" s="22"/>
      <c r="G2728" s="31"/>
      <c r="J2728" s="23"/>
      <c r="K2728" s="27"/>
    </row>
    <row r="2729" spans="1:11" x14ac:dyDescent="0.25">
      <c r="A2729" s="74"/>
      <c r="B2729" s="69"/>
      <c r="C2729" s="71"/>
      <c r="E2729" s="22"/>
      <c r="F2729" s="22"/>
      <c r="G2729" s="31"/>
      <c r="J2729" s="23"/>
      <c r="K2729" s="27"/>
    </row>
    <row r="2730" spans="1:11" x14ac:dyDescent="0.25">
      <c r="A2730" s="74"/>
      <c r="B2730" s="69"/>
      <c r="C2730" s="71"/>
      <c r="E2730" s="22"/>
      <c r="F2730" s="22"/>
      <c r="G2730" s="31"/>
      <c r="J2730" s="23"/>
      <c r="K2730" s="27"/>
    </row>
    <row r="2731" spans="1:11" x14ac:dyDescent="0.25">
      <c r="A2731" s="74"/>
      <c r="B2731" s="69"/>
      <c r="C2731" s="71"/>
      <c r="E2731" s="22"/>
      <c r="F2731" s="22"/>
      <c r="G2731" s="31"/>
      <c r="J2731" s="23"/>
      <c r="K2731" s="27"/>
    </row>
    <row r="2732" spans="1:11" x14ac:dyDescent="0.25">
      <c r="A2732" s="74"/>
      <c r="B2732" s="69"/>
      <c r="C2732" s="71"/>
      <c r="E2732" s="22"/>
      <c r="F2732" s="22"/>
      <c r="G2732" s="31"/>
      <c r="J2732" s="23"/>
      <c r="K2732" s="27"/>
    </row>
    <row r="2733" spans="1:11" x14ac:dyDescent="0.25">
      <c r="A2733" s="74"/>
      <c r="B2733" s="69"/>
      <c r="C2733" s="71"/>
      <c r="E2733" s="22"/>
      <c r="F2733" s="22"/>
      <c r="G2733" s="31"/>
      <c r="J2733" s="23"/>
      <c r="K2733" s="27"/>
    </row>
    <row r="2734" spans="1:11" x14ac:dyDescent="0.25">
      <c r="A2734" s="74"/>
      <c r="B2734" s="69"/>
      <c r="C2734" s="71"/>
      <c r="E2734" s="22"/>
      <c r="F2734" s="22"/>
      <c r="G2734" s="31"/>
      <c r="J2734" s="23"/>
      <c r="K2734" s="27"/>
    </row>
    <row r="2735" spans="1:11" x14ac:dyDescent="0.25">
      <c r="A2735" s="74"/>
      <c r="B2735" s="69"/>
      <c r="C2735" s="71"/>
      <c r="E2735" s="22"/>
      <c r="F2735" s="22"/>
      <c r="G2735" s="31"/>
      <c r="J2735" s="23"/>
      <c r="K2735" s="27"/>
    </row>
    <row r="2736" spans="1:11" x14ac:dyDescent="0.25">
      <c r="A2736" s="74"/>
      <c r="B2736" s="69"/>
      <c r="C2736" s="71"/>
      <c r="E2736" s="22"/>
      <c r="F2736" s="22"/>
      <c r="G2736" s="31"/>
      <c r="J2736" s="23"/>
      <c r="K2736" s="27"/>
    </row>
    <row r="2737" spans="1:11" x14ac:dyDescent="0.25">
      <c r="A2737" s="74"/>
      <c r="B2737" s="69"/>
      <c r="C2737" s="71"/>
      <c r="E2737" s="22"/>
      <c r="F2737" s="22"/>
      <c r="G2737" s="31"/>
      <c r="J2737" s="23"/>
      <c r="K2737" s="27"/>
    </row>
    <row r="2738" spans="1:11" x14ac:dyDescent="0.25">
      <c r="A2738" s="74"/>
      <c r="B2738" s="69"/>
      <c r="C2738" s="71"/>
      <c r="E2738" s="22"/>
      <c r="F2738" s="22"/>
      <c r="G2738" s="31"/>
      <c r="J2738" s="23"/>
      <c r="K2738" s="27"/>
    </row>
    <row r="2739" spans="1:11" x14ac:dyDescent="0.25">
      <c r="A2739" s="74"/>
      <c r="B2739" s="69"/>
      <c r="C2739" s="71"/>
      <c r="E2739" s="22"/>
      <c r="F2739" s="22"/>
      <c r="G2739" s="31"/>
      <c r="J2739" s="23"/>
      <c r="K2739" s="27"/>
    </row>
    <row r="2740" spans="1:11" x14ac:dyDescent="0.25">
      <c r="A2740" s="74"/>
      <c r="B2740" s="69"/>
      <c r="C2740" s="71"/>
      <c r="E2740" s="22"/>
      <c r="F2740" s="22"/>
      <c r="G2740" s="31"/>
      <c r="J2740" s="23"/>
      <c r="K2740" s="27"/>
    </row>
    <row r="2741" spans="1:11" x14ac:dyDescent="0.25">
      <c r="A2741" s="74"/>
      <c r="B2741" s="69"/>
      <c r="C2741" s="71"/>
      <c r="E2741" s="22"/>
      <c r="F2741" s="22"/>
      <c r="G2741" s="31"/>
      <c r="J2741" s="23"/>
      <c r="K2741" s="27"/>
    </row>
    <row r="2742" spans="1:11" x14ac:dyDescent="0.25">
      <c r="A2742" s="74"/>
      <c r="B2742" s="69"/>
      <c r="C2742" s="71"/>
      <c r="E2742" s="22"/>
      <c r="F2742" s="22"/>
      <c r="G2742" s="31"/>
      <c r="J2742" s="23"/>
      <c r="K2742" s="27"/>
    </row>
    <row r="2743" spans="1:11" x14ac:dyDescent="0.25">
      <c r="A2743" s="74"/>
      <c r="B2743" s="69"/>
      <c r="C2743" s="71"/>
      <c r="E2743" s="22"/>
      <c r="F2743" s="22"/>
      <c r="G2743" s="31"/>
      <c r="J2743" s="23"/>
      <c r="K2743" s="27"/>
    </row>
    <row r="2744" spans="1:11" x14ac:dyDescent="0.25">
      <c r="A2744" s="74"/>
      <c r="B2744" s="69"/>
      <c r="C2744" s="71"/>
      <c r="E2744" s="22"/>
      <c r="F2744" s="22"/>
      <c r="G2744" s="31"/>
      <c r="J2744" s="23"/>
      <c r="K2744" s="27"/>
    </row>
    <row r="2745" spans="1:11" x14ac:dyDescent="0.25">
      <c r="A2745" s="74"/>
      <c r="B2745" s="69"/>
      <c r="C2745" s="71"/>
      <c r="E2745" s="22"/>
      <c r="F2745" s="22"/>
      <c r="G2745" s="31"/>
      <c r="J2745" s="23"/>
      <c r="K2745" s="27"/>
    </row>
    <row r="2746" spans="1:11" x14ac:dyDescent="0.25">
      <c r="A2746" s="74"/>
      <c r="B2746" s="69"/>
      <c r="C2746" s="71"/>
      <c r="E2746" s="22"/>
      <c r="F2746" s="22"/>
      <c r="G2746" s="31"/>
      <c r="J2746" s="23"/>
      <c r="K2746" s="27"/>
    </row>
    <row r="2747" spans="1:11" x14ac:dyDescent="0.25">
      <c r="A2747" s="74"/>
      <c r="B2747" s="69"/>
      <c r="C2747" s="71"/>
      <c r="E2747" s="22"/>
      <c r="F2747" s="22"/>
      <c r="G2747" s="31"/>
      <c r="J2747" s="23"/>
      <c r="K2747" s="27"/>
    </row>
    <row r="2748" spans="1:11" x14ac:dyDescent="0.25">
      <c r="A2748" s="74"/>
      <c r="B2748" s="69"/>
      <c r="C2748" s="71"/>
      <c r="E2748" s="22"/>
      <c r="F2748" s="22"/>
      <c r="G2748" s="31"/>
      <c r="J2748" s="23"/>
      <c r="K2748" s="27"/>
    </row>
    <row r="2749" spans="1:11" x14ac:dyDescent="0.25">
      <c r="A2749" s="74"/>
      <c r="B2749" s="69"/>
      <c r="C2749" s="71"/>
      <c r="E2749" s="22"/>
      <c r="F2749" s="22"/>
      <c r="G2749" s="31"/>
      <c r="J2749" s="23"/>
      <c r="K2749" s="27"/>
    </row>
    <row r="2750" spans="1:11" x14ac:dyDescent="0.25">
      <c r="A2750" s="74"/>
      <c r="B2750" s="69"/>
      <c r="C2750" s="71"/>
      <c r="E2750" s="22"/>
      <c r="F2750" s="22"/>
      <c r="G2750" s="31"/>
      <c r="J2750" s="23"/>
      <c r="K2750" s="27"/>
    </row>
    <row r="2751" spans="1:11" x14ac:dyDescent="0.25">
      <c r="A2751" s="74"/>
      <c r="B2751" s="69"/>
      <c r="C2751" s="71"/>
      <c r="E2751" s="22"/>
      <c r="F2751" s="22"/>
      <c r="G2751" s="31"/>
      <c r="J2751" s="23"/>
      <c r="K2751" s="27"/>
    </row>
    <row r="2752" spans="1:11" x14ac:dyDescent="0.25">
      <c r="A2752" s="74"/>
      <c r="B2752" s="69"/>
      <c r="C2752" s="71"/>
      <c r="E2752" s="22"/>
      <c r="F2752" s="22"/>
      <c r="G2752" s="31"/>
      <c r="J2752" s="23"/>
      <c r="K2752" s="27"/>
    </row>
    <row r="2753" spans="1:11" x14ac:dyDescent="0.25">
      <c r="A2753" s="74"/>
      <c r="B2753" s="69"/>
      <c r="C2753" s="71"/>
      <c r="E2753" s="22"/>
      <c r="F2753" s="22"/>
      <c r="G2753" s="31"/>
      <c r="J2753" s="23"/>
      <c r="K2753" s="27"/>
    </row>
    <row r="2754" spans="1:11" x14ac:dyDescent="0.25">
      <c r="A2754" s="74"/>
      <c r="B2754" s="69"/>
      <c r="C2754" s="71"/>
      <c r="E2754" s="22"/>
      <c r="F2754" s="22"/>
      <c r="G2754" s="31"/>
      <c r="J2754" s="23"/>
      <c r="K2754" s="27"/>
    </row>
    <row r="2755" spans="1:11" x14ac:dyDescent="0.25">
      <c r="A2755" s="74"/>
      <c r="B2755" s="69"/>
      <c r="C2755" s="71"/>
      <c r="E2755" s="22"/>
      <c r="F2755" s="22"/>
      <c r="G2755" s="31"/>
      <c r="J2755" s="23"/>
      <c r="K2755" s="27"/>
    </row>
    <row r="2756" spans="1:11" x14ac:dyDescent="0.25">
      <c r="A2756" s="74"/>
      <c r="B2756" s="69"/>
      <c r="C2756" s="71"/>
      <c r="E2756" s="22"/>
      <c r="F2756" s="22"/>
      <c r="G2756" s="31"/>
      <c r="J2756" s="23"/>
      <c r="K2756" s="27"/>
    </row>
    <row r="2757" spans="1:11" x14ac:dyDescent="0.25">
      <c r="A2757" s="74"/>
      <c r="B2757" s="69"/>
      <c r="C2757" s="71"/>
      <c r="E2757" s="22"/>
      <c r="F2757" s="22"/>
      <c r="G2757" s="31"/>
      <c r="J2757" s="23"/>
      <c r="K2757" s="27"/>
    </row>
    <row r="2758" spans="1:11" x14ac:dyDescent="0.25">
      <c r="A2758" s="74"/>
      <c r="B2758" s="69"/>
      <c r="C2758" s="71"/>
      <c r="E2758" s="22"/>
      <c r="F2758" s="22"/>
      <c r="G2758" s="31"/>
      <c r="J2758" s="23"/>
      <c r="K2758" s="27"/>
    </row>
    <row r="2759" spans="1:11" x14ac:dyDescent="0.25">
      <c r="A2759" s="74"/>
      <c r="B2759" s="69"/>
      <c r="C2759" s="71"/>
      <c r="E2759" s="22"/>
      <c r="F2759" s="22"/>
      <c r="G2759" s="31"/>
      <c r="J2759" s="23"/>
      <c r="K2759" s="27"/>
    </row>
    <row r="2760" spans="1:11" x14ac:dyDescent="0.25">
      <c r="A2760" s="74"/>
      <c r="B2760" s="69"/>
      <c r="C2760" s="71"/>
      <c r="E2760" s="22"/>
      <c r="F2760" s="22"/>
      <c r="G2760" s="31"/>
      <c r="J2760" s="23"/>
      <c r="K2760" s="27"/>
    </row>
    <row r="2761" spans="1:11" x14ac:dyDescent="0.25">
      <c r="A2761" s="74"/>
      <c r="B2761" s="69"/>
      <c r="C2761" s="71"/>
      <c r="E2761" s="22"/>
      <c r="F2761" s="22"/>
      <c r="G2761" s="31"/>
      <c r="J2761" s="23"/>
      <c r="K2761" s="27"/>
    </row>
    <row r="2762" spans="1:11" x14ac:dyDescent="0.25">
      <c r="A2762" s="74"/>
      <c r="B2762" s="69"/>
      <c r="C2762" s="71"/>
      <c r="E2762" s="22"/>
      <c r="F2762" s="22"/>
      <c r="G2762" s="31"/>
      <c r="J2762" s="23"/>
      <c r="K2762" s="27"/>
    </row>
    <row r="2763" spans="1:11" x14ac:dyDescent="0.25">
      <c r="A2763" s="74"/>
      <c r="B2763" s="69"/>
      <c r="C2763" s="71"/>
      <c r="E2763" s="22"/>
      <c r="F2763" s="22"/>
      <c r="G2763" s="31"/>
      <c r="J2763" s="23"/>
      <c r="K2763" s="27"/>
    </row>
    <row r="2764" spans="1:11" x14ac:dyDescent="0.25">
      <c r="A2764" s="74"/>
      <c r="B2764" s="69"/>
      <c r="C2764" s="71"/>
      <c r="E2764" s="22"/>
      <c r="F2764" s="22"/>
      <c r="G2764" s="31"/>
      <c r="J2764" s="23"/>
      <c r="K2764" s="27"/>
    </row>
    <row r="2765" spans="1:11" x14ac:dyDescent="0.25">
      <c r="A2765" s="74"/>
      <c r="B2765" s="69"/>
      <c r="C2765" s="71"/>
      <c r="E2765" s="22"/>
      <c r="F2765" s="22"/>
      <c r="G2765" s="31"/>
      <c r="J2765" s="23"/>
      <c r="K2765" s="27"/>
    </row>
    <row r="2766" spans="1:11" x14ac:dyDescent="0.25">
      <c r="A2766" s="74"/>
      <c r="B2766" s="69"/>
      <c r="C2766" s="71"/>
      <c r="E2766" s="22"/>
      <c r="F2766" s="22"/>
      <c r="G2766" s="31"/>
      <c r="J2766" s="23"/>
      <c r="K2766" s="27"/>
    </row>
    <row r="2767" spans="1:11" x14ac:dyDescent="0.25">
      <c r="A2767" s="74"/>
      <c r="B2767" s="69"/>
      <c r="C2767" s="71"/>
      <c r="E2767" s="22"/>
      <c r="F2767" s="22"/>
      <c r="G2767" s="31"/>
      <c r="J2767" s="23"/>
      <c r="K2767" s="27"/>
    </row>
    <row r="2768" spans="1:11" x14ac:dyDescent="0.25">
      <c r="A2768" s="74"/>
      <c r="B2768" s="69"/>
      <c r="C2768" s="71"/>
      <c r="E2768" s="22"/>
      <c r="F2768" s="22"/>
      <c r="G2768" s="31"/>
      <c r="J2768" s="23"/>
      <c r="K2768" s="27"/>
    </row>
    <row r="2769" spans="1:11" x14ac:dyDescent="0.25">
      <c r="A2769" s="74"/>
      <c r="B2769" s="69"/>
      <c r="C2769" s="71"/>
      <c r="E2769" s="22"/>
      <c r="F2769" s="22"/>
      <c r="G2769" s="31"/>
      <c r="J2769" s="23"/>
      <c r="K2769" s="27"/>
    </row>
    <row r="2770" spans="1:11" x14ac:dyDescent="0.25">
      <c r="A2770" s="74"/>
      <c r="B2770" s="69"/>
      <c r="C2770" s="71"/>
      <c r="E2770" s="22"/>
      <c r="F2770" s="22"/>
      <c r="G2770" s="31"/>
      <c r="J2770" s="23"/>
      <c r="K2770" s="27"/>
    </row>
    <row r="2771" spans="1:11" x14ac:dyDescent="0.25">
      <c r="A2771" s="74"/>
      <c r="B2771" s="69"/>
      <c r="C2771" s="71"/>
      <c r="E2771" s="22"/>
      <c r="F2771" s="22"/>
      <c r="G2771" s="31"/>
      <c r="J2771" s="23"/>
      <c r="K2771" s="27"/>
    </row>
    <row r="2772" spans="1:11" x14ac:dyDescent="0.25">
      <c r="A2772" s="74"/>
      <c r="B2772" s="69"/>
      <c r="C2772" s="71"/>
      <c r="E2772" s="22"/>
      <c r="F2772" s="22"/>
      <c r="G2772" s="31"/>
      <c r="J2772" s="23"/>
      <c r="K2772" s="27"/>
    </row>
    <row r="2773" spans="1:11" x14ac:dyDescent="0.25">
      <c r="A2773" s="74"/>
      <c r="B2773" s="69"/>
      <c r="C2773" s="71"/>
      <c r="E2773" s="22"/>
      <c r="F2773" s="22"/>
      <c r="G2773" s="31"/>
      <c r="J2773" s="23"/>
      <c r="K2773" s="27"/>
    </row>
    <row r="2774" spans="1:11" x14ac:dyDescent="0.25">
      <c r="A2774" s="74"/>
      <c r="B2774" s="69"/>
      <c r="C2774" s="71"/>
      <c r="E2774" s="22"/>
      <c r="F2774" s="22"/>
      <c r="G2774" s="31"/>
      <c r="J2774" s="23"/>
      <c r="K2774" s="27"/>
    </row>
    <row r="2775" spans="1:11" x14ac:dyDescent="0.25">
      <c r="A2775" s="74"/>
      <c r="B2775" s="69"/>
      <c r="C2775" s="71"/>
      <c r="E2775" s="22"/>
      <c r="F2775" s="22"/>
      <c r="G2775" s="31"/>
      <c r="J2775" s="23"/>
      <c r="K2775" s="27"/>
    </row>
    <row r="2776" spans="1:11" x14ac:dyDescent="0.25">
      <c r="A2776" s="74"/>
      <c r="B2776" s="69"/>
      <c r="C2776" s="71"/>
      <c r="E2776" s="22"/>
      <c r="F2776" s="22"/>
      <c r="G2776" s="31"/>
      <c r="J2776" s="23"/>
      <c r="K2776" s="27"/>
    </row>
    <row r="2777" spans="1:11" x14ac:dyDescent="0.25">
      <c r="A2777" s="74"/>
      <c r="B2777" s="69"/>
      <c r="C2777" s="71"/>
      <c r="E2777" s="22"/>
      <c r="F2777" s="22"/>
      <c r="G2777" s="31"/>
      <c r="J2777" s="23"/>
      <c r="K2777" s="27"/>
    </row>
    <row r="2778" spans="1:11" x14ac:dyDescent="0.25">
      <c r="A2778" s="74"/>
      <c r="B2778" s="69"/>
      <c r="C2778" s="71"/>
      <c r="E2778" s="22"/>
      <c r="F2778" s="22"/>
      <c r="G2778" s="31"/>
      <c r="J2778" s="23"/>
      <c r="K2778" s="27"/>
    </row>
    <row r="2779" spans="1:11" x14ac:dyDescent="0.25">
      <c r="A2779" s="74"/>
      <c r="B2779" s="69"/>
      <c r="C2779" s="71"/>
      <c r="E2779" s="22"/>
      <c r="F2779" s="22"/>
      <c r="G2779" s="31"/>
      <c r="J2779" s="23"/>
      <c r="K2779" s="27"/>
    </row>
    <row r="2780" spans="1:11" x14ac:dyDescent="0.25">
      <c r="A2780" s="74"/>
      <c r="B2780" s="69"/>
      <c r="C2780" s="71"/>
      <c r="E2780" s="22"/>
      <c r="F2780" s="22"/>
      <c r="G2780" s="31"/>
      <c r="J2780" s="23"/>
      <c r="K2780" s="27"/>
    </row>
    <row r="2781" spans="1:11" x14ac:dyDescent="0.25">
      <c r="A2781" s="74"/>
      <c r="B2781" s="69"/>
      <c r="C2781" s="71"/>
      <c r="E2781" s="22"/>
      <c r="F2781" s="22"/>
      <c r="G2781" s="31"/>
      <c r="J2781" s="23"/>
      <c r="K2781" s="27"/>
    </row>
    <row r="2782" spans="1:11" x14ac:dyDescent="0.25">
      <c r="A2782" s="74"/>
      <c r="B2782" s="69"/>
      <c r="C2782" s="71"/>
      <c r="E2782" s="22"/>
      <c r="F2782" s="22"/>
      <c r="G2782" s="31"/>
      <c r="J2782" s="23"/>
      <c r="K2782" s="27"/>
    </row>
    <row r="2783" spans="1:11" x14ac:dyDescent="0.25">
      <c r="A2783" s="74"/>
      <c r="B2783" s="69"/>
      <c r="C2783" s="71"/>
      <c r="E2783" s="22"/>
      <c r="F2783" s="22"/>
      <c r="G2783" s="31"/>
      <c r="J2783" s="23"/>
      <c r="K2783" s="27"/>
    </row>
    <row r="2784" spans="1:11" x14ac:dyDescent="0.25">
      <c r="A2784" s="74"/>
      <c r="B2784" s="69"/>
      <c r="C2784" s="71"/>
      <c r="E2784" s="22"/>
      <c r="F2784" s="22"/>
      <c r="G2784" s="31"/>
      <c r="J2784" s="23"/>
      <c r="K2784" s="27"/>
    </row>
    <row r="2785" spans="1:11" x14ac:dyDescent="0.25">
      <c r="A2785" s="74"/>
      <c r="B2785" s="69"/>
      <c r="C2785" s="71"/>
      <c r="E2785" s="22"/>
      <c r="F2785" s="22"/>
      <c r="G2785" s="31"/>
      <c r="J2785" s="23"/>
      <c r="K2785" s="27"/>
    </row>
    <row r="2786" spans="1:11" x14ac:dyDescent="0.25">
      <c r="A2786" s="74"/>
      <c r="B2786" s="69"/>
      <c r="C2786" s="71"/>
      <c r="E2786" s="22"/>
      <c r="F2786" s="22"/>
      <c r="G2786" s="31"/>
      <c r="J2786" s="23"/>
      <c r="K2786" s="27"/>
    </row>
    <row r="2787" spans="1:11" x14ac:dyDescent="0.25">
      <c r="A2787" s="74"/>
      <c r="B2787" s="69"/>
      <c r="C2787" s="71"/>
      <c r="E2787" s="22"/>
      <c r="F2787" s="22"/>
      <c r="G2787" s="31"/>
      <c r="J2787" s="23"/>
      <c r="K2787" s="27"/>
    </row>
    <row r="2788" spans="1:11" x14ac:dyDescent="0.25">
      <c r="A2788" s="74"/>
      <c r="B2788" s="69"/>
      <c r="C2788" s="71"/>
      <c r="E2788" s="22"/>
      <c r="F2788" s="22"/>
      <c r="G2788" s="31"/>
      <c r="J2788" s="23"/>
      <c r="K2788" s="27"/>
    </row>
    <row r="2789" spans="1:11" x14ac:dyDescent="0.25">
      <c r="A2789" s="74"/>
      <c r="B2789" s="69"/>
      <c r="C2789" s="71"/>
      <c r="E2789" s="22"/>
      <c r="F2789" s="22"/>
      <c r="G2789" s="31"/>
      <c r="J2789" s="23"/>
      <c r="K2789" s="27"/>
    </row>
    <row r="2790" spans="1:11" x14ac:dyDescent="0.25">
      <c r="A2790" s="74"/>
      <c r="B2790" s="69"/>
      <c r="C2790" s="71"/>
      <c r="E2790" s="22"/>
      <c r="F2790" s="22"/>
      <c r="G2790" s="31"/>
      <c r="J2790" s="23"/>
      <c r="K2790" s="27"/>
    </row>
    <row r="2791" spans="1:11" x14ac:dyDescent="0.25">
      <c r="A2791" s="74"/>
      <c r="B2791" s="69"/>
      <c r="C2791" s="71"/>
      <c r="E2791" s="22"/>
      <c r="F2791" s="22"/>
      <c r="G2791" s="31"/>
      <c r="J2791" s="23"/>
      <c r="K2791" s="27"/>
    </row>
    <row r="2792" spans="1:11" x14ac:dyDescent="0.25">
      <c r="A2792" s="74"/>
      <c r="B2792" s="69"/>
      <c r="C2792" s="71"/>
      <c r="E2792" s="22"/>
      <c r="F2792" s="22"/>
      <c r="G2792" s="31"/>
      <c r="J2792" s="23"/>
      <c r="K2792" s="27"/>
    </row>
    <row r="2793" spans="1:11" x14ac:dyDescent="0.25">
      <c r="A2793" s="74"/>
      <c r="B2793" s="69"/>
      <c r="C2793" s="71"/>
      <c r="E2793" s="22"/>
      <c r="F2793" s="22"/>
      <c r="G2793" s="31"/>
      <c r="J2793" s="23"/>
      <c r="K2793" s="27"/>
    </row>
    <row r="2794" spans="1:11" x14ac:dyDescent="0.25">
      <c r="A2794" s="74"/>
      <c r="B2794" s="69"/>
      <c r="C2794" s="71"/>
      <c r="E2794" s="22"/>
      <c r="F2794" s="22"/>
      <c r="G2794" s="31"/>
      <c r="J2794" s="23"/>
      <c r="K2794" s="27"/>
    </row>
    <row r="2795" spans="1:11" x14ac:dyDescent="0.25">
      <c r="A2795" s="74"/>
      <c r="B2795" s="69"/>
      <c r="C2795" s="71"/>
      <c r="E2795" s="22"/>
      <c r="F2795" s="22"/>
      <c r="G2795" s="31"/>
      <c r="J2795" s="23"/>
      <c r="K2795" s="27"/>
    </row>
    <row r="2796" spans="1:11" x14ac:dyDescent="0.25">
      <c r="A2796" s="74"/>
      <c r="B2796" s="69"/>
      <c r="C2796" s="71"/>
      <c r="E2796" s="22"/>
      <c r="F2796" s="22"/>
      <c r="G2796" s="31"/>
      <c r="J2796" s="23"/>
      <c r="K2796" s="27"/>
    </row>
    <row r="2797" spans="1:11" x14ac:dyDescent="0.25">
      <c r="A2797" s="74"/>
      <c r="B2797" s="69"/>
      <c r="C2797" s="71"/>
      <c r="E2797" s="22"/>
      <c r="F2797" s="22"/>
      <c r="G2797" s="31"/>
      <c r="J2797" s="23"/>
      <c r="K2797" s="27"/>
    </row>
    <row r="2798" spans="1:11" x14ac:dyDescent="0.25">
      <c r="A2798" s="74"/>
      <c r="B2798" s="69"/>
      <c r="C2798" s="71"/>
      <c r="E2798" s="22"/>
      <c r="F2798" s="22"/>
      <c r="G2798" s="31"/>
      <c r="J2798" s="23"/>
      <c r="K2798" s="27"/>
    </row>
    <row r="2799" spans="1:11" x14ac:dyDescent="0.25">
      <c r="A2799" s="74"/>
      <c r="B2799" s="69"/>
      <c r="C2799" s="71"/>
      <c r="E2799" s="22"/>
      <c r="F2799" s="22"/>
      <c r="G2799" s="31"/>
      <c r="J2799" s="23"/>
      <c r="K2799" s="27"/>
    </row>
    <row r="2800" spans="1:11" x14ac:dyDescent="0.25">
      <c r="A2800" s="74"/>
      <c r="B2800" s="69"/>
      <c r="C2800" s="71"/>
      <c r="E2800" s="22"/>
      <c r="F2800" s="22"/>
      <c r="G2800" s="31"/>
      <c r="J2800" s="23"/>
      <c r="K2800" s="27"/>
    </row>
    <row r="2801" spans="1:11" x14ac:dyDescent="0.25">
      <c r="A2801" s="74"/>
      <c r="B2801" s="69"/>
      <c r="C2801" s="71"/>
      <c r="E2801" s="22"/>
      <c r="F2801" s="22"/>
      <c r="G2801" s="31"/>
      <c r="J2801" s="23"/>
      <c r="K2801" s="27"/>
    </row>
    <row r="2802" spans="1:11" x14ac:dyDescent="0.25">
      <c r="A2802" s="74"/>
      <c r="B2802" s="69"/>
      <c r="C2802" s="71"/>
      <c r="E2802" s="22"/>
      <c r="F2802" s="22"/>
      <c r="G2802" s="31"/>
      <c r="J2802" s="23"/>
      <c r="K2802" s="27"/>
    </row>
    <row r="2803" spans="1:11" x14ac:dyDescent="0.25">
      <c r="A2803" s="74"/>
      <c r="B2803" s="69"/>
      <c r="C2803" s="71"/>
      <c r="E2803" s="22"/>
      <c r="F2803" s="22"/>
      <c r="G2803" s="31"/>
      <c r="J2803" s="23"/>
      <c r="K2803" s="27"/>
    </row>
    <row r="2804" spans="1:11" x14ac:dyDescent="0.25">
      <c r="A2804" s="74"/>
      <c r="B2804" s="69"/>
      <c r="C2804" s="71"/>
      <c r="E2804" s="22"/>
      <c r="F2804" s="22"/>
      <c r="G2804" s="31"/>
      <c r="J2804" s="23"/>
      <c r="K2804" s="27"/>
    </row>
    <row r="2805" spans="1:11" x14ac:dyDescent="0.25">
      <c r="A2805" s="74"/>
      <c r="B2805" s="69"/>
      <c r="C2805" s="71"/>
      <c r="E2805" s="22"/>
      <c r="F2805" s="22"/>
      <c r="G2805" s="31"/>
      <c r="J2805" s="23"/>
      <c r="K2805" s="27"/>
    </row>
    <row r="2806" spans="1:11" x14ac:dyDescent="0.25">
      <c r="A2806" s="74"/>
      <c r="B2806" s="69"/>
      <c r="C2806" s="71"/>
      <c r="E2806" s="22"/>
      <c r="F2806" s="22"/>
      <c r="G2806" s="31"/>
      <c r="J2806" s="23"/>
      <c r="K2806" s="27"/>
    </row>
    <row r="2807" spans="1:11" x14ac:dyDescent="0.25">
      <c r="A2807" s="74"/>
      <c r="B2807" s="69"/>
      <c r="C2807" s="71"/>
      <c r="E2807" s="22"/>
      <c r="F2807" s="22"/>
      <c r="G2807" s="31"/>
      <c r="J2807" s="23"/>
      <c r="K2807" s="27"/>
    </row>
    <row r="2808" spans="1:11" x14ac:dyDescent="0.25">
      <c r="A2808" s="74"/>
      <c r="B2808" s="69"/>
      <c r="C2808" s="71"/>
      <c r="E2808" s="22"/>
      <c r="F2808" s="22"/>
      <c r="G2808" s="31"/>
      <c r="J2808" s="23"/>
      <c r="K2808" s="27"/>
    </row>
    <row r="2809" spans="1:11" x14ac:dyDescent="0.25">
      <c r="A2809" s="74"/>
      <c r="B2809" s="69"/>
      <c r="C2809" s="71"/>
      <c r="E2809" s="22"/>
      <c r="F2809" s="22"/>
      <c r="G2809" s="31"/>
      <c r="J2809" s="23"/>
      <c r="K2809" s="27"/>
    </row>
    <row r="2810" spans="1:11" x14ac:dyDescent="0.25">
      <c r="A2810" s="74"/>
      <c r="B2810" s="69"/>
      <c r="C2810" s="71"/>
      <c r="E2810" s="22"/>
      <c r="F2810" s="22"/>
      <c r="G2810" s="31"/>
      <c r="J2810" s="23"/>
      <c r="K2810" s="27"/>
    </row>
    <row r="2811" spans="1:11" x14ac:dyDescent="0.25">
      <c r="A2811" s="74"/>
      <c r="B2811" s="69"/>
      <c r="C2811" s="71"/>
      <c r="E2811" s="22"/>
      <c r="F2811" s="22"/>
      <c r="G2811" s="31"/>
      <c r="J2811" s="23"/>
      <c r="K2811" s="27"/>
    </row>
    <row r="2812" spans="1:11" x14ac:dyDescent="0.25">
      <c r="A2812" s="74"/>
      <c r="B2812" s="69"/>
      <c r="C2812" s="71"/>
      <c r="E2812" s="22"/>
      <c r="F2812" s="22"/>
      <c r="G2812" s="31"/>
      <c r="J2812" s="23"/>
      <c r="K2812" s="27"/>
    </row>
    <row r="2813" spans="1:11" x14ac:dyDescent="0.25">
      <c r="A2813" s="74"/>
      <c r="B2813" s="69"/>
      <c r="C2813" s="71"/>
      <c r="E2813" s="22"/>
      <c r="F2813" s="22"/>
      <c r="G2813" s="31"/>
      <c r="J2813" s="23"/>
      <c r="K2813" s="27"/>
    </row>
    <row r="2814" spans="1:11" x14ac:dyDescent="0.25">
      <c r="A2814" s="74"/>
      <c r="B2814" s="69"/>
      <c r="C2814" s="71"/>
      <c r="E2814" s="22"/>
      <c r="F2814" s="22"/>
      <c r="G2814" s="31"/>
      <c r="J2814" s="23"/>
      <c r="K2814" s="27"/>
    </row>
    <row r="2815" spans="1:11" x14ac:dyDescent="0.25">
      <c r="A2815" s="74"/>
      <c r="B2815" s="69"/>
      <c r="C2815" s="71"/>
      <c r="E2815" s="22"/>
      <c r="F2815" s="22"/>
      <c r="G2815" s="31"/>
      <c r="J2815" s="23"/>
      <c r="K2815" s="27"/>
    </row>
    <row r="2816" spans="1:11" x14ac:dyDescent="0.25">
      <c r="A2816" s="74"/>
      <c r="B2816" s="69"/>
      <c r="C2816" s="71"/>
      <c r="E2816" s="22"/>
      <c r="F2816" s="22"/>
      <c r="G2816" s="31"/>
      <c r="J2816" s="23"/>
      <c r="K2816" s="27"/>
    </row>
    <row r="2817" spans="1:11" x14ac:dyDescent="0.25">
      <c r="A2817" s="74"/>
      <c r="B2817" s="69"/>
      <c r="C2817" s="71"/>
      <c r="E2817" s="22"/>
      <c r="F2817" s="22"/>
      <c r="G2817" s="31"/>
      <c r="J2817" s="23"/>
      <c r="K2817" s="27"/>
    </row>
    <row r="2818" spans="1:11" x14ac:dyDescent="0.25">
      <c r="A2818" s="74"/>
      <c r="B2818" s="69"/>
      <c r="C2818" s="71"/>
      <c r="E2818" s="22"/>
      <c r="F2818" s="22"/>
      <c r="G2818" s="31"/>
      <c r="J2818" s="23"/>
      <c r="K2818" s="27"/>
    </row>
    <row r="2819" spans="1:11" x14ac:dyDescent="0.25">
      <c r="A2819" s="74"/>
      <c r="B2819" s="69"/>
      <c r="C2819" s="71"/>
      <c r="E2819" s="22"/>
      <c r="F2819" s="22"/>
      <c r="G2819" s="31"/>
      <c r="J2819" s="23"/>
      <c r="K2819" s="27"/>
    </row>
    <row r="2820" spans="1:11" x14ac:dyDescent="0.25">
      <c r="A2820" s="74"/>
      <c r="B2820" s="69"/>
      <c r="C2820" s="71"/>
      <c r="E2820" s="22"/>
      <c r="F2820" s="22"/>
      <c r="G2820" s="31"/>
      <c r="J2820" s="23"/>
      <c r="K2820" s="27"/>
    </row>
    <row r="2821" spans="1:11" x14ac:dyDescent="0.25">
      <c r="A2821" s="74"/>
      <c r="B2821" s="69"/>
      <c r="C2821" s="71"/>
      <c r="E2821" s="22"/>
      <c r="F2821" s="22"/>
      <c r="G2821" s="31"/>
      <c r="J2821" s="23"/>
      <c r="K2821" s="27"/>
    </row>
    <row r="2822" spans="1:11" x14ac:dyDescent="0.25">
      <c r="A2822" s="74"/>
      <c r="B2822" s="69"/>
      <c r="C2822" s="71"/>
      <c r="E2822" s="22"/>
      <c r="F2822" s="22"/>
      <c r="G2822" s="31"/>
      <c r="J2822" s="23"/>
      <c r="K2822" s="27"/>
    </row>
    <row r="2823" spans="1:11" x14ac:dyDescent="0.25">
      <c r="A2823" s="74"/>
      <c r="B2823" s="69"/>
      <c r="C2823" s="71"/>
      <c r="E2823" s="22"/>
      <c r="F2823" s="22"/>
      <c r="G2823" s="31"/>
      <c r="J2823" s="23"/>
      <c r="K2823" s="27"/>
    </row>
    <row r="2824" spans="1:11" x14ac:dyDescent="0.25">
      <c r="A2824" s="74"/>
      <c r="B2824" s="69"/>
      <c r="C2824" s="71"/>
      <c r="E2824" s="22"/>
      <c r="F2824" s="22"/>
      <c r="G2824" s="31"/>
      <c r="J2824" s="23"/>
      <c r="K2824" s="27"/>
    </row>
    <row r="2825" spans="1:11" x14ac:dyDescent="0.25">
      <c r="A2825" s="74"/>
      <c r="B2825" s="69"/>
      <c r="C2825" s="71"/>
      <c r="E2825" s="22"/>
      <c r="F2825" s="22"/>
      <c r="G2825" s="31"/>
      <c r="J2825" s="23"/>
      <c r="K2825" s="27"/>
    </row>
    <row r="2826" spans="1:11" x14ac:dyDescent="0.25">
      <c r="A2826" s="74"/>
      <c r="B2826" s="69"/>
      <c r="C2826" s="71"/>
      <c r="E2826" s="22"/>
      <c r="F2826" s="22"/>
      <c r="G2826" s="31"/>
      <c r="J2826" s="23"/>
      <c r="K2826" s="27"/>
    </row>
    <row r="2827" spans="1:11" x14ac:dyDescent="0.25">
      <c r="A2827" s="74"/>
      <c r="B2827" s="69"/>
      <c r="C2827" s="71"/>
      <c r="E2827" s="22"/>
      <c r="F2827" s="22"/>
      <c r="G2827" s="31"/>
      <c r="J2827" s="23"/>
      <c r="K2827" s="27"/>
    </row>
    <row r="2828" spans="1:11" x14ac:dyDescent="0.25">
      <c r="A2828" s="74"/>
      <c r="B2828" s="69"/>
      <c r="C2828" s="71"/>
      <c r="E2828" s="22"/>
      <c r="F2828" s="22"/>
      <c r="G2828" s="31"/>
      <c r="J2828" s="23"/>
      <c r="K2828" s="27"/>
    </row>
    <row r="2829" spans="1:11" x14ac:dyDescent="0.25">
      <c r="A2829" s="74"/>
      <c r="B2829" s="69"/>
      <c r="C2829" s="71"/>
      <c r="E2829" s="22"/>
      <c r="F2829" s="22"/>
      <c r="G2829" s="31"/>
      <c r="J2829" s="23"/>
      <c r="K2829" s="27"/>
    </row>
    <row r="2830" spans="1:11" x14ac:dyDescent="0.25">
      <c r="A2830" s="74"/>
      <c r="B2830" s="69"/>
      <c r="C2830" s="71"/>
      <c r="E2830" s="22"/>
      <c r="F2830" s="22"/>
      <c r="G2830" s="31"/>
      <c r="J2830" s="23"/>
      <c r="K2830" s="27"/>
    </row>
    <row r="2831" spans="1:11" x14ac:dyDescent="0.25">
      <c r="A2831" s="74"/>
      <c r="B2831" s="69"/>
      <c r="C2831" s="71"/>
      <c r="E2831" s="22"/>
      <c r="F2831" s="22"/>
      <c r="G2831" s="31"/>
      <c r="J2831" s="23"/>
      <c r="K2831" s="27"/>
    </row>
    <row r="2832" spans="1:11" x14ac:dyDescent="0.25">
      <c r="A2832" s="74"/>
      <c r="B2832" s="69"/>
      <c r="C2832" s="71"/>
      <c r="E2832" s="22"/>
      <c r="F2832" s="22"/>
      <c r="G2832" s="31"/>
      <c r="J2832" s="23"/>
      <c r="K2832" s="27"/>
    </row>
    <row r="2833" spans="1:11" x14ac:dyDescent="0.25">
      <c r="A2833" s="74"/>
      <c r="B2833" s="69"/>
      <c r="C2833" s="71"/>
      <c r="E2833" s="22"/>
      <c r="F2833" s="22"/>
      <c r="G2833" s="31"/>
      <c r="J2833" s="23"/>
      <c r="K2833" s="27"/>
    </row>
    <row r="2834" spans="1:11" x14ac:dyDescent="0.25">
      <c r="A2834" s="74"/>
      <c r="B2834" s="69"/>
      <c r="C2834" s="71"/>
      <c r="E2834" s="22"/>
      <c r="F2834" s="22"/>
      <c r="G2834" s="31"/>
      <c r="J2834" s="23"/>
      <c r="K2834" s="27"/>
    </row>
    <row r="2835" spans="1:11" x14ac:dyDescent="0.25">
      <c r="A2835" s="74"/>
      <c r="B2835" s="69"/>
      <c r="C2835" s="71"/>
      <c r="E2835" s="22"/>
      <c r="F2835" s="22"/>
      <c r="G2835" s="31"/>
      <c r="J2835" s="23"/>
      <c r="K2835" s="27"/>
    </row>
    <row r="2836" spans="1:11" x14ac:dyDescent="0.25">
      <c r="A2836" s="74"/>
      <c r="B2836" s="69"/>
      <c r="C2836" s="71"/>
      <c r="E2836" s="22"/>
      <c r="F2836" s="22"/>
      <c r="G2836" s="31"/>
      <c r="J2836" s="23"/>
      <c r="K2836" s="27"/>
    </row>
    <row r="2837" spans="1:11" x14ac:dyDescent="0.25">
      <c r="A2837" s="74"/>
      <c r="B2837" s="69"/>
      <c r="C2837" s="71"/>
      <c r="E2837" s="22"/>
      <c r="F2837" s="22"/>
      <c r="G2837" s="31"/>
      <c r="J2837" s="23"/>
      <c r="K2837" s="27"/>
    </row>
    <row r="2838" spans="1:11" x14ac:dyDescent="0.25">
      <c r="A2838" s="74"/>
      <c r="B2838" s="69"/>
      <c r="C2838" s="71"/>
      <c r="E2838" s="22"/>
      <c r="F2838" s="22"/>
      <c r="G2838" s="31"/>
      <c r="J2838" s="23"/>
      <c r="K2838" s="27"/>
    </row>
    <row r="2839" spans="1:11" x14ac:dyDescent="0.25">
      <c r="A2839" s="74"/>
      <c r="B2839" s="69"/>
      <c r="C2839" s="71"/>
      <c r="E2839" s="22"/>
      <c r="F2839" s="22"/>
      <c r="G2839" s="31"/>
      <c r="J2839" s="23"/>
      <c r="K2839" s="27"/>
    </row>
    <row r="2840" spans="1:11" x14ac:dyDescent="0.25">
      <c r="A2840" s="74"/>
      <c r="B2840" s="69"/>
      <c r="C2840" s="71"/>
      <c r="E2840" s="22"/>
      <c r="F2840" s="22"/>
      <c r="G2840" s="31"/>
      <c r="J2840" s="23"/>
      <c r="K2840" s="27"/>
    </row>
    <row r="2841" spans="1:11" x14ac:dyDescent="0.25">
      <c r="A2841" s="74"/>
      <c r="B2841" s="69"/>
      <c r="C2841" s="71"/>
      <c r="E2841" s="22"/>
      <c r="F2841" s="22"/>
      <c r="G2841" s="31"/>
      <c r="J2841" s="23"/>
      <c r="K2841" s="27"/>
    </row>
    <row r="2842" spans="1:11" x14ac:dyDescent="0.25">
      <c r="A2842" s="74"/>
      <c r="B2842" s="69"/>
      <c r="C2842" s="71"/>
      <c r="E2842" s="22"/>
      <c r="F2842" s="22"/>
      <c r="G2842" s="31"/>
      <c r="J2842" s="23"/>
      <c r="K2842" s="27"/>
    </row>
    <row r="2843" spans="1:11" x14ac:dyDescent="0.25">
      <c r="A2843" s="74"/>
      <c r="B2843" s="69"/>
      <c r="C2843" s="71"/>
      <c r="E2843" s="22"/>
      <c r="F2843" s="22"/>
      <c r="G2843" s="31"/>
      <c r="J2843" s="23"/>
      <c r="K2843" s="27"/>
    </row>
    <row r="2844" spans="1:11" x14ac:dyDescent="0.25">
      <c r="A2844" s="74"/>
      <c r="B2844" s="69"/>
      <c r="C2844" s="71"/>
      <c r="E2844" s="22"/>
      <c r="F2844" s="22"/>
      <c r="G2844" s="31"/>
      <c r="J2844" s="23"/>
      <c r="K2844" s="27"/>
    </row>
    <row r="2845" spans="1:11" x14ac:dyDescent="0.25">
      <c r="A2845" s="74"/>
      <c r="B2845" s="69"/>
      <c r="C2845" s="71"/>
      <c r="E2845" s="22"/>
      <c r="F2845" s="22"/>
      <c r="G2845" s="31"/>
      <c r="J2845" s="23"/>
      <c r="K2845" s="27"/>
    </row>
    <row r="2846" spans="1:11" x14ac:dyDescent="0.25">
      <c r="A2846" s="74"/>
      <c r="B2846" s="69"/>
      <c r="C2846" s="71"/>
      <c r="E2846" s="22"/>
      <c r="F2846" s="22"/>
      <c r="G2846" s="31"/>
      <c r="J2846" s="23"/>
      <c r="K2846" s="27"/>
    </row>
    <row r="2847" spans="1:11" x14ac:dyDescent="0.25">
      <c r="A2847" s="74"/>
      <c r="B2847" s="69"/>
      <c r="C2847" s="71"/>
      <c r="E2847" s="22"/>
      <c r="F2847" s="22"/>
      <c r="G2847" s="31"/>
      <c r="J2847" s="23"/>
      <c r="K2847" s="27"/>
    </row>
    <row r="2848" spans="1:11" x14ac:dyDescent="0.25">
      <c r="A2848" s="74"/>
      <c r="B2848" s="69"/>
      <c r="C2848" s="71"/>
      <c r="E2848" s="22"/>
      <c r="F2848" s="22"/>
      <c r="G2848" s="31"/>
      <c r="J2848" s="23"/>
      <c r="K2848" s="27"/>
    </row>
    <row r="2849" spans="1:11" x14ac:dyDescent="0.25">
      <c r="A2849" s="74"/>
      <c r="B2849" s="69"/>
      <c r="C2849" s="71"/>
      <c r="E2849" s="22"/>
      <c r="F2849" s="22"/>
      <c r="G2849" s="31"/>
      <c r="J2849" s="23"/>
      <c r="K2849" s="27"/>
    </row>
    <row r="2850" spans="1:11" x14ac:dyDescent="0.25">
      <c r="A2850" s="74"/>
      <c r="B2850" s="69"/>
      <c r="C2850" s="71"/>
      <c r="E2850" s="22"/>
      <c r="F2850" s="22"/>
      <c r="G2850" s="31"/>
      <c r="J2850" s="23"/>
      <c r="K2850" s="27"/>
    </row>
    <row r="2851" spans="1:11" x14ac:dyDescent="0.25">
      <c r="A2851" s="74"/>
      <c r="B2851" s="69"/>
      <c r="C2851" s="71"/>
      <c r="E2851" s="22"/>
      <c r="F2851" s="22"/>
      <c r="G2851" s="31"/>
      <c r="J2851" s="23"/>
      <c r="K2851" s="27"/>
    </row>
    <row r="2852" spans="1:11" x14ac:dyDescent="0.25">
      <c r="A2852" s="74"/>
      <c r="B2852" s="69"/>
      <c r="C2852" s="71"/>
      <c r="E2852" s="22"/>
      <c r="F2852" s="22"/>
      <c r="G2852" s="31"/>
      <c r="J2852" s="23"/>
      <c r="K2852" s="27"/>
    </row>
    <row r="2853" spans="1:11" x14ac:dyDescent="0.25">
      <c r="A2853" s="74"/>
      <c r="B2853" s="69"/>
      <c r="C2853" s="71"/>
      <c r="E2853" s="22"/>
      <c r="F2853" s="22"/>
      <c r="G2853" s="31"/>
      <c r="J2853" s="23"/>
      <c r="K2853" s="27"/>
    </row>
    <row r="2854" spans="1:11" x14ac:dyDescent="0.25">
      <c r="A2854" s="75"/>
      <c r="B2854" s="69"/>
      <c r="C2854" s="71"/>
      <c r="E2854" s="22"/>
      <c r="F2854" s="22"/>
      <c r="G2854" s="31"/>
      <c r="J2854" s="23"/>
      <c r="K2854" s="27"/>
    </row>
    <row r="2855" spans="1:11" x14ac:dyDescent="0.25">
      <c r="A2855" s="75"/>
      <c r="B2855" s="69"/>
      <c r="C2855" s="71"/>
      <c r="E2855" s="22"/>
      <c r="F2855" s="22"/>
      <c r="G2855" s="31"/>
      <c r="J2855" s="23"/>
      <c r="K2855" s="27"/>
    </row>
    <row r="2856" spans="1:11" x14ac:dyDescent="0.25">
      <c r="A2856" s="75"/>
      <c r="B2856" s="69"/>
      <c r="C2856" s="71"/>
      <c r="E2856" s="22"/>
      <c r="F2856" s="22"/>
      <c r="G2856" s="31"/>
      <c r="J2856" s="23"/>
      <c r="K2856" s="27"/>
    </row>
    <row r="2857" spans="1:11" x14ac:dyDescent="0.25">
      <c r="A2857" s="75"/>
      <c r="B2857" s="69"/>
      <c r="C2857" s="71"/>
      <c r="E2857" s="22"/>
      <c r="F2857" s="22"/>
      <c r="G2857" s="31"/>
      <c r="J2857" s="23"/>
      <c r="K2857" s="27"/>
    </row>
    <row r="2858" spans="1:11" x14ac:dyDescent="0.25">
      <c r="A2858" s="75"/>
      <c r="B2858" s="69"/>
      <c r="C2858" s="71"/>
      <c r="E2858" s="22"/>
      <c r="F2858" s="22"/>
      <c r="G2858" s="31"/>
      <c r="J2858" s="23"/>
      <c r="K2858" s="27"/>
    </row>
    <row r="2859" spans="1:11" x14ac:dyDescent="0.25">
      <c r="A2859" s="75"/>
      <c r="B2859" s="69"/>
      <c r="C2859" s="71"/>
      <c r="E2859" s="22"/>
      <c r="F2859" s="22"/>
      <c r="G2859" s="31"/>
      <c r="J2859" s="23"/>
      <c r="K2859" s="27"/>
    </row>
    <row r="2860" spans="1:11" x14ac:dyDescent="0.25">
      <c r="A2860" s="75"/>
      <c r="B2860" s="69"/>
      <c r="C2860" s="71"/>
      <c r="E2860" s="22"/>
      <c r="F2860" s="22"/>
      <c r="G2860" s="31"/>
      <c r="J2860" s="23"/>
      <c r="K2860" s="27"/>
    </row>
    <row r="2861" spans="1:11" x14ac:dyDescent="0.25">
      <c r="A2861" s="75"/>
      <c r="B2861" s="69"/>
      <c r="C2861" s="71"/>
      <c r="E2861" s="22"/>
      <c r="F2861" s="22"/>
      <c r="G2861" s="31"/>
      <c r="J2861" s="23"/>
      <c r="K2861" s="27"/>
    </row>
    <row r="2862" spans="1:11" x14ac:dyDescent="0.25">
      <c r="A2862" s="75"/>
      <c r="B2862" s="69"/>
      <c r="C2862" s="71"/>
      <c r="E2862" s="22"/>
      <c r="F2862" s="22"/>
      <c r="G2862" s="31"/>
      <c r="J2862" s="23"/>
      <c r="K2862" s="27"/>
    </row>
    <row r="2863" spans="1:11" x14ac:dyDescent="0.25">
      <c r="A2863" s="75"/>
      <c r="B2863" s="69"/>
      <c r="C2863" s="71"/>
      <c r="E2863" s="22"/>
      <c r="F2863" s="22"/>
      <c r="G2863" s="31"/>
      <c r="J2863" s="23"/>
      <c r="K2863" s="27"/>
    </row>
    <row r="2864" spans="1:11" x14ac:dyDescent="0.25">
      <c r="A2864" s="75"/>
      <c r="B2864" s="69"/>
      <c r="C2864" s="71"/>
      <c r="E2864" s="22"/>
      <c r="F2864" s="22"/>
      <c r="G2864" s="31"/>
      <c r="J2864" s="23"/>
      <c r="K2864" s="27"/>
    </row>
    <row r="2865" spans="1:11" x14ac:dyDescent="0.25">
      <c r="A2865" s="75"/>
      <c r="B2865" s="69"/>
      <c r="C2865" s="71"/>
      <c r="E2865" s="22"/>
      <c r="F2865" s="22"/>
      <c r="G2865" s="31"/>
      <c r="J2865" s="23"/>
      <c r="K2865" s="27"/>
    </row>
    <row r="2866" spans="1:11" x14ac:dyDescent="0.25">
      <c r="A2866" s="75"/>
      <c r="B2866" s="69"/>
      <c r="C2866" s="71"/>
      <c r="E2866" s="22"/>
      <c r="F2866" s="22"/>
      <c r="G2866" s="31"/>
      <c r="J2866" s="23"/>
      <c r="K2866" s="27"/>
    </row>
    <row r="2867" spans="1:11" x14ac:dyDescent="0.25">
      <c r="A2867" s="75"/>
      <c r="B2867" s="69"/>
      <c r="C2867" s="71"/>
      <c r="E2867" s="22"/>
      <c r="F2867" s="22"/>
      <c r="G2867" s="31"/>
      <c r="J2867" s="23"/>
      <c r="K2867" s="27"/>
    </row>
    <row r="2868" spans="1:11" x14ac:dyDescent="0.25">
      <c r="A2868" s="75"/>
      <c r="B2868" s="69"/>
      <c r="C2868" s="71"/>
      <c r="E2868" s="22"/>
      <c r="F2868" s="22"/>
      <c r="G2868" s="31"/>
      <c r="J2868" s="23"/>
      <c r="K2868" s="27"/>
    </row>
    <row r="2869" spans="1:11" x14ac:dyDescent="0.25">
      <c r="A2869" s="75"/>
      <c r="B2869" s="69"/>
      <c r="C2869" s="71"/>
      <c r="E2869" s="22"/>
      <c r="F2869" s="22"/>
      <c r="G2869" s="31"/>
      <c r="J2869" s="23"/>
      <c r="K2869" s="27"/>
    </row>
    <row r="2870" spans="1:11" x14ac:dyDescent="0.25">
      <c r="A2870" s="75"/>
      <c r="B2870" s="69"/>
      <c r="C2870" s="71"/>
      <c r="E2870" s="22"/>
      <c r="F2870" s="22"/>
      <c r="G2870" s="31"/>
      <c r="J2870" s="23"/>
      <c r="K2870" s="27"/>
    </row>
    <row r="2871" spans="1:11" x14ac:dyDescent="0.25">
      <c r="A2871" s="75"/>
      <c r="B2871" s="69"/>
      <c r="C2871" s="71"/>
      <c r="E2871" s="22"/>
      <c r="F2871" s="22"/>
      <c r="G2871" s="31"/>
      <c r="J2871" s="23"/>
      <c r="K2871" s="27"/>
    </row>
    <row r="2872" spans="1:11" x14ac:dyDescent="0.25">
      <c r="A2872" s="75"/>
      <c r="B2872" s="69"/>
      <c r="C2872" s="71"/>
      <c r="E2872" s="22"/>
      <c r="F2872" s="22"/>
      <c r="G2872" s="31"/>
      <c r="J2872" s="23"/>
      <c r="K2872" s="27"/>
    </row>
    <row r="2873" spans="1:11" x14ac:dyDescent="0.25">
      <c r="A2873" s="75"/>
      <c r="B2873" s="69"/>
      <c r="C2873" s="71"/>
      <c r="E2873" s="22"/>
      <c r="F2873" s="22"/>
      <c r="G2873" s="31"/>
      <c r="J2873" s="23"/>
      <c r="K2873" s="27"/>
    </row>
    <row r="2874" spans="1:11" x14ac:dyDescent="0.25">
      <c r="A2874" s="75"/>
      <c r="B2874" s="69"/>
      <c r="C2874" s="71"/>
      <c r="E2874" s="22"/>
      <c r="F2874" s="22"/>
      <c r="G2874" s="31"/>
      <c r="J2874" s="23"/>
      <c r="K2874" s="27"/>
    </row>
    <row r="2875" spans="1:11" x14ac:dyDescent="0.25">
      <c r="A2875" s="75"/>
      <c r="B2875" s="69"/>
      <c r="C2875" s="71"/>
      <c r="E2875" s="22"/>
      <c r="F2875" s="22"/>
      <c r="G2875" s="31"/>
      <c r="J2875" s="23"/>
      <c r="K2875" s="27"/>
    </row>
    <row r="2876" spans="1:11" x14ac:dyDescent="0.25">
      <c r="A2876" s="75"/>
      <c r="B2876" s="69"/>
      <c r="C2876" s="71"/>
      <c r="E2876" s="22"/>
      <c r="F2876" s="22"/>
      <c r="G2876" s="31"/>
      <c r="J2876" s="23"/>
      <c r="K2876" s="27"/>
    </row>
    <row r="2877" spans="1:11" x14ac:dyDescent="0.25">
      <c r="A2877" s="75"/>
      <c r="B2877" s="69"/>
      <c r="C2877" s="71"/>
      <c r="E2877" s="22"/>
      <c r="F2877" s="22"/>
      <c r="G2877" s="31"/>
      <c r="J2877" s="23"/>
      <c r="K2877" s="27"/>
    </row>
    <row r="2878" spans="1:11" x14ac:dyDescent="0.25">
      <c r="A2878" s="75"/>
      <c r="B2878" s="69"/>
      <c r="C2878" s="71"/>
      <c r="E2878" s="22"/>
      <c r="F2878" s="22"/>
      <c r="G2878" s="31"/>
      <c r="J2878" s="23"/>
      <c r="K2878" s="27"/>
    </row>
    <row r="2879" spans="1:11" x14ac:dyDescent="0.25">
      <c r="A2879" s="75"/>
      <c r="B2879" s="69"/>
      <c r="C2879" s="71"/>
      <c r="E2879" s="22"/>
      <c r="F2879" s="22"/>
      <c r="G2879" s="31"/>
      <c r="J2879" s="23"/>
      <c r="K2879" s="27"/>
    </row>
    <row r="2880" spans="1:11" x14ac:dyDescent="0.25">
      <c r="A2880" s="75"/>
      <c r="B2880" s="69"/>
      <c r="C2880" s="71"/>
      <c r="E2880" s="22"/>
      <c r="F2880" s="22"/>
      <c r="G2880" s="31"/>
      <c r="J2880" s="23"/>
      <c r="K2880" s="27"/>
    </row>
    <row r="2881" spans="1:11" x14ac:dyDescent="0.25">
      <c r="A2881" s="75"/>
      <c r="B2881" s="69"/>
      <c r="C2881" s="71"/>
      <c r="E2881" s="22"/>
      <c r="F2881" s="22"/>
      <c r="G2881" s="31"/>
      <c r="J2881" s="23"/>
      <c r="K2881" s="27"/>
    </row>
    <row r="2882" spans="1:11" x14ac:dyDescent="0.25">
      <c r="A2882" s="75"/>
      <c r="B2882" s="69"/>
      <c r="C2882" s="71"/>
      <c r="E2882" s="22"/>
      <c r="F2882" s="22"/>
      <c r="G2882" s="31"/>
      <c r="J2882" s="23"/>
      <c r="K2882" s="27"/>
    </row>
    <row r="2883" spans="1:11" x14ac:dyDescent="0.25">
      <c r="A2883" s="75"/>
      <c r="B2883" s="69"/>
      <c r="C2883" s="71"/>
      <c r="E2883" s="22"/>
      <c r="F2883" s="22"/>
      <c r="G2883" s="31"/>
      <c r="J2883" s="23"/>
      <c r="K2883" s="27"/>
    </row>
    <row r="2884" spans="1:11" x14ac:dyDescent="0.25">
      <c r="A2884" s="75"/>
      <c r="B2884" s="69"/>
      <c r="C2884" s="71"/>
      <c r="E2884" s="22"/>
      <c r="F2884" s="22"/>
      <c r="G2884" s="31"/>
      <c r="J2884" s="23"/>
      <c r="K2884" s="27"/>
    </row>
    <row r="2885" spans="1:11" x14ac:dyDescent="0.25">
      <c r="A2885" s="75"/>
      <c r="B2885" s="69"/>
      <c r="C2885" s="71"/>
      <c r="E2885" s="22"/>
      <c r="F2885" s="22"/>
      <c r="G2885" s="31"/>
      <c r="J2885" s="23"/>
      <c r="K2885" s="27"/>
    </row>
    <row r="2886" spans="1:11" x14ac:dyDescent="0.25">
      <c r="A2886" s="75"/>
      <c r="B2886" s="69"/>
      <c r="C2886" s="71"/>
      <c r="E2886" s="22"/>
      <c r="F2886" s="22"/>
      <c r="G2886" s="31"/>
      <c r="J2886" s="23"/>
      <c r="K2886" s="27"/>
    </row>
    <row r="2887" spans="1:11" x14ac:dyDescent="0.25">
      <c r="A2887" s="75"/>
      <c r="B2887" s="69"/>
      <c r="C2887" s="71"/>
      <c r="E2887" s="22"/>
      <c r="F2887" s="22"/>
      <c r="G2887" s="31"/>
      <c r="J2887" s="23"/>
      <c r="K2887" s="27"/>
    </row>
    <row r="2888" spans="1:11" x14ac:dyDescent="0.25">
      <c r="A2888" s="75"/>
      <c r="B2888" s="69"/>
      <c r="C2888" s="71"/>
      <c r="E2888" s="22"/>
      <c r="F2888" s="22"/>
      <c r="G2888" s="31"/>
      <c r="J2888" s="23"/>
      <c r="K2888" s="27"/>
    </row>
    <row r="2889" spans="1:11" x14ac:dyDescent="0.25">
      <c r="A2889" s="75"/>
      <c r="B2889" s="69"/>
      <c r="C2889" s="71"/>
      <c r="E2889" s="22"/>
      <c r="F2889" s="22"/>
      <c r="G2889" s="31"/>
      <c r="J2889" s="23"/>
      <c r="K2889" s="27"/>
    </row>
    <row r="2890" spans="1:11" x14ac:dyDescent="0.25">
      <c r="A2890" s="75"/>
      <c r="B2890" s="69"/>
      <c r="C2890" s="71"/>
      <c r="E2890" s="22"/>
      <c r="F2890" s="22"/>
      <c r="G2890" s="31"/>
      <c r="J2890" s="23"/>
      <c r="K2890" s="27"/>
    </row>
    <row r="2891" spans="1:11" x14ac:dyDescent="0.25">
      <c r="A2891" s="75"/>
      <c r="B2891" s="69"/>
      <c r="C2891" s="71"/>
      <c r="E2891" s="22"/>
      <c r="F2891" s="22"/>
      <c r="G2891" s="31"/>
      <c r="J2891" s="23"/>
      <c r="K2891" s="27"/>
    </row>
    <row r="2892" spans="1:11" x14ac:dyDescent="0.25">
      <c r="A2892" s="75"/>
      <c r="B2892" s="69"/>
      <c r="C2892" s="71"/>
      <c r="E2892" s="22"/>
      <c r="F2892" s="22"/>
      <c r="G2892" s="31"/>
      <c r="J2892" s="23"/>
      <c r="K2892" s="27"/>
    </row>
    <row r="2893" spans="1:11" x14ac:dyDescent="0.25">
      <c r="A2893" s="75"/>
      <c r="B2893" s="69"/>
      <c r="C2893" s="71"/>
      <c r="E2893" s="22"/>
      <c r="F2893" s="22"/>
      <c r="G2893" s="31"/>
      <c r="J2893" s="23"/>
      <c r="K2893" s="27"/>
    </row>
    <row r="2894" spans="1:11" x14ac:dyDescent="0.25">
      <c r="A2894" s="75"/>
      <c r="B2894" s="69"/>
      <c r="C2894" s="71"/>
      <c r="E2894" s="22"/>
      <c r="F2894" s="22"/>
      <c r="G2894" s="31"/>
      <c r="J2894" s="23"/>
      <c r="K2894" s="27"/>
    </row>
    <row r="2895" spans="1:11" x14ac:dyDescent="0.25">
      <c r="A2895" s="75"/>
      <c r="B2895" s="69"/>
      <c r="C2895" s="71"/>
      <c r="E2895" s="22"/>
      <c r="F2895" s="22"/>
      <c r="G2895" s="31"/>
      <c r="J2895" s="23"/>
      <c r="K2895" s="27"/>
    </row>
    <row r="2896" spans="1:11" x14ac:dyDescent="0.25">
      <c r="A2896" s="75"/>
      <c r="B2896" s="69"/>
      <c r="C2896" s="71"/>
      <c r="E2896" s="22"/>
      <c r="F2896" s="22"/>
      <c r="G2896" s="31"/>
      <c r="J2896" s="23"/>
      <c r="K2896" s="27"/>
    </row>
    <row r="2897" spans="1:11" x14ac:dyDescent="0.25">
      <c r="A2897" s="75"/>
      <c r="B2897" s="69"/>
      <c r="C2897" s="71"/>
      <c r="E2897" s="22"/>
      <c r="F2897" s="22"/>
      <c r="G2897" s="31"/>
      <c r="J2897" s="23"/>
      <c r="K2897" s="27"/>
    </row>
    <row r="2898" spans="1:11" x14ac:dyDescent="0.25">
      <c r="A2898" s="75"/>
      <c r="B2898" s="69"/>
      <c r="C2898" s="71"/>
      <c r="E2898" s="22"/>
      <c r="F2898" s="22"/>
      <c r="G2898" s="31"/>
      <c r="J2898" s="23"/>
      <c r="K2898" s="27"/>
    </row>
    <row r="2899" spans="1:11" x14ac:dyDescent="0.25">
      <c r="A2899" s="75"/>
      <c r="B2899" s="69"/>
      <c r="C2899" s="71"/>
      <c r="E2899" s="22"/>
      <c r="F2899" s="22"/>
      <c r="G2899" s="31"/>
      <c r="J2899" s="23"/>
      <c r="K2899" s="27"/>
    </row>
    <row r="2900" spans="1:11" x14ac:dyDescent="0.25">
      <c r="A2900" s="75"/>
      <c r="B2900" s="69"/>
      <c r="C2900" s="71"/>
      <c r="E2900" s="22"/>
      <c r="F2900" s="22"/>
      <c r="G2900" s="31"/>
      <c r="J2900" s="23"/>
      <c r="K2900" s="27"/>
    </row>
    <row r="2901" spans="1:11" x14ac:dyDescent="0.25">
      <c r="A2901" s="75"/>
      <c r="B2901" s="69"/>
      <c r="C2901" s="71"/>
      <c r="E2901" s="22"/>
      <c r="F2901" s="22"/>
      <c r="G2901" s="31"/>
      <c r="J2901" s="23"/>
      <c r="K2901" s="27"/>
    </row>
    <row r="2902" spans="1:11" x14ac:dyDescent="0.25">
      <c r="A2902" s="75"/>
      <c r="B2902" s="69"/>
      <c r="C2902" s="71"/>
      <c r="E2902" s="22"/>
      <c r="F2902" s="22"/>
      <c r="G2902" s="31"/>
      <c r="J2902" s="23"/>
      <c r="K2902" s="27"/>
    </row>
    <row r="2903" spans="1:11" x14ac:dyDescent="0.25">
      <c r="A2903" s="75"/>
      <c r="B2903" s="69"/>
      <c r="C2903" s="71"/>
      <c r="E2903" s="22"/>
      <c r="F2903" s="22"/>
      <c r="G2903" s="31"/>
      <c r="J2903" s="23"/>
      <c r="K2903" s="27"/>
    </row>
    <row r="2904" spans="1:11" x14ac:dyDescent="0.25">
      <c r="A2904" s="75"/>
      <c r="B2904" s="69"/>
      <c r="C2904" s="71"/>
      <c r="E2904" s="22"/>
      <c r="F2904" s="22"/>
      <c r="G2904" s="31"/>
      <c r="J2904" s="23"/>
      <c r="K2904" s="27"/>
    </row>
    <row r="2905" spans="1:11" x14ac:dyDescent="0.25">
      <c r="A2905" s="75"/>
      <c r="B2905" s="69"/>
      <c r="C2905" s="71"/>
      <c r="E2905" s="22"/>
      <c r="F2905" s="22"/>
      <c r="G2905" s="31"/>
      <c r="J2905" s="23"/>
      <c r="K2905" s="27"/>
    </row>
    <row r="2906" spans="1:11" x14ac:dyDescent="0.25">
      <c r="A2906" s="75"/>
      <c r="B2906" s="69"/>
      <c r="C2906" s="71"/>
      <c r="E2906" s="22"/>
      <c r="F2906" s="22"/>
      <c r="G2906" s="31"/>
      <c r="J2906" s="23"/>
      <c r="K2906" s="27"/>
    </row>
    <row r="2907" spans="1:11" x14ac:dyDescent="0.25">
      <c r="A2907" s="75"/>
      <c r="B2907" s="69"/>
      <c r="C2907" s="71"/>
      <c r="E2907" s="22"/>
      <c r="F2907" s="22"/>
      <c r="G2907" s="31"/>
      <c r="J2907" s="23"/>
      <c r="K2907" s="27"/>
    </row>
    <row r="2908" spans="1:11" x14ac:dyDescent="0.25">
      <c r="A2908" s="75"/>
      <c r="B2908" s="69"/>
      <c r="C2908" s="71"/>
      <c r="E2908" s="22"/>
      <c r="F2908" s="22"/>
      <c r="G2908" s="31"/>
      <c r="J2908" s="23"/>
      <c r="K2908" s="27"/>
    </row>
    <row r="2909" spans="1:11" x14ac:dyDescent="0.25">
      <c r="A2909" s="75"/>
      <c r="B2909" s="69"/>
      <c r="C2909" s="71"/>
      <c r="E2909" s="22"/>
      <c r="F2909" s="22"/>
      <c r="G2909" s="31"/>
      <c r="J2909" s="23"/>
      <c r="K2909" s="27"/>
    </row>
    <row r="2910" spans="1:11" x14ac:dyDescent="0.25">
      <c r="A2910" s="75"/>
      <c r="B2910" s="69"/>
      <c r="C2910" s="71"/>
      <c r="E2910" s="22"/>
      <c r="F2910" s="22"/>
      <c r="G2910" s="31"/>
      <c r="J2910" s="23"/>
      <c r="K2910" s="27"/>
    </row>
    <row r="2911" spans="1:11" x14ac:dyDescent="0.25">
      <c r="A2911" s="75"/>
      <c r="B2911" s="69"/>
      <c r="C2911" s="71"/>
      <c r="E2911" s="22"/>
      <c r="F2911" s="22"/>
      <c r="G2911" s="31"/>
      <c r="J2911" s="23"/>
      <c r="K2911" s="27"/>
    </row>
    <row r="2912" spans="1:11" x14ac:dyDescent="0.25">
      <c r="A2912" s="75"/>
      <c r="B2912" s="69"/>
      <c r="C2912" s="71"/>
      <c r="E2912" s="22"/>
      <c r="F2912" s="22"/>
      <c r="G2912" s="31"/>
      <c r="J2912" s="23"/>
      <c r="K2912" s="27"/>
    </row>
    <row r="2913" spans="1:11" x14ac:dyDescent="0.25">
      <c r="A2913" s="75"/>
      <c r="B2913" s="69"/>
      <c r="C2913" s="71"/>
      <c r="E2913" s="22"/>
      <c r="F2913" s="22"/>
      <c r="G2913" s="31"/>
      <c r="J2913" s="23"/>
      <c r="K2913" s="27"/>
    </row>
    <row r="2914" spans="1:11" x14ac:dyDescent="0.25">
      <c r="A2914" s="75"/>
      <c r="B2914" s="69"/>
      <c r="C2914" s="71"/>
      <c r="E2914" s="22"/>
      <c r="F2914" s="22"/>
      <c r="G2914" s="31"/>
      <c r="J2914" s="23"/>
      <c r="K2914" s="27"/>
    </row>
    <row r="2915" spans="1:11" x14ac:dyDescent="0.25">
      <c r="A2915" s="75"/>
      <c r="B2915" s="69"/>
      <c r="C2915" s="71"/>
      <c r="E2915" s="22"/>
      <c r="F2915" s="22"/>
      <c r="G2915" s="31"/>
      <c r="J2915" s="23"/>
      <c r="K2915" s="27"/>
    </row>
    <row r="2916" spans="1:11" x14ac:dyDescent="0.25">
      <c r="A2916" s="75"/>
      <c r="B2916" s="69"/>
      <c r="C2916" s="71"/>
      <c r="E2916" s="22"/>
      <c r="F2916" s="22"/>
      <c r="G2916" s="31"/>
      <c r="J2916" s="23"/>
      <c r="K2916" s="27"/>
    </row>
    <row r="2917" spans="1:11" x14ac:dyDescent="0.25">
      <c r="A2917" s="75"/>
      <c r="B2917" s="69"/>
      <c r="C2917" s="71"/>
      <c r="E2917" s="22"/>
      <c r="F2917" s="22"/>
      <c r="G2917" s="31"/>
      <c r="J2917" s="23"/>
      <c r="K2917" s="27"/>
    </row>
    <row r="2918" spans="1:11" x14ac:dyDescent="0.25">
      <c r="A2918" s="75"/>
      <c r="B2918" s="69"/>
      <c r="C2918" s="71"/>
      <c r="E2918" s="22"/>
      <c r="F2918" s="22"/>
      <c r="G2918" s="31"/>
      <c r="J2918" s="23"/>
      <c r="K2918" s="27"/>
    </row>
    <row r="2919" spans="1:11" x14ac:dyDescent="0.25">
      <c r="A2919" s="75"/>
      <c r="B2919" s="69"/>
      <c r="C2919" s="71"/>
      <c r="E2919" s="22"/>
      <c r="F2919" s="22"/>
      <c r="G2919" s="31"/>
      <c r="J2919" s="23"/>
      <c r="K2919" s="27"/>
    </row>
    <row r="2920" spans="1:11" x14ac:dyDescent="0.25">
      <c r="A2920" s="75"/>
      <c r="B2920" s="69"/>
      <c r="C2920" s="71"/>
      <c r="E2920" s="22"/>
      <c r="F2920" s="22"/>
      <c r="G2920" s="31"/>
      <c r="J2920" s="23"/>
      <c r="K2920" s="27"/>
    </row>
    <row r="2921" spans="1:11" x14ac:dyDescent="0.25">
      <c r="A2921" s="75"/>
      <c r="B2921" s="69"/>
      <c r="C2921" s="71"/>
      <c r="E2921" s="22"/>
      <c r="F2921" s="22"/>
      <c r="G2921" s="31"/>
      <c r="J2921" s="23"/>
      <c r="K2921" s="27"/>
    </row>
    <row r="2922" spans="1:11" x14ac:dyDescent="0.25">
      <c r="A2922" s="75"/>
      <c r="B2922" s="69"/>
      <c r="C2922" s="71"/>
      <c r="E2922" s="22"/>
      <c r="F2922" s="22"/>
      <c r="G2922" s="31"/>
      <c r="J2922" s="23"/>
      <c r="K2922" s="27"/>
    </row>
    <row r="2923" spans="1:11" x14ac:dyDescent="0.25">
      <c r="A2923" s="75"/>
      <c r="B2923" s="69"/>
      <c r="C2923" s="71"/>
      <c r="E2923" s="22"/>
      <c r="F2923" s="22"/>
      <c r="G2923" s="31"/>
      <c r="J2923" s="23"/>
      <c r="K2923" s="27"/>
    </row>
    <row r="2924" spans="1:11" x14ac:dyDescent="0.25">
      <c r="A2924" s="75"/>
      <c r="B2924" s="69"/>
      <c r="C2924" s="71"/>
      <c r="E2924" s="22"/>
      <c r="F2924" s="22"/>
      <c r="G2924" s="31"/>
      <c r="J2924" s="23"/>
      <c r="K2924" s="27"/>
    </row>
    <row r="2925" spans="1:11" x14ac:dyDescent="0.25">
      <c r="A2925" s="75"/>
      <c r="B2925" s="69"/>
      <c r="C2925" s="71"/>
      <c r="E2925" s="22"/>
      <c r="F2925" s="22"/>
      <c r="G2925" s="31"/>
      <c r="J2925" s="23"/>
      <c r="K2925" s="27"/>
    </row>
    <row r="2926" spans="1:11" x14ac:dyDescent="0.25">
      <c r="A2926" s="75"/>
      <c r="B2926" s="69"/>
      <c r="C2926" s="71"/>
      <c r="E2926" s="22"/>
      <c r="F2926" s="22"/>
      <c r="G2926" s="31"/>
      <c r="J2926" s="23"/>
      <c r="K2926" s="27"/>
    </row>
    <row r="2927" spans="1:11" x14ac:dyDescent="0.25">
      <c r="A2927" s="75"/>
      <c r="B2927" s="69"/>
      <c r="C2927" s="71"/>
      <c r="E2927" s="22"/>
      <c r="F2927" s="22"/>
      <c r="G2927" s="31"/>
      <c r="J2927" s="23"/>
      <c r="K2927" s="27"/>
    </row>
    <row r="2928" spans="1:11" x14ac:dyDescent="0.25">
      <c r="A2928" s="75"/>
      <c r="B2928" s="69"/>
      <c r="C2928" s="71"/>
      <c r="E2928" s="22"/>
      <c r="F2928" s="22"/>
      <c r="G2928" s="31"/>
      <c r="J2928" s="23"/>
      <c r="K2928" s="27"/>
    </row>
    <row r="2929" spans="1:11" x14ac:dyDescent="0.25">
      <c r="A2929" s="75"/>
      <c r="B2929" s="69"/>
      <c r="C2929" s="71"/>
      <c r="E2929" s="22"/>
      <c r="F2929" s="22"/>
      <c r="G2929" s="31"/>
      <c r="J2929" s="23"/>
      <c r="K2929" s="27"/>
    </row>
    <row r="2930" spans="1:11" x14ac:dyDescent="0.25">
      <c r="A2930" s="75"/>
      <c r="B2930" s="69"/>
      <c r="C2930" s="71"/>
      <c r="E2930" s="22"/>
      <c r="F2930" s="22"/>
      <c r="G2930" s="31"/>
      <c r="J2930" s="23"/>
      <c r="K2930" s="27"/>
    </row>
    <row r="2931" spans="1:11" x14ac:dyDescent="0.25">
      <c r="A2931" s="75"/>
      <c r="B2931" s="69"/>
      <c r="C2931" s="71"/>
      <c r="E2931" s="22"/>
      <c r="F2931" s="22"/>
      <c r="G2931" s="31"/>
      <c r="J2931" s="23"/>
      <c r="K2931" s="27"/>
    </row>
    <row r="2932" spans="1:11" x14ac:dyDescent="0.25">
      <c r="A2932" s="75"/>
      <c r="B2932" s="69"/>
      <c r="C2932" s="71"/>
      <c r="E2932" s="22"/>
      <c r="F2932" s="22"/>
      <c r="G2932" s="31"/>
      <c r="J2932" s="23"/>
      <c r="K2932" s="27"/>
    </row>
    <row r="2933" spans="1:11" x14ac:dyDescent="0.25">
      <c r="A2933" s="75"/>
      <c r="B2933" s="69"/>
      <c r="C2933" s="71"/>
      <c r="E2933" s="22"/>
      <c r="F2933" s="22"/>
      <c r="G2933" s="31"/>
      <c r="J2933" s="23"/>
      <c r="K2933" s="27"/>
    </row>
    <row r="2934" spans="1:11" x14ac:dyDescent="0.25">
      <c r="A2934" s="75"/>
      <c r="B2934" s="69"/>
      <c r="C2934" s="71"/>
      <c r="E2934" s="22"/>
      <c r="F2934" s="22"/>
      <c r="G2934" s="31"/>
      <c r="J2934" s="23"/>
      <c r="K2934" s="27"/>
    </row>
    <row r="2935" spans="1:11" x14ac:dyDescent="0.25">
      <c r="A2935" s="75"/>
      <c r="B2935" s="69"/>
      <c r="C2935" s="71"/>
      <c r="E2935" s="22"/>
      <c r="F2935" s="22"/>
      <c r="G2935" s="31"/>
      <c r="J2935" s="23"/>
      <c r="K2935" s="27"/>
    </row>
    <row r="2936" spans="1:11" x14ac:dyDescent="0.25">
      <c r="A2936" s="75"/>
      <c r="B2936" s="69"/>
      <c r="C2936" s="71"/>
      <c r="E2936" s="22"/>
      <c r="F2936" s="22"/>
      <c r="G2936" s="31"/>
      <c r="J2936" s="23"/>
      <c r="K2936" s="27"/>
    </row>
    <row r="2937" spans="1:11" x14ac:dyDescent="0.25">
      <c r="A2937" s="75"/>
      <c r="B2937" s="69"/>
      <c r="C2937" s="71"/>
      <c r="E2937" s="22"/>
      <c r="F2937" s="22"/>
      <c r="G2937" s="31"/>
      <c r="J2937" s="23"/>
      <c r="K2937" s="27"/>
    </row>
    <row r="2938" spans="1:11" x14ac:dyDescent="0.25">
      <c r="A2938" s="75"/>
      <c r="B2938" s="69"/>
      <c r="C2938" s="71"/>
      <c r="E2938" s="22"/>
      <c r="F2938" s="22"/>
      <c r="G2938" s="31"/>
      <c r="J2938" s="23"/>
      <c r="K2938" s="27"/>
    </row>
    <row r="2939" spans="1:11" x14ac:dyDescent="0.25">
      <c r="A2939" s="75"/>
      <c r="B2939" s="69"/>
      <c r="C2939" s="71"/>
      <c r="E2939" s="22"/>
      <c r="F2939" s="22"/>
      <c r="G2939" s="31"/>
      <c r="J2939" s="23"/>
      <c r="K2939" s="27"/>
    </row>
    <row r="2940" spans="1:11" x14ac:dyDescent="0.25">
      <c r="A2940" s="75"/>
      <c r="B2940" s="69"/>
      <c r="C2940" s="71"/>
      <c r="E2940" s="22"/>
      <c r="F2940" s="22"/>
      <c r="G2940" s="31"/>
      <c r="J2940" s="23"/>
      <c r="K2940" s="27"/>
    </row>
    <row r="2941" spans="1:11" x14ac:dyDescent="0.25">
      <c r="A2941" s="75"/>
      <c r="B2941" s="69"/>
      <c r="C2941" s="71"/>
      <c r="E2941" s="22"/>
      <c r="F2941" s="22"/>
      <c r="G2941" s="31"/>
      <c r="J2941" s="23"/>
      <c r="K2941" s="27"/>
    </row>
    <row r="2942" spans="1:11" x14ac:dyDescent="0.25">
      <c r="A2942" s="75"/>
      <c r="B2942" s="69"/>
      <c r="C2942" s="71"/>
      <c r="E2942" s="22"/>
      <c r="F2942" s="22"/>
      <c r="G2942" s="31"/>
      <c r="J2942" s="23"/>
      <c r="K2942" s="27"/>
    </row>
    <row r="2943" spans="1:11" x14ac:dyDescent="0.25">
      <c r="A2943" s="75"/>
      <c r="B2943" s="69"/>
      <c r="C2943" s="71"/>
      <c r="E2943" s="22"/>
      <c r="F2943" s="22"/>
      <c r="G2943" s="31"/>
      <c r="J2943" s="23"/>
      <c r="K2943" s="27"/>
    </row>
    <row r="2944" spans="1:11" x14ac:dyDescent="0.25">
      <c r="A2944" s="75"/>
      <c r="B2944" s="69"/>
      <c r="C2944" s="71"/>
      <c r="E2944" s="22"/>
      <c r="F2944" s="22"/>
      <c r="G2944" s="31"/>
      <c r="J2944" s="23"/>
      <c r="K2944" s="27"/>
    </row>
    <row r="2945" spans="1:11" x14ac:dyDescent="0.25">
      <c r="A2945" s="75"/>
      <c r="B2945" s="69"/>
      <c r="C2945" s="71"/>
      <c r="E2945" s="22"/>
      <c r="F2945" s="22"/>
      <c r="G2945" s="31"/>
      <c r="J2945" s="23"/>
      <c r="K2945" s="27"/>
    </row>
    <row r="2946" spans="1:11" x14ac:dyDescent="0.25">
      <c r="A2946" s="75"/>
      <c r="B2946" s="69"/>
      <c r="C2946" s="71"/>
      <c r="E2946" s="22"/>
      <c r="F2946" s="22"/>
      <c r="G2946" s="31"/>
      <c r="J2946" s="23"/>
      <c r="K2946" s="27"/>
    </row>
    <row r="2947" spans="1:11" x14ac:dyDescent="0.25">
      <c r="A2947" s="75"/>
      <c r="B2947" s="69"/>
      <c r="C2947" s="71"/>
      <c r="E2947" s="22"/>
      <c r="F2947" s="22"/>
      <c r="G2947" s="31"/>
      <c r="J2947" s="23"/>
      <c r="K2947" s="27"/>
    </row>
    <row r="2948" spans="1:11" x14ac:dyDescent="0.25">
      <c r="A2948" s="75"/>
      <c r="B2948" s="69"/>
      <c r="C2948" s="71"/>
      <c r="E2948" s="22"/>
      <c r="F2948" s="22"/>
      <c r="G2948" s="31"/>
      <c r="J2948" s="23"/>
      <c r="K2948" s="27"/>
    </row>
    <row r="2949" spans="1:11" x14ac:dyDescent="0.25">
      <c r="A2949" s="75"/>
      <c r="B2949" s="69"/>
      <c r="C2949" s="71"/>
      <c r="E2949" s="22"/>
      <c r="F2949" s="22"/>
      <c r="G2949" s="31"/>
      <c r="J2949" s="23"/>
      <c r="K2949" s="27"/>
    </row>
    <row r="2950" spans="1:11" x14ac:dyDescent="0.25">
      <c r="A2950" s="75"/>
      <c r="B2950" s="69"/>
      <c r="C2950" s="71"/>
      <c r="E2950" s="22"/>
      <c r="F2950" s="22"/>
      <c r="G2950" s="31"/>
      <c r="J2950" s="23"/>
      <c r="K2950" s="27"/>
    </row>
    <row r="2951" spans="1:11" x14ac:dyDescent="0.25">
      <c r="A2951" s="75"/>
      <c r="B2951" s="69"/>
      <c r="C2951" s="71"/>
      <c r="E2951" s="22"/>
      <c r="F2951" s="22"/>
      <c r="G2951" s="31"/>
      <c r="J2951" s="23"/>
      <c r="K2951" s="27"/>
    </row>
    <row r="2952" spans="1:11" x14ac:dyDescent="0.25">
      <c r="A2952" s="75"/>
      <c r="B2952" s="69"/>
      <c r="C2952" s="71"/>
      <c r="E2952" s="22"/>
      <c r="F2952" s="22"/>
      <c r="G2952" s="31"/>
      <c r="J2952" s="23"/>
      <c r="K2952" s="27"/>
    </row>
    <row r="2953" spans="1:11" x14ac:dyDescent="0.25">
      <c r="A2953" s="75"/>
      <c r="B2953" s="69"/>
      <c r="C2953" s="71"/>
      <c r="E2953" s="22"/>
      <c r="F2953" s="22"/>
      <c r="G2953" s="31"/>
      <c r="J2953" s="23"/>
      <c r="K2953" s="27"/>
    </row>
    <row r="2954" spans="1:11" x14ac:dyDescent="0.25">
      <c r="A2954" s="75"/>
      <c r="B2954" s="69"/>
      <c r="C2954" s="71"/>
      <c r="E2954" s="22"/>
      <c r="F2954" s="22"/>
      <c r="G2954" s="31"/>
      <c r="J2954" s="23"/>
      <c r="K2954" s="27"/>
    </row>
    <row r="2955" spans="1:11" x14ac:dyDescent="0.25">
      <c r="A2955" s="75"/>
      <c r="B2955" s="69"/>
      <c r="C2955" s="71"/>
      <c r="E2955" s="22"/>
      <c r="F2955" s="22"/>
      <c r="G2955" s="31"/>
      <c r="J2955" s="23"/>
      <c r="K2955" s="27"/>
    </row>
    <row r="2956" spans="1:11" x14ac:dyDescent="0.25">
      <c r="A2956" s="75"/>
      <c r="B2956" s="69"/>
      <c r="C2956" s="71"/>
      <c r="E2956" s="22"/>
      <c r="F2956" s="22"/>
      <c r="G2956" s="31"/>
      <c r="J2956" s="23"/>
      <c r="K2956" s="27"/>
    </row>
    <row r="2957" spans="1:11" x14ac:dyDescent="0.25">
      <c r="A2957" s="75"/>
      <c r="B2957" s="69"/>
      <c r="C2957" s="71"/>
      <c r="E2957" s="22"/>
      <c r="F2957" s="22"/>
      <c r="G2957" s="31"/>
      <c r="J2957" s="23"/>
      <c r="K2957" s="27"/>
    </row>
    <row r="2958" spans="1:11" x14ac:dyDescent="0.25">
      <c r="A2958" s="75"/>
      <c r="B2958" s="69"/>
      <c r="C2958" s="71"/>
      <c r="E2958" s="22"/>
      <c r="F2958" s="22"/>
      <c r="G2958" s="31"/>
      <c r="J2958" s="23"/>
      <c r="K2958" s="27"/>
    </row>
    <row r="2959" spans="1:11" x14ac:dyDescent="0.25">
      <c r="A2959" s="75"/>
      <c r="B2959" s="69"/>
      <c r="C2959" s="71"/>
      <c r="E2959" s="22"/>
      <c r="F2959" s="22"/>
      <c r="G2959" s="31"/>
      <c r="J2959" s="23"/>
      <c r="K2959" s="27"/>
    </row>
    <row r="2960" spans="1:11" x14ac:dyDescent="0.25">
      <c r="A2960" s="75"/>
      <c r="B2960" s="69"/>
      <c r="C2960" s="71"/>
      <c r="E2960" s="22"/>
      <c r="F2960" s="22"/>
      <c r="G2960" s="31"/>
      <c r="J2960" s="23"/>
      <c r="K2960" s="27"/>
    </row>
    <row r="2961" spans="1:11" x14ac:dyDescent="0.25">
      <c r="A2961" s="75"/>
      <c r="B2961" s="69"/>
      <c r="C2961" s="71"/>
      <c r="E2961" s="22"/>
      <c r="F2961" s="22"/>
      <c r="G2961" s="31"/>
      <c r="J2961" s="23"/>
      <c r="K2961" s="27"/>
    </row>
    <row r="2962" spans="1:11" x14ac:dyDescent="0.25">
      <c r="A2962" s="75"/>
      <c r="B2962" s="69"/>
      <c r="C2962" s="71"/>
      <c r="E2962" s="22"/>
      <c r="F2962" s="22"/>
      <c r="G2962" s="31"/>
      <c r="J2962" s="23"/>
      <c r="K2962" s="27"/>
    </row>
    <row r="2963" spans="1:11" x14ac:dyDescent="0.25">
      <c r="A2963" s="75"/>
      <c r="B2963" s="69"/>
      <c r="C2963" s="71"/>
      <c r="E2963" s="22"/>
      <c r="F2963" s="22"/>
      <c r="G2963" s="31"/>
      <c r="J2963" s="23"/>
      <c r="K2963" s="27"/>
    </row>
    <row r="2964" spans="1:11" x14ac:dyDescent="0.25">
      <c r="A2964" s="75"/>
      <c r="B2964" s="69"/>
      <c r="C2964" s="71"/>
      <c r="E2964" s="22"/>
      <c r="F2964" s="22"/>
      <c r="G2964" s="31"/>
      <c r="J2964" s="23"/>
      <c r="K2964" s="27"/>
    </row>
    <row r="2965" spans="1:11" x14ac:dyDescent="0.25">
      <c r="A2965" s="75"/>
      <c r="B2965" s="69"/>
      <c r="C2965" s="71"/>
      <c r="E2965" s="22"/>
      <c r="F2965" s="22"/>
      <c r="G2965" s="31"/>
      <c r="J2965" s="23"/>
      <c r="K2965" s="27"/>
    </row>
    <row r="2966" spans="1:11" x14ac:dyDescent="0.25">
      <c r="A2966" s="75"/>
      <c r="B2966" s="69"/>
      <c r="C2966" s="71"/>
      <c r="E2966" s="22"/>
      <c r="F2966" s="22"/>
      <c r="G2966" s="31"/>
      <c r="J2966" s="23"/>
      <c r="K2966" s="27"/>
    </row>
    <row r="2967" spans="1:11" x14ac:dyDescent="0.25">
      <c r="A2967" s="75"/>
      <c r="B2967" s="69"/>
      <c r="C2967" s="71"/>
      <c r="E2967" s="22"/>
      <c r="F2967" s="22"/>
      <c r="G2967" s="31"/>
      <c r="J2967" s="23"/>
      <c r="K2967" s="27"/>
    </row>
    <row r="2968" spans="1:11" x14ac:dyDescent="0.25">
      <c r="A2968" s="75"/>
      <c r="B2968" s="69"/>
      <c r="C2968" s="71"/>
      <c r="E2968" s="22"/>
      <c r="F2968" s="22"/>
      <c r="G2968" s="31"/>
      <c r="J2968" s="23"/>
      <c r="K2968" s="27"/>
    </row>
    <row r="2969" spans="1:11" x14ac:dyDescent="0.25">
      <c r="A2969" s="75"/>
      <c r="B2969" s="69"/>
      <c r="C2969" s="71"/>
      <c r="E2969" s="22"/>
      <c r="F2969" s="22"/>
      <c r="G2969" s="31"/>
      <c r="J2969" s="23"/>
      <c r="K2969" s="27"/>
    </row>
    <row r="2970" spans="1:11" x14ac:dyDescent="0.25">
      <c r="A2970" s="75"/>
      <c r="B2970" s="69"/>
      <c r="C2970" s="71"/>
      <c r="E2970" s="22"/>
      <c r="F2970" s="22"/>
      <c r="G2970" s="31"/>
      <c r="J2970" s="23"/>
      <c r="K2970" s="27"/>
    </row>
    <row r="2971" spans="1:11" x14ac:dyDescent="0.25">
      <c r="A2971" s="75"/>
      <c r="B2971" s="69"/>
      <c r="C2971" s="71"/>
      <c r="E2971" s="22"/>
      <c r="F2971" s="22"/>
      <c r="G2971" s="31"/>
      <c r="J2971" s="23"/>
      <c r="K2971" s="27"/>
    </row>
    <row r="2972" spans="1:11" x14ac:dyDescent="0.25">
      <c r="A2972" s="75"/>
      <c r="B2972" s="69"/>
      <c r="C2972" s="71"/>
      <c r="E2972" s="22"/>
      <c r="F2972" s="22"/>
      <c r="G2972" s="31"/>
      <c r="J2972" s="23"/>
      <c r="K2972" s="27"/>
    </row>
    <row r="2973" spans="1:11" x14ac:dyDescent="0.25">
      <c r="A2973" s="75"/>
      <c r="B2973" s="69"/>
      <c r="C2973" s="71"/>
      <c r="E2973" s="22"/>
      <c r="F2973" s="22"/>
      <c r="G2973" s="31"/>
      <c r="J2973" s="23"/>
      <c r="K2973" s="27"/>
    </row>
    <row r="2974" spans="1:11" x14ac:dyDescent="0.25">
      <c r="A2974" s="75"/>
      <c r="B2974" s="69"/>
      <c r="C2974" s="71"/>
      <c r="E2974" s="22"/>
      <c r="F2974" s="22"/>
      <c r="G2974" s="31"/>
      <c r="J2974" s="23"/>
      <c r="K2974" s="27"/>
    </row>
    <row r="2975" spans="1:11" x14ac:dyDescent="0.25">
      <c r="A2975" s="75"/>
      <c r="B2975" s="69"/>
      <c r="C2975" s="71"/>
      <c r="E2975" s="22"/>
      <c r="F2975" s="22"/>
      <c r="G2975" s="31"/>
      <c r="J2975" s="23"/>
      <c r="K2975" s="27"/>
    </row>
    <row r="2976" spans="1:11" x14ac:dyDescent="0.25">
      <c r="A2976" s="75"/>
      <c r="B2976" s="69"/>
      <c r="C2976" s="71"/>
      <c r="E2976" s="22"/>
      <c r="F2976" s="22"/>
      <c r="G2976" s="31"/>
      <c r="J2976" s="23"/>
      <c r="K2976" s="27"/>
    </row>
    <row r="2977" spans="1:11" x14ac:dyDescent="0.25">
      <c r="A2977" s="75"/>
      <c r="B2977" s="69"/>
      <c r="C2977" s="71"/>
      <c r="E2977" s="22"/>
      <c r="F2977" s="22"/>
      <c r="G2977" s="31"/>
      <c r="J2977" s="23"/>
      <c r="K2977" s="27"/>
    </row>
    <row r="2978" spans="1:11" x14ac:dyDescent="0.25">
      <c r="A2978" s="75"/>
      <c r="B2978" s="69"/>
      <c r="C2978" s="71"/>
      <c r="E2978" s="22"/>
      <c r="F2978" s="22"/>
      <c r="G2978" s="31"/>
      <c r="J2978" s="23"/>
      <c r="K2978" s="27"/>
    </row>
    <row r="2979" spans="1:11" x14ac:dyDescent="0.25">
      <c r="A2979" s="75"/>
      <c r="B2979" s="69"/>
      <c r="C2979" s="71"/>
      <c r="E2979" s="22"/>
      <c r="F2979" s="22"/>
      <c r="G2979" s="31"/>
      <c r="J2979" s="23"/>
      <c r="K2979" s="27"/>
    </row>
    <row r="2980" spans="1:11" x14ac:dyDescent="0.25">
      <c r="A2980" s="75"/>
      <c r="B2980" s="69"/>
      <c r="C2980" s="71"/>
      <c r="E2980" s="22"/>
      <c r="F2980" s="22"/>
      <c r="G2980" s="31"/>
      <c r="J2980" s="23"/>
      <c r="K2980" s="27"/>
    </row>
    <row r="2981" spans="1:11" x14ac:dyDescent="0.25">
      <c r="A2981" s="75"/>
      <c r="B2981" s="69"/>
      <c r="C2981" s="71"/>
      <c r="E2981" s="22"/>
      <c r="F2981" s="22"/>
      <c r="G2981" s="31"/>
      <c r="J2981" s="23"/>
      <c r="K2981" s="27"/>
    </row>
    <row r="2982" spans="1:11" x14ac:dyDescent="0.25">
      <c r="A2982" s="75"/>
      <c r="B2982" s="69"/>
      <c r="C2982" s="71"/>
      <c r="E2982" s="22"/>
      <c r="F2982" s="22"/>
      <c r="G2982" s="31"/>
      <c r="J2982" s="23"/>
      <c r="K2982" s="27"/>
    </row>
    <row r="2983" spans="1:11" x14ac:dyDescent="0.25">
      <c r="A2983" s="75"/>
      <c r="B2983" s="69"/>
      <c r="C2983" s="71"/>
      <c r="E2983" s="22"/>
      <c r="F2983" s="22"/>
      <c r="G2983" s="31"/>
      <c r="J2983" s="23"/>
      <c r="K2983" s="27"/>
    </row>
    <row r="2984" spans="1:11" x14ac:dyDescent="0.25">
      <c r="A2984" s="75"/>
      <c r="B2984" s="69"/>
      <c r="C2984" s="71"/>
      <c r="E2984" s="22"/>
      <c r="F2984" s="22"/>
      <c r="G2984" s="31"/>
      <c r="J2984" s="23"/>
      <c r="K2984" s="27"/>
    </row>
    <row r="2985" spans="1:11" x14ac:dyDescent="0.25">
      <c r="A2985" s="75"/>
      <c r="B2985" s="69"/>
      <c r="C2985" s="71"/>
      <c r="E2985" s="22"/>
      <c r="F2985" s="22"/>
      <c r="G2985" s="31"/>
      <c r="J2985" s="23"/>
      <c r="K2985" s="27"/>
    </row>
    <row r="2986" spans="1:11" x14ac:dyDescent="0.25">
      <c r="A2986" s="75"/>
      <c r="B2986" s="69"/>
      <c r="C2986" s="71"/>
      <c r="E2986" s="22"/>
      <c r="F2986" s="22"/>
      <c r="G2986" s="31"/>
      <c r="J2986" s="23"/>
      <c r="K2986" s="27"/>
    </row>
    <row r="2987" spans="1:11" x14ac:dyDescent="0.25">
      <c r="A2987" s="75"/>
      <c r="B2987" s="69"/>
      <c r="C2987" s="71"/>
      <c r="E2987" s="22"/>
      <c r="F2987" s="22"/>
      <c r="G2987" s="31"/>
      <c r="J2987" s="23"/>
      <c r="K2987" s="27"/>
    </row>
    <row r="2988" spans="1:11" x14ac:dyDescent="0.25">
      <c r="A2988" s="75"/>
      <c r="B2988" s="69"/>
      <c r="C2988" s="71"/>
      <c r="E2988" s="22"/>
      <c r="F2988" s="22"/>
      <c r="G2988" s="31"/>
      <c r="J2988" s="23"/>
      <c r="K2988" s="27"/>
    </row>
    <row r="2989" spans="1:11" x14ac:dyDescent="0.25">
      <c r="A2989" s="75"/>
      <c r="B2989" s="69"/>
      <c r="C2989" s="71"/>
      <c r="E2989" s="22"/>
      <c r="F2989" s="22"/>
      <c r="G2989" s="31"/>
      <c r="J2989" s="23"/>
      <c r="K2989" s="27"/>
    </row>
    <row r="2990" spans="1:11" x14ac:dyDescent="0.25">
      <c r="A2990" s="75"/>
      <c r="B2990" s="69"/>
      <c r="C2990" s="71"/>
      <c r="E2990" s="22"/>
      <c r="F2990" s="22"/>
      <c r="G2990" s="31"/>
      <c r="J2990" s="23"/>
      <c r="K2990" s="27"/>
    </row>
    <row r="2991" spans="1:11" x14ac:dyDescent="0.25">
      <c r="A2991" s="75"/>
      <c r="B2991" s="69"/>
      <c r="C2991" s="71"/>
      <c r="E2991" s="22"/>
      <c r="F2991" s="22"/>
      <c r="G2991" s="31"/>
      <c r="J2991" s="23"/>
      <c r="K2991" s="27"/>
    </row>
    <row r="2992" spans="1:11" x14ac:dyDescent="0.25">
      <c r="A2992" s="75"/>
      <c r="B2992" s="69"/>
      <c r="C2992" s="71"/>
      <c r="E2992" s="22"/>
      <c r="F2992" s="22"/>
      <c r="G2992" s="31"/>
      <c r="J2992" s="23"/>
      <c r="K2992" s="27"/>
    </row>
    <row r="2993" spans="1:11" x14ac:dyDescent="0.25">
      <c r="A2993" s="75"/>
      <c r="B2993" s="69"/>
      <c r="C2993" s="71"/>
      <c r="E2993" s="22"/>
      <c r="F2993" s="22"/>
      <c r="G2993" s="31"/>
      <c r="J2993" s="23"/>
      <c r="K2993" s="27"/>
    </row>
    <row r="2994" spans="1:11" x14ac:dyDescent="0.25">
      <c r="A2994" s="75"/>
      <c r="B2994" s="69"/>
      <c r="C2994" s="71"/>
      <c r="E2994" s="22"/>
      <c r="F2994" s="22"/>
      <c r="G2994" s="31"/>
      <c r="J2994" s="23"/>
      <c r="K2994" s="27"/>
    </row>
    <row r="2995" spans="1:11" x14ac:dyDescent="0.25">
      <c r="A2995" s="75"/>
      <c r="B2995" s="69"/>
      <c r="C2995" s="71"/>
      <c r="E2995" s="22"/>
      <c r="F2995" s="22"/>
      <c r="G2995" s="31"/>
      <c r="J2995" s="23"/>
      <c r="K2995" s="27"/>
    </row>
    <row r="2996" spans="1:11" x14ac:dyDescent="0.25">
      <c r="A2996" s="75"/>
      <c r="B2996" s="69"/>
      <c r="C2996" s="71"/>
      <c r="E2996" s="22"/>
      <c r="F2996" s="22"/>
      <c r="G2996" s="31"/>
      <c r="J2996" s="23"/>
      <c r="K2996" s="27"/>
    </row>
    <row r="2997" spans="1:11" x14ac:dyDescent="0.25">
      <c r="A2997" s="75"/>
      <c r="B2997" s="69"/>
      <c r="C2997" s="71"/>
      <c r="E2997" s="22"/>
      <c r="F2997" s="22"/>
      <c r="G2997" s="31"/>
      <c r="J2997" s="23"/>
      <c r="K2997" s="27"/>
    </row>
    <row r="2998" spans="1:11" x14ac:dyDescent="0.25">
      <c r="A2998" s="75"/>
      <c r="B2998" s="69"/>
      <c r="C2998" s="71"/>
      <c r="E2998" s="22"/>
      <c r="F2998" s="22"/>
      <c r="G2998" s="31"/>
      <c r="J2998" s="23"/>
      <c r="K2998" s="27"/>
    </row>
    <row r="2999" spans="1:11" x14ac:dyDescent="0.25">
      <c r="A2999" s="75"/>
      <c r="B2999" s="69"/>
      <c r="C2999" s="71"/>
      <c r="E2999" s="22"/>
      <c r="F2999" s="22"/>
      <c r="G2999" s="31"/>
      <c r="J2999" s="23"/>
      <c r="K2999" s="27"/>
    </row>
    <row r="3000" spans="1:11" x14ac:dyDescent="0.25">
      <c r="A3000" s="75"/>
      <c r="B3000" s="69"/>
      <c r="C3000" s="71"/>
      <c r="E3000" s="22"/>
      <c r="F3000" s="22"/>
      <c r="G3000" s="31"/>
      <c r="J3000" s="23"/>
      <c r="K3000" s="27"/>
    </row>
    <row r="3001" spans="1:11" x14ac:dyDescent="0.25">
      <c r="A3001" s="75"/>
      <c r="B3001" s="69"/>
      <c r="C3001" s="71"/>
      <c r="E3001" s="22"/>
      <c r="F3001" s="22"/>
      <c r="G3001" s="31"/>
      <c r="J3001" s="23"/>
      <c r="K3001" s="27"/>
    </row>
    <row r="3002" spans="1:11" x14ac:dyDescent="0.25">
      <c r="A3002" s="75"/>
      <c r="B3002" s="69"/>
      <c r="C3002" s="71"/>
      <c r="E3002" s="22"/>
      <c r="F3002" s="22"/>
      <c r="G3002" s="31"/>
      <c r="J3002" s="23"/>
      <c r="K3002" s="27"/>
    </row>
    <row r="3003" spans="1:11" x14ac:dyDescent="0.25">
      <c r="A3003" s="75"/>
      <c r="B3003" s="69"/>
      <c r="C3003" s="71"/>
      <c r="E3003" s="22"/>
      <c r="F3003" s="22"/>
      <c r="G3003" s="31"/>
      <c r="J3003" s="23"/>
      <c r="K3003" s="27"/>
    </row>
    <row r="3004" spans="1:11" x14ac:dyDescent="0.25">
      <c r="A3004" s="75"/>
      <c r="B3004" s="69"/>
      <c r="C3004" s="71"/>
      <c r="E3004" s="22"/>
      <c r="F3004" s="22"/>
      <c r="G3004" s="31"/>
      <c r="J3004" s="23"/>
      <c r="K3004" s="27"/>
    </row>
    <row r="3005" spans="1:11" x14ac:dyDescent="0.25">
      <c r="A3005" s="75"/>
      <c r="B3005" s="69"/>
      <c r="C3005" s="71"/>
      <c r="E3005" s="22"/>
      <c r="F3005" s="22"/>
      <c r="G3005" s="31"/>
      <c r="J3005" s="23"/>
      <c r="K3005" s="27"/>
    </row>
    <row r="3006" spans="1:11" x14ac:dyDescent="0.25">
      <c r="A3006" s="75"/>
      <c r="B3006" s="69"/>
      <c r="C3006" s="71"/>
      <c r="E3006" s="22"/>
      <c r="F3006" s="22"/>
      <c r="G3006" s="31"/>
      <c r="J3006" s="23"/>
      <c r="K3006" s="27"/>
    </row>
    <row r="3007" spans="1:11" x14ac:dyDescent="0.25">
      <c r="A3007" s="75"/>
      <c r="B3007" s="69"/>
      <c r="C3007" s="71"/>
      <c r="E3007" s="22"/>
      <c r="F3007" s="22"/>
      <c r="G3007" s="31"/>
      <c r="J3007" s="23"/>
      <c r="K3007" s="27"/>
    </row>
    <row r="3008" spans="1:11" x14ac:dyDescent="0.25">
      <c r="A3008" s="75"/>
      <c r="B3008" s="69"/>
      <c r="C3008" s="71"/>
      <c r="E3008" s="22"/>
      <c r="F3008" s="22"/>
      <c r="G3008" s="31"/>
      <c r="J3008" s="23"/>
      <c r="K3008" s="27"/>
    </row>
    <row r="3009" spans="1:11" x14ac:dyDescent="0.25">
      <c r="A3009" s="75"/>
      <c r="B3009" s="69"/>
      <c r="C3009" s="71"/>
      <c r="E3009" s="22"/>
      <c r="F3009" s="22"/>
      <c r="G3009" s="31"/>
      <c r="J3009" s="23"/>
      <c r="K3009" s="27"/>
    </row>
    <row r="3010" spans="1:11" x14ac:dyDescent="0.25">
      <c r="A3010" s="75"/>
      <c r="B3010" s="69"/>
      <c r="C3010" s="71"/>
      <c r="E3010" s="22"/>
      <c r="F3010" s="22"/>
      <c r="G3010" s="31"/>
      <c r="J3010" s="23"/>
      <c r="K3010" s="27"/>
    </row>
    <row r="3011" spans="1:11" x14ac:dyDescent="0.25">
      <c r="A3011" s="75"/>
      <c r="B3011" s="69"/>
      <c r="C3011" s="71"/>
      <c r="E3011" s="22"/>
      <c r="F3011" s="22"/>
      <c r="G3011" s="31"/>
      <c r="J3011" s="23"/>
      <c r="K3011" s="27"/>
    </row>
    <row r="3012" spans="1:11" x14ac:dyDescent="0.25">
      <c r="A3012" s="75"/>
      <c r="B3012" s="69"/>
      <c r="C3012" s="71"/>
      <c r="E3012" s="22"/>
      <c r="F3012" s="22"/>
      <c r="G3012" s="31"/>
      <c r="J3012" s="23"/>
      <c r="K3012" s="27"/>
    </row>
    <row r="3013" spans="1:11" x14ac:dyDescent="0.25">
      <c r="A3013" s="75"/>
      <c r="B3013" s="69"/>
      <c r="C3013" s="71"/>
      <c r="E3013" s="22"/>
      <c r="F3013" s="22"/>
      <c r="G3013" s="31"/>
      <c r="J3013" s="23"/>
      <c r="K3013" s="27"/>
    </row>
    <row r="3014" spans="1:11" x14ac:dyDescent="0.25">
      <c r="A3014" s="75"/>
      <c r="B3014" s="69"/>
      <c r="C3014" s="71"/>
      <c r="E3014" s="22"/>
      <c r="F3014" s="22"/>
      <c r="G3014" s="31"/>
      <c r="J3014" s="23"/>
      <c r="K3014" s="27"/>
    </row>
    <row r="3015" spans="1:11" x14ac:dyDescent="0.25">
      <c r="A3015" s="75"/>
      <c r="B3015" s="69"/>
      <c r="C3015" s="71"/>
      <c r="E3015" s="22"/>
      <c r="F3015" s="22"/>
      <c r="G3015" s="31"/>
      <c r="J3015" s="23"/>
      <c r="K3015" s="27"/>
    </row>
    <row r="3016" spans="1:11" x14ac:dyDescent="0.25">
      <c r="A3016" s="75"/>
      <c r="B3016" s="69"/>
      <c r="C3016" s="71"/>
      <c r="E3016" s="22"/>
      <c r="F3016" s="22"/>
      <c r="G3016" s="31"/>
      <c r="J3016" s="23"/>
      <c r="K3016" s="27"/>
    </row>
    <row r="3017" spans="1:11" x14ac:dyDescent="0.25">
      <c r="A3017" s="75"/>
      <c r="B3017" s="69"/>
      <c r="C3017" s="71"/>
      <c r="E3017" s="22"/>
      <c r="F3017" s="22"/>
      <c r="G3017" s="31"/>
      <c r="J3017" s="23"/>
      <c r="K3017" s="27"/>
    </row>
    <row r="3018" spans="1:11" x14ac:dyDescent="0.25">
      <c r="A3018" s="75"/>
      <c r="B3018" s="69"/>
      <c r="C3018" s="71"/>
      <c r="E3018" s="22"/>
      <c r="F3018" s="22"/>
      <c r="G3018" s="31"/>
      <c r="J3018" s="23"/>
      <c r="K3018" s="27"/>
    </row>
    <row r="3019" spans="1:11" x14ac:dyDescent="0.25">
      <c r="A3019" s="75"/>
      <c r="B3019" s="69"/>
      <c r="C3019" s="71"/>
      <c r="E3019" s="22"/>
      <c r="F3019" s="22"/>
      <c r="G3019" s="31"/>
      <c r="J3019" s="23"/>
      <c r="K3019" s="27"/>
    </row>
    <row r="3020" spans="1:11" x14ac:dyDescent="0.25">
      <c r="A3020" s="75"/>
      <c r="B3020" s="69"/>
      <c r="C3020" s="71"/>
      <c r="E3020" s="22"/>
      <c r="F3020" s="22"/>
      <c r="G3020" s="31"/>
      <c r="J3020" s="23"/>
      <c r="K3020" s="27"/>
    </row>
    <row r="3021" spans="1:11" x14ac:dyDescent="0.25">
      <c r="A3021" s="75"/>
      <c r="B3021" s="69"/>
      <c r="C3021" s="71"/>
      <c r="E3021" s="22"/>
      <c r="F3021" s="22"/>
      <c r="G3021" s="31"/>
      <c r="J3021" s="23"/>
      <c r="K3021" s="27"/>
    </row>
    <row r="3022" spans="1:11" x14ac:dyDescent="0.25">
      <c r="A3022" s="75"/>
      <c r="B3022" s="69"/>
      <c r="C3022" s="71"/>
      <c r="E3022" s="22"/>
      <c r="F3022" s="22"/>
      <c r="G3022" s="31"/>
      <c r="J3022" s="23"/>
      <c r="K3022" s="27"/>
    </row>
    <row r="3023" spans="1:11" x14ac:dyDescent="0.25">
      <c r="A3023" s="75"/>
      <c r="B3023" s="69"/>
      <c r="C3023" s="71"/>
      <c r="E3023" s="22"/>
      <c r="F3023" s="22"/>
      <c r="G3023" s="31"/>
      <c r="J3023" s="23"/>
      <c r="K3023" s="27"/>
    </row>
    <row r="3024" spans="1:11" x14ac:dyDescent="0.25">
      <c r="A3024" s="75"/>
      <c r="B3024" s="69"/>
      <c r="C3024" s="71"/>
      <c r="E3024" s="22"/>
      <c r="F3024" s="22"/>
      <c r="G3024" s="31"/>
      <c r="J3024" s="23"/>
      <c r="K3024" s="27"/>
    </row>
    <row r="3025" spans="1:11" x14ac:dyDescent="0.25">
      <c r="A3025" s="75"/>
      <c r="B3025" s="69"/>
      <c r="C3025" s="71"/>
      <c r="E3025" s="22"/>
      <c r="F3025" s="22"/>
      <c r="G3025" s="31"/>
      <c r="J3025" s="23"/>
      <c r="K3025" s="27"/>
    </row>
    <row r="3026" spans="1:11" x14ac:dyDescent="0.25">
      <c r="A3026" s="75"/>
      <c r="B3026" s="69"/>
      <c r="C3026" s="71"/>
      <c r="E3026" s="22"/>
      <c r="F3026" s="22"/>
      <c r="G3026" s="31"/>
      <c r="J3026" s="23"/>
      <c r="K3026" s="27"/>
    </row>
    <row r="3027" spans="1:11" x14ac:dyDescent="0.25">
      <c r="A3027" s="75"/>
      <c r="B3027" s="69"/>
      <c r="C3027" s="71"/>
      <c r="E3027" s="22"/>
      <c r="F3027" s="22"/>
      <c r="G3027" s="31"/>
      <c r="J3027" s="23"/>
      <c r="K3027" s="27"/>
    </row>
    <row r="3028" spans="1:11" x14ac:dyDescent="0.25">
      <c r="A3028" s="75"/>
      <c r="B3028" s="69"/>
      <c r="C3028" s="71"/>
      <c r="E3028" s="22"/>
      <c r="F3028" s="22"/>
      <c r="G3028" s="31"/>
      <c r="J3028" s="23"/>
      <c r="K3028" s="27"/>
    </row>
    <row r="3029" spans="1:11" x14ac:dyDescent="0.25">
      <c r="A3029" s="75"/>
      <c r="B3029" s="69"/>
      <c r="C3029" s="71"/>
      <c r="E3029" s="22"/>
      <c r="F3029" s="22"/>
      <c r="G3029" s="31"/>
      <c r="J3029" s="23"/>
      <c r="K3029" s="27"/>
    </row>
    <row r="3030" spans="1:11" x14ac:dyDescent="0.25">
      <c r="A3030" s="75"/>
      <c r="B3030" s="69"/>
      <c r="C3030" s="71"/>
      <c r="E3030" s="22"/>
      <c r="F3030" s="22"/>
      <c r="G3030" s="31"/>
      <c r="J3030" s="23"/>
      <c r="K3030" s="27"/>
    </row>
    <row r="3031" spans="1:11" x14ac:dyDescent="0.25">
      <c r="A3031" s="75"/>
      <c r="B3031" s="69"/>
      <c r="C3031" s="71"/>
      <c r="E3031" s="22"/>
      <c r="F3031" s="22"/>
      <c r="G3031" s="31"/>
      <c r="J3031" s="23"/>
      <c r="K3031" s="27"/>
    </row>
    <row r="3032" spans="1:11" x14ac:dyDescent="0.25">
      <c r="A3032" s="75"/>
      <c r="B3032" s="69"/>
      <c r="C3032" s="71"/>
      <c r="E3032" s="22"/>
      <c r="F3032" s="22"/>
      <c r="G3032" s="31"/>
      <c r="J3032" s="23"/>
      <c r="K3032" s="27"/>
    </row>
    <row r="3033" spans="1:11" x14ac:dyDescent="0.25">
      <c r="A3033" s="75"/>
      <c r="B3033" s="69"/>
      <c r="C3033" s="71"/>
      <c r="E3033" s="22"/>
      <c r="F3033" s="22"/>
      <c r="G3033" s="31"/>
      <c r="J3033" s="23"/>
      <c r="K3033" s="27"/>
    </row>
    <row r="3034" spans="1:11" x14ac:dyDescent="0.25">
      <c r="A3034" s="75"/>
      <c r="B3034" s="69"/>
      <c r="C3034" s="71"/>
      <c r="E3034" s="22"/>
      <c r="F3034" s="22"/>
      <c r="G3034" s="31"/>
      <c r="J3034" s="23"/>
      <c r="K3034" s="27"/>
    </row>
    <row r="3035" spans="1:11" x14ac:dyDescent="0.25">
      <c r="A3035" s="75"/>
      <c r="B3035" s="69"/>
      <c r="C3035" s="71"/>
      <c r="E3035" s="22"/>
      <c r="F3035" s="22"/>
      <c r="G3035" s="31"/>
      <c r="J3035" s="23"/>
      <c r="K3035" s="27"/>
    </row>
    <row r="3036" spans="1:11" x14ac:dyDescent="0.25">
      <c r="A3036" s="75"/>
      <c r="B3036" s="69"/>
      <c r="C3036" s="71"/>
      <c r="E3036" s="22"/>
      <c r="F3036" s="22"/>
      <c r="G3036" s="31"/>
      <c r="J3036" s="23"/>
      <c r="K3036" s="27"/>
    </row>
    <row r="3037" spans="1:11" x14ac:dyDescent="0.25">
      <c r="A3037" s="75"/>
      <c r="B3037" s="69"/>
      <c r="C3037" s="71"/>
      <c r="E3037" s="22"/>
      <c r="F3037" s="22"/>
      <c r="G3037" s="31"/>
      <c r="J3037" s="23"/>
      <c r="K3037" s="27"/>
    </row>
    <row r="3038" spans="1:11" x14ac:dyDescent="0.25">
      <c r="A3038" s="75"/>
      <c r="B3038" s="69"/>
      <c r="C3038" s="71"/>
      <c r="E3038" s="22"/>
      <c r="F3038" s="22"/>
      <c r="G3038" s="31"/>
      <c r="J3038" s="23"/>
      <c r="K3038" s="27"/>
    </row>
    <row r="3039" spans="1:11" x14ac:dyDescent="0.25">
      <c r="A3039" s="75"/>
      <c r="B3039" s="69"/>
      <c r="C3039" s="71"/>
      <c r="E3039" s="22"/>
      <c r="F3039" s="22"/>
      <c r="G3039" s="31"/>
      <c r="J3039" s="23"/>
      <c r="K3039" s="27"/>
    </row>
    <row r="3040" spans="1:11" x14ac:dyDescent="0.25">
      <c r="A3040" s="75"/>
      <c r="B3040" s="69"/>
      <c r="C3040" s="71"/>
      <c r="E3040" s="22"/>
      <c r="F3040" s="22"/>
      <c r="G3040" s="31"/>
      <c r="J3040" s="23"/>
      <c r="K3040" s="27"/>
    </row>
    <row r="3041" spans="1:11" x14ac:dyDescent="0.25">
      <c r="A3041" s="75"/>
      <c r="B3041" s="69"/>
      <c r="C3041" s="71"/>
      <c r="E3041" s="22"/>
      <c r="F3041" s="22"/>
      <c r="G3041" s="31"/>
      <c r="J3041" s="23"/>
      <c r="K3041" s="27"/>
    </row>
    <row r="3042" spans="1:11" x14ac:dyDescent="0.25">
      <c r="A3042" s="75"/>
      <c r="B3042" s="69"/>
      <c r="C3042" s="71"/>
      <c r="E3042" s="22"/>
      <c r="F3042" s="22"/>
      <c r="G3042" s="31"/>
      <c r="J3042" s="23"/>
      <c r="K3042" s="27"/>
    </row>
    <row r="3043" spans="1:11" x14ac:dyDescent="0.25">
      <c r="A3043" s="75"/>
      <c r="B3043" s="69"/>
      <c r="C3043" s="71"/>
      <c r="E3043" s="22"/>
      <c r="F3043" s="22"/>
      <c r="G3043" s="31"/>
      <c r="J3043" s="23"/>
      <c r="K3043" s="27"/>
    </row>
    <row r="3044" spans="1:11" x14ac:dyDescent="0.25">
      <c r="A3044" s="75"/>
      <c r="B3044" s="69"/>
      <c r="C3044" s="71"/>
      <c r="E3044" s="22"/>
      <c r="F3044" s="22"/>
      <c r="G3044" s="31"/>
      <c r="J3044" s="23"/>
      <c r="K3044" s="27"/>
    </row>
    <row r="3045" spans="1:11" x14ac:dyDescent="0.25">
      <c r="A3045" s="75"/>
      <c r="B3045" s="69"/>
      <c r="C3045" s="71"/>
      <c r="E3045" s="22"/>
      <c r="F3045" s="22"/>
      <c r="G3045" s="31"/>
      <c r="J3045" s="23"/>
      <c r="K3045" s="27"/>
    </row>
    <row r="3046" spans="1:11" x14ac:dyDescent="0.25">
      <c r="A3046" s="75"/>
      <c r="B3046" s="69"/>
      <c r="C3046" s="71"/>
      <c r="E3046" s="22"/>
      <c r="F3046" s="22"/>
      <c r="G3046" s="31"/>
      <c r="J3046" s="23"/>
      <c r="K3046" s="27"/>
    </row>
    <row r="3047" spans="1:11" x14ac:dyDescent="0.25">
      <c r="A3047" s="75"/>
      <c r="B3047" s="69"/>
      <c r="C3047" s="71"/>
      <c r="E3047" s="22"/>
      <c r="F3047" s="22"/>
      <c r="G3047" s="31"/>
      <c r="J3047" s="23"/>
      <c r="K3047" s="27"/>
    </row>
    <row r="3048" spans="1:11" x14ac:dyDescent="0.25">
      <c r="A3048" s="75"/>
      <c r="B3048" s="69"/>
      <c r="C3048" s="71"/>
      <c r="E3048" s="22"/>
      <c r="F3048" s="22"/>
      <c r="G3048" s="31"/>
      <c r="J3048" s="23"/>
      <c r="K3048" s="27"/>
    </row>
    <row r="3049" spans="1:11" x14ac:dyDescent="0.25">
      <c r="A3049" s="75"/>
      <c r="B3049" s="69"/>
      <c r="C3049" s="71"/>
      <c r="E3049" s="22"/>
      <c r="F3049" s="22"/>
      <c r="G3049" s="31"/>
      <c r="J3049" s="23"/>
      <c r="K3049" s="27"/>
    </row>
    <row r="3050" spans="1:11" x14ac:dyDescent="0.25">
      <c r="A3050" s="75"/>
      <c r="B3050" s="69"/>
      <c r="C3050" s="71"/>
      <c r="E3050" s="22"/>
      <c r="F3050" s="22"/>
      <c r="G3050" s="31"/>
      <c r="J3050" s="23"/>
      <c r="K3050" s="27"/>
    </row>
    <row r="3051" spans="1:11" x14ac:dyDescent="0.25">
      <c r="A3051" s="75"/>
      <c r="B3051" s="69"/>
      <c r="C3051" s="71"/>
      <c r="E3051" s="22"/>
      <c r="F3051" s="22"/>
      <c r="G3051" s="31"/>
      <c r="J3051" s="23"/>
      <c r="K3051" s="27"/>
    </row>
    <row r="3052" spans="1:11" x14ac:dyDescent="0.25">
      <c r="A3052" s="75"/>
      <c r="B3052" s="69"/>
      <c r="C3052" s="71"/>
      <c r="E3052" s="22"/>
      <c r="F3052" s="22"/>
      <c r="G3052" s="31"/>
      <c r="J3052" s="23"/>
      <c r="K3052" s="27"/>
    </row>
    <row r="3053" spans="1:11" x14ac:dyDescent="0.25">
      <c r="A3053" s="75"/>
      <c r="B3053" s="69"/>
      <c r="C3053" s="71"/>
      <c r="E3053" s="22"/>
      <c r="F3053" s="22"/>
      <c r="G3053" s="31"/>
      <c r="J3053" s="23"/>
      <c r="K3053" s="27"/>
    </row>
    <row r="3054" spans="1:11" x14ac:dyDescent="0.25">
      <c r="A3054" s="75"/>
      <c r="B3054" s="69"/>
      <c r="C3054" s="71"/>
      <c r="E3054" s="22"/>
      <c r="F3054" s="22"/>
      <c r="G3054" s="31"/>
      <c r="J3054" s="23"/>
      <c r="K3054" s="27"/>
    </row>
    <row r="3055" spans="1:11" x14ac:dyDescent="0.25">
      <c r="A3055" s="75"/>
      <c r="B3055" s="69"/>
      <c r="C3055" s="71"/>
      <c r="E3055" s="22"/>
      <c r="F3055" s="22"/>
      <c r="G3055" s="31"/>
      <c r="J3055" s="23"/>
      <c r="K3055" s="27"/>
    </row>
    <row r="3056" spans="1:11" x14ac:dyDescent="0.25">
      <c r="A3056" s="75"/>
      <c r="B3056" s="69"/>
      <c r="C3056" s="71"/>
      <c r="E3056" s="22"/>
      <c r="F3056" s="22"/>
      <c r="G3056" s="31"/>
      <c r="J3056" s="23"/>
      <c r="K3056" s="27"/>
    </row>
    <row r="3057" spans="1:11" x14ac:dyDescent="0.25">
      <c r="A3057" s="75"/>
      <c r="B3057" s="69"/>
      <c r="C3057" s="71"/>
      <c r="E3057" s="22"/>
      <c r="F3057" s="22"/>
      <c r="G3057" s="31"/>
      <c r="J3057" s="23"/>
      <c r="K3057" s="27"/>
    </row>
    <row r="3058" spans="1:11" x14ac:dyDescent="0.25">
      <c r="A3058" s="75"/>
      <c r="B3058" s="69"/>
      <c r="C3058" s="71"/>
      <c r="E3058" s="22"/>
      <c r="F3058" s="22"/>
      <c r="G3058" s="31"/>
      <c r="J3058" s="23"/>
      <c r="K3058" s="27"/>
    </row>
    <row r="3059" spans="1:11" x14ac:dyDescent="0.25">
      <c r="A3059" s="75"/>
      <c r="B3059" s="69"/>
      <c r="C3059" s="71"/>
      <c r="E3059" s="22"/>
      <c r="F3059" s="22"/>
      <c r="G3059" s="31"/>
      <c r="J3059" s="23"/>
      <c r="K3059" s="27"/>
    </row>
    <row r="3060" spans="1:11" x14ac:dyDescent="0.25">
      <c r="A3060" s="75"/>
      <c r="B3060" s="69"/>
      <c r="C3060" s="71"/>
      <c r="E3060" s="22"/>
      <c r="F3060" s="22"/>
      <c r="G3060" s="31"/>
      <c r="J3060" s="23"/>
      <c r="K3060" s="27"/>
    </row>
    <row r="3061" spans="1:11" x14ac:dyDescent="0.25">
      <c r="A3061" s="75"/>
      <c r="B3061" s="69"/>
      <c r="C3061" s="71"/>
      <c r="E3061" s="22"/>
      <c r="F3061" s="22"/>
      <c r="G3061" s="31"/>
      <c r="J3061" s="23"/>
      <c r="K3061" s="27"/>
    </row>
    <row r="3062" spans="1:11" x14ac:dyDescent="0.25">
      <c r="A3062" s="75"/>
      <c r="B3062" s="69"/>
      <c r="C3062" s="71"/>
      <c r="E3062" s="22"/>
      <c r="F3062" s="22"/>
      <c r="G3062" s="31"/>
      <c r="J3062" s="23"/>
      <c r="K3062" s="27"/>
    </row>
    <row r="3063" spans="1:11" x14ac:dyDescent="0.25">
      <c r="A3063" s="75"/>
      <c r="B3063" s="69"/>
      <c r="C3063" s="71"/>
      <c r="E3063" s="22"/>
      <c r="F3063" s="22"/>
      <c r="G3063" s="31"/>
      <c r="J3063" s="23"/>
      <c r="K3063" s="27"/>
    </row>
    <row r="3064" spans="1:11" x14ac:dyDescent="0.25">
      <c r="A3064" s="75"/>
      <c r="B3064" s="69"/>
      <c r="C3064" s="71"/>
      <c r="E3064" s="22"/>
      <c r="F3064" s="22"/>
      <c r="G3064" s="31"/>
      <c r="J3064" s="23"/>
      <c r="K3064" s="27"/>
    </row>
    <row r="3065" spans="1:11" x14ac:dyDescent="0.25">
      <c r="A3065" s="75"/>
      <c r="B3065" s="69"/>
      <c r="C3065" s="71"/>
      <c r="E3065" s="22"/>
      <c r="F3065" s="22"/>
      <c r="G3065" s="31"/>
      <c r="J3065" s="23"/>
      <c r="K3065" s="27"/>
    </row>
    <row r="3066" spans="1:11" x14ac:dyDescent="0.25">
      <c r="A3066" s="75"/>
      <c r="B3066" s="69"/>
      <c r="C3066" s="71"/>
      <c r="E3066" s="22"/>
      <c r="F3066" s="22"/>
      <c r="G3066" s="31"/>
      <c r="J3066" s="23"/>
      <c r="K3066" s="27"/>
    </row>
    <row r="3067" spans="1:11" x14ac:dyDescent="0.25">
      <c r="A3067" s="75"/>
      <c r="B3067" s="69"/>
      <c r="C3067" s="71"/>
      <c r="E3067" s="22"/>
      <c r="F3067" s="22"/>
      <c r="G3067" s="31"/>
      <c r="J3067" s="23"/>
      <c r="K3067" s="27"/>
    </row>
    <row r="3068" spans="1:11" x14ac:dyDescent="0.25">
      <c r="A3068" s="75"/>
      <c r="B3068" s="69"/>
      <c r="C3068" s="71"/>
      <c r="E3068" s="22"/>
      <c r="F3068" s="22"/>
      <c r="G3068" s="31"/>
      <c r="J3068" s="23"/>
      <c r="K3068" s="27"/>
    </row>
    <row r="3069" spans="1:11" x14ac:dyDescent="0.25">
      <c r="A3069" s="75"/>
      <c r="B3069" s="69"/>
      <c r="C3069" s="71"/>
      <c r="E3069" s="22"/>
      <c r="F3069" s="22"/>
      <c r="G3069" s="31"/>
      <c r="J3069" s="23"/>
      <c r="K3069" s="27"/>
    </row>
    <row r="3070" spans="1:11" x14ac:dyDescent="0.25">
      <c r="A3070" s="75"/>
      <c r="B3070" s="69"/>
      <c r="C3070" s="71"/>
      <c r="E3070" s="22"/>
      <c r="F3070" s="22"/>
      <c r="G3070" s="31"/>
      <c r="J3070" s="23"/>
      <c r="K3070" s="27"/>
    </row>
    <row r="3071" spans="1:11" x14ac:dyDescent="0.25">
      <c r="A3071" s="75"/>
      <c r="B3071" s="69"/>
      <c r="C3071" s="71"/>
      <c r="E3071" s="22"/>
      <c r="F3071" s="22"/>
      <c r="G3071" s="31"/>
      <c r="J3071" s="23"/>
      <c r="K3071" s="27"/>
    </row>
    <row r="3072" spans="1:11" x14ac:dyDescent="0.25">
      <c r="A3072" s="75"/>
      <c r="B3072" s="69"/>
      <c r="C3072" s="71"/>
      <c r="E3072" s="22"/>
      <c r="F3072" s="22"/>
      <c r="G3072" s="31"/>
      <c r="J3072" s="23"/>
      <c r="K3072" s="27"/>
    </row>
    <row r="3073" spans="1:11" x14ac:dyDescent="0.25">
      <c r="A3073" s="75"/>
      <c r="B3073" s="69"/>
      <c r="C3073" s="71"/>
      <c r="E3073" s="22"/>
      <c r="F3073" s="22"/>
      <c r="G3073" s="31"/>
      <c r="J3073" s="23"/>
      <c r="K3073" s="27"/>
    </row>
    <row r="3074" spans="1:11" x14ac:dyDescent="0.25">
      <c r="A3074" s="75"/>
      <c r="B3074" s="69"/>
      <c r="C3074" s="71"/>
      <c r="E3074" s="22"/>
      <c r="F3074" s="22"/>
      <c r="G3074" s="31"/>
      <c r="J3074" s="23"/>
      <c r="K3074" s="27"/>
    </row>
    <row r="3075" spans="1:11" x14ac:dyDescent="0.25">
      <c r="A3075" s="75"/>
      <c r="B3075" s="69"/>
      <c r="C3075" s="71"/>
      <c r="E3075" s="22"/>
      <c r="F3075" s="22"/>
      <c r="G3075" s="31"/>
      <c r="J3075" s="23"/>
      <c r="K3075" s="27"/>
    </row>
    <row r="3076" spans="1:11" x14ac:dyDescent="0.25">
      <c r="A3076" s="75"/>
      <c r="B3076" s="69"/>
      <c r="C3076" s="71"/>
      <c r="E3076" s="22"/>
      <c r="F3076" s="22"/>
      <c r="G3076" s="31"/>
      <c r="J3076" s="23"/>
      <c r="K3076" s="27"/>
    </row>
    <row r="3077" spans="1:11" x14ac:dyDescent="0.25">
      <c r="A3077" s="75"/>
      <c r="B3077" s="69"/>
      <c r="C3077" s="71"/>
      <c r="E3077" s="22"/>
      <c r="F3077" s="22"/>
      <c r="G3077" s="31"/>
      <c r="J3077" s="23"/>
      <c r="K3077" s="27"/>
    </row>
    <row r="3078" spans="1:11" x14ac:dyDescent="0.25">
      <c r="A3078" s="75"/>
      <c r="B3078" s="69"/>
      <c r="C3078" s="71"/>
      <c r="E3078" s="22"/>
      <c r="F3078" s="22"/>
      <c r="G3078" s="31"/>
      <c r="J3078" s="23"/>
      <c r="K3078" s="27"/>
    </row>
    <row r="3079" spans="1:11" x14ac:dyDescent="0.25">
      <c r="A3079" s="75"/>
      <c r="B3079" s="69"/>
      <c r="C3079" s="71"/>
      <c r="E3079" s="22"/>
      <c r="F3079" s="22"/>
      <c r="G3079" s="31"/>
      <c r="J3079" s="23"/>
      <c r="K3079" s="27"/>
    </row>
    <row r="3080" spans="1:11" x14ac:dyDescent="0.25">
      <c r="A3080" s="75"/>
      <c r="B3080" s="69"/>
      <c r="C3080" s="71"/>
      <c r="E3080" s="22"/>
      <c r="F3080" s="22"/>
      <c r="G3080" s="31"/>
      <c r="J3080" s="23"/>
      <c r="K3080" s="27"/>
    </row>
    <row r="3081" spans="1:11" x14ac:dyDescent="0.25">
      <c r="A3081" s="75"/>
      <c r="B3081" s="69"/>
      <c r="C3081" s="71"/>
      <c r="E3081" s="22"/>
      <c r="F3081" s="22"/>
      <c r="G3081" s="31"/>
      <c r="J3081" s="23"/>
      <c r="K3081" s="27"/>
    </row>
    <row r="3082" spans="1:11" x14ac:dyDescent="0.25">
      <c r="A3082" s="75"/>
      <c r="B3082" s="69"/>
      <c r="C3082" s="71"/>
      <c r="E3082" s="22"/>
      <c r="F3082" s="22"/>
      <c r="G3082" s="31"/>
      <c r="J3082" s="23"/>
      <c r="K3082" s="27"/>
    </row>
    <row r="3083" spans="1:11" x14ac:dyDescent="0.25">
      <c r="A3083" s="75"/>
      <c r="B3083" s="69"/>
      <c r="C3083" s="71"/>
      <c r="E3083" s="22"/>
      <c r="F3083" s="22"/>
      <c r="G3083" s="31"/>
      <c r="J3083" s="23"/>
      <c r="K3083" s="27"/>
    </row>
    <row r="3084" spans="1:11" x14ac:dyDescent="0.25">
      <c r="A3084" s="75"/>
      <c r="B3084" s="69"/>
      <c r="C3084" s="71"/>
      <c r="E3084" s="22"/>
      <c r="F3084" s="22"/>
      <c r="G3084" s="31"/>
      <c r="J3084" s="23"/>
      <c r="K3084" s="27"/>
    </row>
    <row r="3085" spans="1:11" x14ac:dyDescent="0.25">
      <c r="A3085" s="75"/>
      <c r="B3085" s="69"/>
      <c r="C3085" s="71"/>
      <c r="E3085" s="22"/>
      <c r="F3085" s="22"/>
      <c r="G3085" s="31"/>
      <c r="J3085" s="23"/>
      <c r="K3085" s="27"/>
    </row>
    <row r="3086" spans="1:11" x14ac:dyDescent="0.25">
      <c r="A3086" s="75"/>
      <c r="B3086" s="69"/>
      <c r="C3086" s="71"/>
      <c r="E3086" s="22"/>
      <c r="F3086" s="22"/>
      <c r="G3086" s="31"/>
      <c r="J3086" s="23"/>
      <c r="K3086" s="27"/>
    </row>
    <row r="3087" spans="1:11" x14ac:dyDescent="0.25">
      <c r="A3087" s="75"/>
      <c r="B3087" s="69"/>
      <c r="C3087" s="71"/>
      <c r="E3087" s="22"/>
      <c r="F3087" s="22"/>
      <c r="G3087" s="31"/>
      <c r="J3087" s="23"/>
      <c r="K3087" s="27"/>
    </row>
    <row r="3088" spans="1:11" x14ac:dyDescent="0.25">
      <c r="A3088" s="75"/>
      <c r="B3088" s="69"/>
      <c r="C3088" s="71"/>
      <c r="E3088" s="22"/>
      <c r="F3088" s="22"/>
      <c r="G3088" s="31"/>
      <c r="J3088" s="23"/>
      <c r="K3088" s="27"/>
    </row>
    <row r="3089" spans="1:11" x14ac:dyDescent="0.25">
      <c r="A3089" s="75"/>
      <c r="B3089" s="69"/>
      <c r="C3089" s="71"/>
      <c r="E3089" s="22"/>
      <c r="F3089" s="22"/>
      <c r="G3089" s="31"/>
      <c r="J3089" s="23"/>
      <c r="K3089" s="27"/>
    </row>
    <row r="3090" spans="1:11" x14ac:dyDescent="0.25">
      <c r="A3090" s="75"/>
      <c r="B3090" s="69"/>
      <c r="C3090" s="71"/>
      <c r="E3090" s="22"/>
      <c r="F3090" s="22"/>
      <c r="G3090" s="31"/>
      <c r="J3090" s="23"/>
      <c r="K3090" s="27"/>
    </row>
    <row r="3091" spans="1:11" x14ac:dyDescent="0.25">
      <c r="A3091" s="75"/>
      <c r="B3091" s="69"/>
      <c r="C3091" s="71"/>
      <c r="E3091" s="22"/>
      <c r="F3091" s="22"/>
      <c r="G3091" s="31"/>
      <c r="J3091" s="23"/>
      <c r="K3091" s="27"/>
    </row>
    <row r="3092" spans="1:11" x14ac:dyDescent="0.25">
      <c r="A3092" s="75"/>
      <c r="B3092" s="69"/>
      <c r="C3092" s="71"/>
      <c r="E3092" s="22"/>
      <c r="F3092" s="22"/>
      <c r="G3092" s="31"/>
      <c r="J3092" s="23"/>
      <c r="K3092" s="27"/>
    </row>
    <row r="3093" spans="1:11" x14ac:dyDescent="0.25">
      <c r="A3093" s="75"/>
      <c r="B3093" s="69"/>
      <c r="C3093" s="71"/>
      <c r="E3093" s="22"/>
      <c r="F3093" s="22"/>
      <c r="G3093" s="31"/>
      <c r="J3093" s="23"/>
      <c r="K3093" s="27"/>
    </row>
    <row r="3094" spans="1:11" x14ac:dyDescent="0.25">
      <c r="A3094" s="75"/>
      <c r="B3094" s="69"/>
      <c r="C3094" s="71"/>
      <c r="E3094" s="22"/>
      <c r="F3094" s="22"/>
      <c r="G3094" s="31"/>
      <c r="J3094" s="23"/>
      <c r="K3094" s="27"/>
    </row>
    <row r="3095" spans="1:11" x14ac:dyDescent="0.25">
      <c r="A3095" s="75"/>
      <c r="B3095" s="69"/>
      <c r="C3095" s="71"/>
      <c r="E3095" s="22"/>
      <c r="F3095" s="22"/>
      <c r="G3095" s="31"/>
      <c r="J3095" s="23"/>
      <c r="K3095" s="27"/>
    </row>
    <row r="3096" spans="1:11" x14ac:dyDescent="0.25">
      <c r="A3096" s="75"/>
      <c r="B3096" s="69"/>
      <c r="C3096" s="71"/>
      <c r="E3096" s="22"/>
      <c r="F3096" s="22"/>
      <c r="G3096" s="31"/>
      <c r="J3096" s="23"/>
      <c r="K3096" s="27"/>
    </row>
    <row r="3097" spans="1:11" x14ac:dyDescent="0.25">
      <c r="A3097" s="75"/>
      <c r="B3097" s="69"/>
      <c r="C3097" s="71"/>
      <c r="E3097" s="22"/>
      <c r="F3097" s="22"/>
      <c r="G3097" s="31"/>
      <c r="J3097" s="23"/>
      <c r="K3097" s="27"/>
    </row>
    <row r="3098" spans="1:11" x14ac:dyDescent="0.25">
      <c r="A3098" s="75"/>
      <c r="B3098" s="69"/>
      <c r="C3098" s="71"/>
      <c r="E3098" s="22"/>
      <c r="F3098" s="22"/>
      <c r="G3098" s="31"/>
      <c r="J3098" s="23"/>
      <c r="K3098" s="27"/>
    </row>
    <row r="3099" spans="1:11" x14ac:dyDescent="0.25">
      <c r="A3099" s="75"/>
      <c r="B3099" s="69"/>
      <c r="C3099" s="71"/>
      <c r="E3099" s="22"/>
      <c r="F3099" s="22"/>
      <c r="G3099" s="31"/>
      <c r="J3099" s="23"/>
      <c r="K3099" s="27"/>
    </row>
    <row r="3100" spans="1:11" x14ac:dyDescent="0.25">
      <c r="A3100" s="75"/>
      <c r="B3100" s="69"/>
      <c r="C3100" s="71"/>
      <c r="E3100" s="22"/>
      <c r="F3100" s="22"/>
      <c r="G3100" s="31"/>
      <c r="J3100" s="23"/>
      <c r="K3100" s="27"/>
    </row>
    <row r="3101" spans="1:11" x14ac:dyDescent="0.25">
      <c r="A3101" s="75"/>
      <c r="B3101" s="69"/>
      <c r="C3101" s="71"/>
      <c r="E3101" s="22"/>
      <c r="F3101" s="22"/>
      <c r="G3101" s="31"/>
      <c r="J3101" s="23"/>
      <c r="K3101" s="27"/>
    </row>
    <row r="3102" spans="1:11" x14ac:dyDescent="0.25">
      <c r="A3102" s="75"/>
      <c r="B3102" s="69"/>
      <c r="C3102" s="71"/>
      <c r="E3102" s="22"/>
      <c r="F3102" s="22"/>
      <c r="G3102" s="31"/>
      <c r="J3102" s="23"/>
      <c r="K3102" s="27"/>
    </row>
    <row r="3103" spans="1:11" x14ac:dyDescent="0.25">
      <c r="A3103" s="75"/>
      <c r="B3103" s="69"/>
      <c r="C3103" s="71"/>
      <c r="E3103" s="22"/>
      <c r="F3103" s="22"/>
      <c r="G3103" s="31"/>
      <c r="J3103" s="23"/>
      <c r="K3103" s="27"/>
    </row>
    <row r="3104" spans="1:11" x14ac:dyDescent="0.25">
      <c r="A3104" s="75"/>
      <c r="B3104" s="69"/>
      <c r="C3104" s="71"/>
      <c r="E3104" s="22"/>
      <c r="F3104" s="22"/>
      <c r="G3104" s="31"/>
      <c r="J3104" s="23"/>
      <c r="K3104" s="27"/>
    </row>
    <row r="3105" spans="1:11" x14ac:dyDescent="0.25">
      <c r="A3105" s="75"/>
      <c r="B3105" s="69"/>
      <c r="C3105" s="71"/>
      <c r="E3105" s="22"/>
      <c r="F3105" s="22"/>
      <c r="G3105" s="31"/>
      <c r="J3105" s="23"/>
      <c r="K3105" s="27"/>
    </row>
    <row r="3106" spans="1:11" x14ac:dyDescent="0.25">
      <c r="A3106" s="75"/>
      <c r="B3106" s="69"/>
      <c r="C3106" s="71"/>
      <c r="E3106" s="22"/>
      <c r="F3106" s="22"/>
      <c r="G3106" s="31"/>
      <c r="J3106" s="23"/>
      <c r="K3106" s="27"/>
    </row>
    <row r="3107" spans="1:11" x14ac:dyDescent="0.25">
      <c r="A3107" s="75"/>
      <c r="B3107" s="69"/>
      <c r="C3107" s="71"/>
      <c r="E3107" s="22"/>
      <c r="F3107" s="22"/>
      <c r="G3107" s="31"/>
      <c r="J3107" s="23"/>
      <c r="K3107" s="27"/>
    </row>
    <row r="3108" spans="1:11" x14ac:dyDescent="0.25">
      <c r="A3108" s="75"/>
      <c r="B3108" s="69"/>
      <c r="C3108" s="71"/>
      <c r="E3108" s="22"/>
      <c r="F3108" s="22"/>
      <c r="G3108" s="31"/>
      <c r="J3108" s="23"/>
      <c r="K3108" s="27"/>
    </row>
    <row r="3109" spans="1:11" x14ac:dyDescent="0.25">
      <c r="A3109" s="75"/>
      <c r="B3109" s="69"/>
      <c r="C3109" s="71"/>
      <c r="E3109" s="22"/>
      <c r="F3109" s="22"/>
      <c r="G3109" s="31"/>
      <c r="J3109" s="23"/>
      <c r="K3109" s="27"/>
    </row>
    <row r="3110" spans="1:11" x14ac:dyDescent="0.25">
      <c r="A3110" s="75"/>
      <c r="B3110" s="69"/>
      <c r="C3110" s="71"/>
      <c r="E3110" s="22"/>
      <c r="F3110" s="22"/>
      <c r="G3110" s="31"/>
      <c r="J3110" s="23"/>
      <c r="K3110" s="27"/>
    </row>
    <row r="3111" spans="1:11" x14ac:dyDescent="0.25">
      <c r="A3111" s="75"/>
      <c r="B3111" s="69"/>
      <c r="C3111" s="71"/>
      <c r="E3111" s="22"/>
      <c r="F3111" s="22"/>
      <c r="G3111" s="31"/>
      <c r="J3111" s="23"/>
      <c r="K3111" s="27"/>
    </row>
    <row r="3112" spans="1:11" x14ac:dyDescent="0.25">
      <c r="A3112" s="75"/>
      <c r="B3112" s="69"/>
      <c r="C3112" s="71"/>
      <c r="E3112" s="22"/>
      <c r="F3112" s="22"/>
      <c r="G3112" s="31"/>
      <c r="J3112" s="23"/>
      <c r="K3112" s="27"/>
    </row>
    <row r="3113" spans="1:11" x14ac:dyDescent="0.25">
      <c r="A3113" s="75"/>
      <c r="B3113" s="69"/>
      <c r="C3113" s="71"/>
      <c r="E3113" s="22"/>
      <c r="F3113" s="22"/>
      <c r="G3113" s="31"/>
      <c r="J3113" s="23"/>
      <c r="K3113" s="27"/>
    </row>
    <row r="3114" spans="1:11" x14ac:dyDescent="0.25">
      <c r="A3114" s="75"/>
      <c r="B3114" s="69"/>
      <c r="C3114" s="71"/>
      <c r="E3114" s="22"/>
      <c r="F3114" s="22"/>
      <c r="G3114" s="31"/>
      <c r="J3114" s="23"/>
      <c r="K3114" s="27"/>
    </row>
    <row r="3115" spans="1:11" x14ac:dyDescent="0.25">
      <c r="A3115" s="75"/>
      <c r="B3115" s="69"/>
      <c r="C3115" s="71"/>
      <c r="E3115" s="22"/>
      <c r="F3115" s="22"/>
      <c r="G3115" s="31"/>
      <c r="J3115" s="23"/>
      <c r="K3115" s="27"/>
    </row>
    <row r="3116" spans="1:11" x14ac:dyDescent="0.25">
      <c r="A3116" s="75"/>
      <c r="B3116" s="69"/>
      <c r="C3116" s="71"/>
      <c r="E3116" s="22"/>
      <c r="F3116" s="22"/>
      <c r="G3116" s="31"/>
      <c r="J3116" s="23"/>
      <c r="K3116" s="27"/>
    </row>
    <row r="3117" spans="1:11" x14ac:dyDescent="0.25">
      <c r="A3117" s="75"/>
      <c r="B3117" s="69"/>
      <c r="C3117" s="71"/>
      <c r="E3117" s="22"/>
      <c r="F3117" s="22"/>
      <c r="G3117" s="31"/>
      <c r="J3117" s="23"/>
      <c r="K3117" s="27"/>
    </row>
    <row r="3118" spans="1:11" x14ac:dyDescent="0.25">
      <c r="A3118" s="75"/>
      <c r="B3118" s="69"/>
      <c r="C3118" s="71"/>
      <c r="E3118" s="22"/>
      <c r="F3118" s="22"/>
      <c r="G3118" s="31"/>
      <c r="J3118" s="23"/>
      <c r="K3118" s="27"/>
    </row>
    <row r="3119" spans="1:11" x14ac:dyDescent="0.25">
      <c r="A3119" s="75"/>
      <c r="B3119" s="69"/>
      <c r="C3119" s="71"/>
      <c r="E3119" s="22"/>
      <c r="F3119" s="22"/>
      <c r="G3119" s="31"/>
      <c r="J3119" s="23"/>
      <c r="K3119" s="27"/>
    </row>
    <row r="3120" spans="1:11" x14ac:dyDescent="0.25">
      <c r="A3120" s="75"/>
      <c r="B3120" s="69"/>
      <c r="C3120" s="71"/>
      <c r="E3120" s="22"/>
      <c r="F3120" s="22"/>
      <c r="G3120" s="31"/>
      <c r="J3120" s="23"/>
      <c r="K3120" s="27"/>
    </row>
    <row r="3121" spans="1:11" x14ac:dyDescent="0.25">
      <c r="A3121" s="75"/>
      <c r="B3121" s="69"/>
      <c r="C3121" s="71"/>
      <c r="E3121" s="22"/>
      <c r="F3121" s="22"/>
      <c r="G3121" s="31"/>
      <c r="J3121" s="23"/>
      <c r="K3121" s="27"/>
    </row>
    <row r="3122" spans="1:11" x14ac:dyDescent="0.25">
      <c r="A3122" s="75"/>
      <c r="B3122" s="69"/>
      <c r="C3122" s="71"/>
      <c r="E3122" s="22"/>
      <c r="F3122" s="22"/>
      <c r="G3122" s="31"/>
      <c r="J3122" s="23"/>
      <c r="K3122" s="27"/>
    </row>
    <row r="3123" spans="1:11" x14ac:dyDescent="0.25">
      <c r="A3123" s="75"/>
      <c r="B3123" s="69"/>
      <c r="C3123" s="71"/>
      <c r="E3123" s="22"/>
      <c r="F3123" s="22"/>
      <c r="G3123" s="31"/>
      <c r="J3123" s="23"/>
      <c r="K3123" s="27"/>
    </row>
    <row r="3124" spans="1:11" x14ac:dyDescent="0.25">
      <c r="A3124" s="75"/>
      <c r="B3124" s="69"/>
      <c r="C3124" s="71"/>
      <c r="E3124" s="22"/>
      <c r="F3124" s="22"/>
      <c r="G3124" s="31"/>
      <c r="J3124" s="23"/>
      <c r="K3124" s="27"/>
    </row>
    <row r="3125" spans="1:11" x14ac:dyDescent="0.25">
      <c r="A3125" s="75"/>
      <c r="B3125" s="69"/>
      <c r="C3125" s="71"/>
      <c r="E3125" s="22"/>
      <c r="F3125" s="22"/>
      <c r="G3125" s="31"/>
      <c r="J3125" s="23"/>
      <c r="K3125" s="27"/>
    </row>
    <row r="3126" spans="1:11" x14ac:dyDescent="0.25">
      <c r="A3126" s="75"/>
      <c r="B3126" s="69"/>
      <c r="C3126" s="71"/>
      <c r="E3126" s="22"/>
      <c r="F3126" s="22"/>
      <c r="G3126" s="31"/>
      <c r="J3126" s="23"/>
      <c r="K3126" s="27"/>
    </row>
    <row r="3127" spans="1:11" x14ac:dyDescent="0.25">
      <c r="A3127" s="75"/>
      <c r="B3127" s="69"/>
      <c r="C3127" s="71"/>
      <c r="E3127" s="22"/>
      <c r="F3127" s="22"/>
      <c r="G3127" s="31"/>
      <c r="J3127" s="23"/>
      <c r="K3127" s="27"/>
    </row>
    <row r="3128" spans="1:11" x14ac:dyDescent="0.25">
      <c r="A3128" s="75"/>
      <c r="B3128" s="69"/>
      <c r="C3128" s="71"/>
      <c r="E3128" s="22"/>
      <c r="F3128" s="22"/>
      <c r="G3128" s="31"/>
      <c r="J3128" s="23"/>
      <c r="K3128" s="27"/>
    </row>
    <row r="3129" spans="1:11" x14ac:dyDescent="0.25">
      <c r="A3129" s="75"/>
      <c r="B3129" s="69"/>
      <c r="C3129" s="71"/>
      <c r="E3129" s="22"/>
      <c r="F3129" s="22"/>
      <c r="G3129" s="31"/>
      <c r="J3129" s="23"/>
      <c r="K3129" s="27"/>
    </row>
    <row r="3130" spans="1:11" x14ac:dyDescent="0.25">
      <c r="A3130" s="75"/>
      <c r="B3130" s="69"/>
      <c r="C3130" s="71"/>
      <c r="E3130" s="22"/>
      <c r="F3130" s="22"/>
      <c r="G3130" s="31"/>
      <c r="J3130" s="23"/>
      <c r="K3130" s="27"/>
    </row>
    <row r="3131" spans="1:11" x14ac:dyDescent="0.25">
      <c r="A3131" s="75"/>
      <c r="B3131" s="69"/>
      <c r="C3131" s="71"/>
      <c r="E3131" s="22"/>
      <c r="F3131" s="22"/>
      <c r="G3131" s="31"/>
      <c r="J3131" s="23"/>
      <c r="K3131" s="27"/>
    </row>
    <row r="3132" spans="1:11" x14ac:dyDescent="0.25">
      <c r="A3132" s="75"/>
      <c r="B3132" s="69"/>
      <c r="C3132" s="71"/>
      <c r="E3132" s="22"/>
      <c r="F3132" s="22"/>
      <c r="G3132" s="31"/>
      <c r="J3132" s="23"/>
      <c r="K3132" s="27"/>
    </row>
    <row r="3133" spans="1:11" x14ac:dyDescent="0.25">
      <c r="A3133" s="75"/>
      <c r="B3133" s="69"/>
      <c r="C3133" s="71"/>
      <c r="E3133" s="22"/>
      <c r="F3133" s="22"/>
      <c r="G3133" s="31"/>
      <c r="J3133" s="23"/>
      <c r="K3133" s="27"/>
    </row>
    <row r="3134" spans="1:11" x14ac:dyDescent="0.25">
      <c r="A3134" s="75"/>
      <c r="B3134" s="69"/>
      <c r="C3134" s="71"/>
      <c r="E3134" s="22"/>
      <c r="F3134" s="22"/>
      <c r="G3134" s="31"/>
      <c r="J3134" s="23"/>
      <c r="K3134" s="27"/>
    </row>
    <row r="3135" spans="1:11" x14ac:dyDescent="0.25">
      <c r="A3135" s="75"/>
      <c r="B3135" s="69"/>
      <c r="C3135" s="71"/>
      <c r="E3135" s="22"/>
      <c r="F3135" s="22"/>
      <c r="G3135" s="31"/>
      <c r="J3135" s="23"/>
      <c r="K3135" s="27"/>
    </row>
    <row r="3136" spans="1:11" x14ac:dyDescent="0.25">
      <c r="A3136" s="75"/>
      <c r="B3136" s="69"/>
      <c r="C3136" s="71"/>
      <c r="E3136" s="22"/>
      <c r="F3136" s="22"/>
      <c r="G3136" s="31"/>
      <c r="J3136" s="23"/>
      <c r="K3136" s="27"/>
    </row>
    <row r="3137" spans="1:11" x14ac:dyDescent="0.25">
      <c r="A3137" s="75"/>
      <c r="B3137" s="69"/>
      <c r="C3137" s="71"/>
      <c r="E3137" s="22"/>
      <c r="F3137" s="22"/>
      <c r="G3137" s="31"/>
      <c r="J3137" s="23"/>
      <c r="K3137" s="27"/>
    </row>
    <row r="3138" spans="1:11" x14ac:dyDescent="0.25">
      <c r="A3138" s="75"/>
      <c r="B3138" s="69"/>
      <c r="C3138" s="71"/>
      <c r="E3138" s="22"/>
      <c r="F3138" s="22"/>
      <c r="G3138" s="31"/>
      <c r="J3138" s="23"/>
      <c r="K3138" s="27"/>
    </row>
    <row r="3139" spans="1:11" x14ac:dyDescent="0.25">
      <c r="A3139" s="75"/>
      <c r="B3139" s="69"/>
      <c r="C3139" s="71"/>
      <c r="E3139" s="22"/>
      <c r="F3139" s="22"/>
      <c r="G3139" s="31"/>
      <c r="J3139" s="23"/>
      <c r="K3139" s="27"/>
    </row>
    <row r="3140" spans="1:11" x14ac:dyDescent="0.25">
      <c r="A3140" s="75"/>
      <c r="B3140" s="69"/>
      <c r="C3140" s="71"/>
      <c r="E3140" s="22"/>
      <c r="F3140" s="22"/>
      <c r="G3140" s="31"/>
      <c r="J3140" s="23"/>
      <c r="K3140" s="27"/>
    </row>
    <row r="3141" spans="1:11" x14ac:dyDescent="0.25">
      <c r="A3141" s="75"/>
      <c r="B3141" s="69"/>
      <c r="C3141" s="71"/>
      <c r="E3141" s="22"/>
      <c r="F3141" s="22"/>
      <c r="G3141" s="31"/>
      <c r="J3141" s="23"/>
      <c r="K3141" s="27"/>
    </row>
    <row r="3142" spans="1:11" x14ac:dyDescent="0.25">
      <c r="A3142" s="75"/>
      <c r="B3142" s="69"/>
      <c r="C3142" s="71"/>
      <c r="E3142" s="22"/>
      <c r="F3142" s="22"/>
      <c r="G3142" s="31"/>
      <c r="J3142" s="23"/>
      <c r="K3142" s="27"/>
    </row>
    <row r="3143" spans="1:11" x14ac:dyDescent="0.25">
      <c r="A3143" s="75"/>
      <c r="B3143" s="69"/>
      <c r="C3143" s="71"/>
      <c r="E3143" s="22"/>
      <c r="F3143" s="22"/>
      <c r="G3143" s="31"/>
      <c r="J3143" s="23"/>
      <c r="K3143" s="27"/>
    </row>
    <row r="3144" spans="1:11" x14ac:dyDescent="0.25">
      <c r="A3144" s="75"/>
      <c r="B3144" s="69"/>
      <c r="C3144" s="71"/>
      <c r="E3144" s="22"/>
      <c r="F3144" s="22"/>
      <c r="G3144" s="31"/>
      <c r="J3144" s="23"/>
      <c r="K3144" s="27"/>
    </row>
    <row r="3145" spans="1:11" x14ac:dyDescent="0.25">
      <c r="A3145" s="75"/>
      <c r="B3145" s="69"/>
      <c r="C3145" s="71"/>
      <c r="E3145" s="22"/>
      <c r="F3145" s="22"/>
      <c r="G3145" s="31"/>
      <c r="J3145" s="23"/>
      <c r="K3145" s="27"/>
    </row>
    <row r="3146" spans="1:11" x14ac:dyDescent="0.25">
      <c r="A3146" s="75"/>
      <c r="B3146" s="69"/>
      <c r="C3146" s="71"/>
      <c r="E3146" s="22"/>
      <c r="F3146" s="22"/>
      <c r="G3146" s="31"/>
      <c r="J3146" s="23"/>
      <c r="K3146" s="27"/>
    </row>
    <row r="3147" spans="1:11" x14ac:dyDescent="0.25">
      <c r="A3147" s="75"/>
      <c r="B3147" s="69"/>
      <c r="C3147" s="71"/>
      <c r="E3147" s="22"/>
      <c r="F3147" s="22"/>
      <c r="G3147" s="31"/>
      <c r="J3147" s="23"/>
      <c r="K3147" s="27"/>
    </row>
    <row r="3148" spans="1:11" x14ac:dyDescent="0.25">
      <c r="A3148" s="75"/>
      <c r="B3148" s="69"/>
      <c r="C3148" s="71"/>
      <c r="E3148" s="22"/>
      <c r="F3148" s="22"/>
      <c r="G3148" s="31"/>
      <c r="J3148" s="23"/>
      <c r="K3148" s="27"/>
    </row>
    <row r="3149" spans="1:11" x14ac:dyDescent="0.25">
      <c r="A3149" s="75"/>
      <c r="B3149" s="69"/>
      <c r="C3149" s="71"/>
      <c r="E3149" s="22"/>
      <c r="F3149" s="22"/>
      <c r="G3149" s="31"/>
      <c r="J3149" s="23"/>
      <c r="K3149" s="27"/>
    </row>
    <row r="3150" spans="1:11" x14ac:dyDescent="0.25">
      <c r="A3150" s="75"/>
      <c r="B3150" s="69"/>
      <c r="C3150" s="71"/>
      <c r="E3150" s="22"/>
      <c r="F3150" s="22"/>
      <c r="G3150" s="31"/>
      <c r="J3150" s="23"/>
      <c r="K3150" s="27"/>
    </row>
    <row r="3151" spans="1:11" x14ac:dyDescent="0.25">
      <c r="A3151" s="75"/>
      <c r="B3151" s="69"/>
      <c r="C3151" s="71"/>
      <c r="E3151" s="22"/>
      <c r="F3151" s="22"/>
      <c r="G3151" s="31"/>
      <c r="J3151" s="23"/>
      <c r="K3151" s="27"/>
    </row>
    <row r="3152" spans="1:11" x14ac:dyDescent="0.25">
      <c r="A3152" s="75"/>
      <c r="B3152" s="69"/>
      <c r="C3152" s="71"/>
      <c r="E3152" s="22"/>
      <c r="F3152" s="22"/>
      <c r="G3152" s="31"/>
      <c r="J3152" s="23"/>
      <c r="K3152" s="27"/>
    </row>
    <row r="3153" spans="1:11" x14ac:dyDescent="0.25">
      <c r="A3153" s="75"/>
      <c r="B3153" s="69"/>
      <c r="C3153" s="71"/>
      <c r="E3153" s="22"/>
      <c r="F3153" s="22"/>
      <c r="G3153" s="31"/>
      <c r="J3153" s="23"/>
      <c r="K3153" s="27"/>
    </row>
    <row r="3154" spans="1:11" x14ac:dyDescent="0.25">
      <c r="A3154" s="75"/>
      <c r="B3154" s="69"/>
      <c r="C3154" s="71"/>
      <c r="E3154" s="22"/>
      <c r="F3154" s="22"/>
      <c r="G3154" s="31"/>
      <c r="J3154" s="23"/>
      <c r="K3154" s="27"/>
    </row>
    <row r="3155" spans="1:11" x14ac:dyDescent="0.25">
      <c r="A3155" s="75"/>
      <c r="B3155" s="69"/>
      <c r="C3155" s="71"/>
      <c r="E3155" s="22"/>
      <c r="F3155" s="22"/>
      <c r="G3155" s="31"/>
      <c r="J3155" s="23"/>
      <c r="K3155" s="27"/>
    </row>
    <row r="3156" spans="1:11" x14ac:dyDescent="0.25">
      <c r="A3156" s="75"/>
      <c r="B3156" s="69"/>
      <c r="C3156" s="71"/>
      <c r="E3156" s="22"/>
      <c r="F3156" s="22"/>
      <c r="G3156" s="31"/>
      <c r="J3156" s="23"/>
      <c r="K3156" s="27"/>
    </row>
    <row r="3157" spans="1:11" x14ac:dyDescent="0.25">
      <c r="A3157" s="75"/>
      <c r="B3157" s="69"/>
      <c r="C3157" s="71"/>
      <c r="E3157" s="22"/>
      <c r="F3157" s="22"/>
      <c r="G3157" s="31"/>
      <c r="J3157" s="23"/>
      <c r="K3157" s="27"/>
    </row>
    <row r="3158" spans="1:11" x14ac:dyDescent="0.25">
      <c r="A3158" s="75"/>
      <c r="B3158" s="69"/>
      <c r="C3158" s="71"/>
      <c r="E3158" s="22"/>
      <c r="F3158" s="22"/>
      <c r="G3158" s="31"/>
      <c r="J3158" s="23"/>
      <c r="K3158" s="27"/>
    </row>
    <row r="3159" spans="1:11" x14ac:dyDescent="0.25">
      <c r="A3159" s="75"/>
      <c r="B3159" s="69"/>
      <c r="C3159" s="71"/>
      <c r="E3159" s="22"/>
      <c r="F3159" s="22"/>
      <c r="G3159" s="31"/>
      <c r="J3159" s="23"/>
      <c r="K3159" s="27"/>
    </row>
    <row r="3160" spans="1:11" x14ac:dyDescent="0.25">
      <c r="A3160" s="75"/>
      <c r="B3160" s="69"/>
      <c r="C3160" s="71"/>
      <c r="E3160" s="22"/>
      <c r="F3160" s="22"/>
      <c r="G3160" s="31"/>
      <c r="J3160" s="23"/>
      <c r="K3160" s="27"/>
    </row>
    <row r="3161" spans="1:11" x14ac:dyDescent="0.25">
      <c r="A3161" s="75"/>
      <c r="B3161" s="69"/>
      <c r="C3161" s="71"/>
      <c r="E3161" s="22"/>
      <c r="F3161" s="22"/>
      <c r="G3161" s="31"/>
      <c r="J3161" s="23"/>
      <c r="K3161" s="27"/>
    </row>
    <row r="3162" spans="1:11" x14ac:dyDescent="0.25">
      <c r="A3162" s="75"/>
      <c r="B3162" s="69"/>
      <c r="C3162" s="71"/>
      <c r="E3162" s="22"/>
      <c r="F3162" s="22"/>
      <c r="G3162" s="31"/>
      <c r="J3162" s="23"/>
      <c r="K3162" s="27"/>
    </row>
    <row r="3163" spans="1:11" x14ac:dyDescent="0.25">
      <c r="A3163" s="75"/>
      <c r="B3163" s="69"/>
      <c r="C3163" s="71"/>
      <c r="E3163" s="22"/>
      <c r="F3163" s="22"/>
      <c r="G3163" s="31"/>
      <c r="J3163" s="23"/>
      <c r="K3163" s="27"/>
    </row>
    <row r="3164" spans="1:11" x14ac:dyDescent="0.25">
      <c r="A3164" s="75"/>
      <c r="B3164" s="69"/>
      <c r="C3164" s="71"/>
      <c r="E3164" s="22"/>
      <c r="F3164" s="22"/>
      <c r="G3164" s="31"/>
      <c r="J3164" s="23"/>
      <c r="K3164" s="27"/>
    </row>
    <row r="3165" spans="1:11" x14ac:dyDescent="0.25">
      <c r="A3165" s="75"/>
      <c r="B3165" s="69"/>
      <c r="C3165" s="71"/>
      <c r="E3165" s="22"/>
      <c r="F3165" s="22"/>
      <c r="G3165" s="31"/>
      <c r="J3165" s="23"/>
      <c r="K3165" s="27"/>
    </row>
    <row r="3166" spans="1:11" x14ac:dyDescent="0.25">
      <c r="A3166" s="75"/>
      <c r="B3166" s="69"/>
      <c r="C3166" s="71"/>
      <c r="E3166" s="22"/>
      <c r="F3166" s="22"/>
      <c r="G3166" s="31"/>
      <c r="J3166" s="23"/>
      <c r="K3166" s="27"/>
    </row>
    <row r="3167" spans="1:11" x14ac:dyDescent="0.25">
      <c r="A3167" s="75"/>
      <c r="B3167" s="69"/>
      <c r="C3167" s="71"/>
      <c r="E3167" s="22"/>
      <c r="F3167" s="22"/>
      <c r="G3167" s="31"/>
      <c r="J3167" s="23"/>
      <c r="K3167" s="27"/>
    </row>
    <row r="3168" spans="1:11" x14ac:dyDescent="0.25">
      <c r="A3168" s="75"/>
      <c r="B3168" s="69"/>
      <c r="C3168" s="71"/>
      <c r="E3168" s="22"/>
      <c r="F3168" s="22"/>
      <c r="G3168" s="31"/>
      <c r="J3168" s="23"/>
      <c r="K3168" s="27"/>
    </row>
    <row r="3169" spans="1:11" x14ac:dyDescent="0.25">
      <c r="A3169" s="75"/>
      <c r="B3169" s="69"/>
      <c r="C3169" s="71"/>
      <c r="E3169" s="22"/>
      <c r="F3169" s="22"/>
      <c r="G3169" s="31"/>
      <c r="J3169" s="23"/>
      <c r="K3169" s="27"/>
    </row>
    <row r="3170" spans="1:11" x14ac:dyDescent="0.25">
      <c r="A3170" s="75"/>
      <c r="B3170" s="69"/>
      <c r="C3170" s="71"/>
      <c r="E3170" s="22"/>
      <c r="F3170" s="22"/>
      <c r="G3170" s="31"/>
      <c r="J3170" s="23"/>
      <c r="K3170" s="27"/>
    </row>
    <row r="3171" spans="1:11" x14ac:dyDescent="0.25">
      <c r="A3171" s="75"/>
      <c r="B3171" s="69"/>
      <c r="C3171" s="71"/>
      <c r="E3171" s="22"/>
      <c r="F3171" s="22"/>
      <c r="G3171" s="31"/>
      <c r="J3171" s="23"/>
      <c r="K3171" s="27"/>
    </row>
    <row r="3172" spans="1:11" x14ac:dyDescent="0.25">
      <c r="A3172" s="75"/>
      <c r="B3172" s="69"/>
      <c r="C3172" s="71"/>
      <c r="E3172" s="22"/>
      <c r="F3172" s="22"/>
      <c r="G3172" s="31"/>
      <c r="J3172" s="23"/>
      <c r="K3172" s="27"/>
    </row>
    <row r="3173" spans="1:11" x14ac:dyDescent="0.25">
      <c r="A3173" s="75"/>
      <c r="B3173" s="69"/>
      <c r="C3173" s="71"/>
      <c r="E3173" s="22"/>
      <c r="F3173" s="22"/>
      <c r="G3173" s="31"/>
      <c r="J3173" s="23"/>
      <c r="K3173" s="27"/>
    </row>
    <row r="3174" spans="1:11" x14ac:dyDescent="0.25">
      <c r="A3174" s="75"/>
      <c r="B3174" s="69"/>
      <c r="C3174" s="71"/>
      <c r="E3174" s="22"/>
      <c r="F3174" s="22"/>
      <c r="G3174" s="31"/>
      <c r="J3174" s="23"/>
      <c r="K3174" s="27"/>
    </row>
    <row r="3175" spans="1:11" x14ac:dyDescent="0.25">
      <c r="A3175" s="75"/>
      <c r="B3175" s="69"/>
      <c r="C3175" s="71"/>
      <c r="E3175" s="22"/>
      <c r="F3175" s="22"/>
      <c r="G3175" s="31"/>
      <c r="J3175" s="23"/>
      <c r="K3175" s="27"/>
    </row>
    <row r="3176" spans="1:11" x14ac:dyDescent="0.25">
      <c r="A3176" s="75"/>
      <c r="B3176" s="69"/>
      <c r="C3176" s="71"/>
      <c r="E3176" s="22"/>
      <c r="F3176" s="22"/>
      <c r="G3176" s="31"/>
      <c r="J3176" s="23"/>
      <c r="K3176" s="27"/>
    </row>
    <row r="3177" spans="1:11" x14ac:dyDescent="0.25">
      <c r="A3177" s="75"/>
      <c r="B3177" s="69"/>
      <c r="C3177" s="71"/>
      <c r="E3177" s="22"/>
      <c r="F3177" s="22"/>
      <c r="G3177" s="31"/>
      <c r="J3177" s="23"/>
      <c r="K3177" s="27"/>
    </row>
    <row r="3178" spans="1:11" x14ac:dyDescent="0.25">
      <c r="A3178" s="75"/>
      <c r="B3178" s="69"/>
      <c r="C3178" s="71"/>
      <c r="E3178" s="22"/>
      <c r="F3178" s="22"/>
      <c r="G3178" s="31"/>
      <c r="J3178" s="23"/>
      <c r="K3178" s="27"/>
    </row>
    <row r="3179" spans="1:11" x14ac:dyDescent="0.25">
      <c r="A3179" s="75"/>
      <c r="B3179" s="69"/>
      <c r="C3179" s="71"/>
      <c r="E3179" s="22"/>
      <c r="F3179" s="22"/>
      <c r="G3179" s="31"/>
      <c r="J3179" s="23"/>
      <c r="K3179" s="27"/>
    </row>
    <row r="3180" spans="1:11" x14ac:dyDescent="0.25">
      <c r="A3180" s="75"/>
      <c r="B3180" s="69"/>
      <c r="C3180" s="71"/>
      <c r="E3180" s="22"/>
      <c r="F3180" s="22"/>
      <c r="G3180" s="31"/>
      <c r="J3180" s="23"/>
      <c r="K3180" s="27"/>
    </row>
    <row r="3181" spans="1:11" x14ac:dyDescent="0.25">
      <c r="A3181" s="75"/>
      <c r="B3181" s="69"/>
      <c r="C3181" s="71"/>
      <c r="E3181" s="22"/>
      <c r="F3181" s="22"/>
      <c r="G3181" s="31"/>
      <c r="J3181" s="23"/>
      <c r="K3181" s="27"/>
    </row>
    <row r="3182" spans="1:11" x14ac:dyDescent="0.25">
      <c r="A3182" s="75"/>
      <c r="B3182" s="69"/>
      <c r="C3182" s="71"/>
      <c r="E3182" s="22"/>
      <c r="F3182" s="22"/>
      <c r="G3182" s="31"/>
      <c r="J3182" s="23"/>
      <c r="K3182" s="27"/>
    </row>
    <row r="3183" spans="1:11" x14ac:dyDescent="0.25">
      <c r="A3183" s="75"/>
      <c r="B3183" s="69"/>
      <c r="C3183" s="71"/>
      <c r="E3183" s="22"/>
      <c r="F3183" s="22"/>
      <c r="G3183" s="31"/>
      <c r="J3183" s="23"/>
      <c r="K3183" s="27"/>
    </row>
    <row r="3184" spans="1:11" x14ac:dyDescent="0.25">
      <c r="A3184" s="75"/>
      <c r="B3184" s="69"/>
      <c r="C3184" s="71"/>
      <c r="E3184" s="22"/>
      <c r="F3184" s="22"/>
      <c r="G3184" s="31"/>
      <c r="J3184" s="23"/>
      <c r="K3184" s="27"/>
    </row>
    <row r="3185" spans="1:11" x14ac:dyDescent="0.25">
      <c r="A3185" s="75"/>
      <c r="B3185" s="69"/>
      <c r="C3185" s="71"/>
      <c r="E3185" s="22"/>
      <c r="F3185" s="22"/>
      <c r="G3185" s="31"/>
      <c r="J3185" s="23"/>
      <c r="K3185" s="27"/>
    </row>
    <row r="3186" spans="1:11" x14ac:dyDescent="0.25">
      <c r="A3186" s="75"/>
      <c r="B3186" s="69"/>
      <c r="C3186" s="71"/>
      <c r="E3186" s="22"/>
      <c r="F3186" s="22"/>
      <c r="G3186" s="31"/>
      <c r="J3186" s="23"/>
      <c r="K3186" s="27"/>
    </row>
    <row r="3187" spans="1:11" x14ac:dyDescent="0.25">
      <c r="A3187" s="75"/>
      <c r="B3187" s="69"/>
      <c r="C3187" s="71"/>
      <c r="E3187" s="22"/>
      <c r="F3187" s="22"/>
      <c r="G3187" s="31"/>
      <c r="J3187" s="23"/>
      <c r="K3187" s="27"/>
    </row>
    <row r="3188" spans="1:11" x14ac:dyDescent="0.25">
      <c r="A3188" s="75"/>
      <c r="B3188" s="69"/>
      <c r="C3188" s="71"/>
      <c r="E3188" s="22"/>
      <c r="F3188" s="22"/>
      <c r="G3188" s="31"/>
      <c r="J3188" s="23"/>
      <c r="K3188" s="27"/>
    </row>
    <row r="3189" spans="1:11" x14ac:dyDescent="0.25">
      <c r="A3189" s="75"/>
      <c r="B3189" s="69"/>
      <c r="C3189" s="71"/>
      <c r="E3189" s="22"/>
      <c r="F3189" s="22"/>
      <c r="G3189" s="31"/>
      <c r="J3189" s="23"/>
      <c r="K3189" s="27"/>
    </row>
    <row r="3190" spans="1:11" x14ac:dyDescent="0.25">
      <c r="A3190" s="75"/>
      <c r="B3190" s="69"/>
      <c r="C3190" s="71"/>
      <c r="E3190" s="22"/>
      <c r="F3190" s="22"/>
      <c r="G3190" s="31"/>
      <c r="J3190" s="23"/>
      <c r="K3190" s="27"/>
    </row>
    <row r="3191" spans="1:11" x14ac:dyDescent="0.25">
      <c r="A3191" s="75"/>
      <c r="B3191" s="69"/>
      <c r="C3191" s="71"/>
      <c r="E3191" s="22"/>
      <c r="F3191" s="22"/>
      <c r="G3191" s="31"/>
      <c r="J3191" s="23"/>
      <c r="K3191" s="27"/>
    </row>
    <row r="3192" spans="1:11" x14ac:dyDescent="0.25">
      <c r="A3192" s="75"/>
      <c r="B3192" s="69"/>
      <c r="C3192" s="71"/>
      <c r="E3192" s="22"/>
      <c r="F3192" s="22"/>
      <c r="G3192" s="31"/>
      <c r="J3192" s="23"/>
      <c r="K3192" s="27"/>
    </row>
    <row r="3193" spans="1:11" x14ac:dyDescent="0.25">
      <c r="A3193" s="75"/>
      <c r="B3193" s="69"/>
      <c r="C3193" s="71"/>
      <c r="E3193" s="22"/>
      <c r="F3193" s="22"/>
      <c r="G3193" s="31"/>
      <c r="J3193" s="23"/>
      <c r="K3193" s="27"/>
    </row>
    <row r="3194" spans="1:11" x14ac:dyDescent="0.25">
      <c r="A3194" s="75"/>
      <c r="B3194" s="69"/>
      <c r="C3194" s="71"/>
      <c r="E3194" s="22"/>
      <c r="F3194" s="22"/>
      <c r="G3194" s="31"/>
      <c r="J3194" s="23"/>
      <c r="K3194" s="27"/>
    </row>
    <row r="3195" spans="1:11" x14ac:dyDescent="0.25">
      <c r="A3195" s="75"/>
      <c r="B3195" s="69"/>
      <c r="C3195" s="71"/>
      <c r="E3195" s="22"/>
      <c r="F3195" s="22"/>
      <c r="G3195" s="31"/>
      <c r="J3195" s="23"/>
      <c r="K3195" s="27"/>
    </row>
    <row r="3196" spans="1:11" x14ac:dyDescent="0.25">
      <c r="A3196" s="75"/>
      <c r="B3196" s="69"/>
      <c r="C3196" s="71"/>
      <c r="E3196" s="22"/>
      <c r="F3196" s="22"/>
      <c r="G3196" s="31"/>
      <c r="J3196" s="23"/>
      <c r="K3196" s="27"/>
    </row>
    <row r="3197" spans="1:11" x14ac:dyDescent="0.25">
      <c r="A3197" s="75"/>
      <c r="B3197" s="69"/>
      <c r="C3197" s="71"/>
      <c r="E3197" s="22"/>
      <c r="F3197" s="22"/>
      <c r="G3197" s="31"/>
      <c r="J3197" s="23"/>
      <c r="K3197" s="27"/>
    </row>
    <row r="3198" spans="1:11" x14ac:dyDescent="0.25">
      <c r="A3198" s="75"/>
      <c r="B3198" s="69"/>
      <c r="C3198" s="71"/>
      <c r="E3198" s="22"/>
      <c r="F3198" s="22"/>
      <c r="G3198" s="31"/>
      <c r="J3198" s="23"/>
      <c r="K3198" s="27"/>
    </row>
    <row r="3199" spans="1:11" x14ac:dyDescent="0.25">
      <c r="A3199" s="75"/>
      <c r="B3199" s="69"/>
      <c r="C3199" s="71"/>
      <c r="E3199" s="22"/>
      <c r="F3199" s="22"/>
      <c r="G3199" s="31"/>
      <c r="J3199" s="23"/>
      <c r="K3199" s="27"/>
    </row>
    <row r="3200" spans="1:11" x14ac:dyDescent="0.25">
      <c r="A3200" s="75"/>
      <c r="B3200" s="69"/>
      <c r="C3200" s="71"/>
      <c r="E3200" s="22"/>
      <c r="F3200" s="22"/>
      <c r="G3200" s="31"/>
      <c r="J3200" s="23"/>
      <c r="K3200" s="27"/>
    </row>
    <row r="3201" spans="1:11" x14ac:dyDescent="0.25">
      <c r="A3201" s="75"/>
      <c r="B3201" s="69"/>
      <c r="C3201" s="71"/>
      <c r="E3201" s="22"/>
      <c r="F3201" s="22"/>
      <c r="G3201" s="31"/>
      <c r="J3201" s="23"/>
      <c r="K3201" s="27"/>
    </row>
    <row r="3202" spans="1:11" x14ac:dyDescent="0.25">
      <c r="A3202" s="75"/>
      <c r="B3202" s="69"/>
      <c r="C3202" s="71"/>
      <c r="E3202" s="22"/>
      <c r="F3202" s="22"/>
      <c r="G3202" s="31"/>
      <c r="J3202" s="23"/>
      <c r="K3202" s="27"/>
    </row>
    <row r="3203" spans="1:11" x14ac:dyDescent="0.25">
      <c r="A3203" s="75"/>
      <c r="B3203" s="69"/>
      <c r="C3203" s="71"/>
      <c r="E3203" s="22"/>
      <c r="F3203" s="22"/>
      <c r="G3203" s="31"/>
      <c r="J3203" s="23"/>
      <c r="K3203" s="27"/>
    </row>
    <row r="3204" spans="1:11" x14ac:dyDescent="0.25">
      <c r="A3204" s="75"/>
      <c r="B3204" s="69"/>
      <c r="C3204" s="71"/>
      <c r="E3204" s="22"/>
      <c r="F3204" s="22"/>
      <c r="G3204" s="31"/>
      <c r="J3204" s="23"/>
      <c r="K3204" s="27"/>
    </row>
    <row r="3205" spans="1:11" x14ac:dyDescent="0.25">
      <c r="A3205" s="75"/>
      <c r="B3205" s="69"/>
      <c r="C3205" s="71"/>
      <c r="E3205" s="22"/>
      <c r="F3205" s="22"/>
      <c r="G3205" s="31"/>
      <c r="J3205" s="23"/>
      <c r="K3205" s="27"/>
    </row>
    <row r="3206" spans="1:11" x14ac:dyDescent="0.25">
      <c r="A3206" s="75"/>
      <c r="B3206" s="69"/>
      <c r="C3206" s="71"/>
      <c r="E3206" s="22"/>
      <c r="F3206" s="22"/>
      <c r="G3206" s="31"/>
      <c r="J3206" s="23"/>
      <c r="K3206" s="27"/>
    </row>
    <row r="3207" spans="1:11" x14ac:dyDescent="0.25">
      <c r="A3207" s="75"/>
      <c r="B3207" s="69"/>
      <c r="C3207" s="71"/>
      <c r="E3207" s="22"/>
      <c r="F3207" s="22"/>
      <c r="G3207" s="31"/>
      <c r="J3207" s="23"/>
      <c r="K3207" s="27"/>
    </row>
    <row r="3208" spans="1:11" x14ac:dyDescent="0.25">
      <c r="A3208" s="75"/>
      <c r="B3208" s="69"/>
      <c r="C3208" s="71"/>
      <c r="E3208" s="22"/>
      <c r="F3208" s="22"/>
      <c r="G3208" s="31"/>
      <c r="J3208" s="23"/>
      <c r="K3208" s="27"/>
    </row>
    <row r="3209" spans="1:11" x14ac:dyDescent="0.25">
      <c r="A3209" s="75"/>
      <c r="B3209" s="69"/>
      <c r="C3209" s="71"/>
      <c r="E3209" s="22"/>
      <c r="F3209" s="22"/>
      <c r="G3209" s="31"/>
      <c r="J3209" s="23"/>
      <c r="K3209" s="27"/>
    </row>
    <row r="3210" spans="1:11" x14ac:dyDescent="0.25">
      <c r="A3210" s="75"/>
      <c r="B3210" s="69"/>
      <c r="C3210" s="71"/>
      <c r="E3210" s="22"/>
      <c r="F3210" s="22"/>
      <c r="G3210" s="31"/>
      <c r="J3210" s="23"/>
      <c r="K3210" s="27"/>
    </row>
    <row r="3211" spans="1:11" x14ac:dyDescent="0.25">
      <c r="A3211" s="75"/>
      <c r="B3211" s="69"/>
      <c r="C3211" s="71"/>
      <c r="E3211" s="22"/>
      <c r="F3211" s="22"/>
      <c r="G3211" s="31"/>
      <c r="J3211" s="23"/>
      <c r="K3211" s="27"/>
    </row>
    <row r="3212" spans="1:11" x14ac:dyDescent="0.25">
      <c r="A3212" s="75"/>
      <c r="B3212" s="69"/>
      <c r="C3212" s="71"/>
      <c r="E3212" s="22"/>
      <c r="F3212" s="22"/>
      <c r="G3212" s="31"/>
      <c r="J3212" s="23"/>
      <c r="K3212" s="27"/>
    </row>
    <row r="3213" spans="1:11" x14ac:dyDescent="0.25">
      <c r="A3213" s="75"/>
      <c r="B3213" s="69"/>
      <c r="C3213" s="71"/>
      <c r="E3213" s="22"/>
      <c r="F3213" s="22"/>
      <c r="G3213" s="31"/>
      <c r="J3213" s="23"/>
      <c r="K3213" s="27"/>
    </row>
    <row r="3214" spans="1:11" x14ac:dyDescent="0.25">
      <c r="A3214" s="75"/>
      <c r="B3214" s="69"/>
      <c r="C3214" s="71"/>
      <c r="E3214" s="22"/>
      <c r="F3214" s="22"/>
      <c r="G3214" s="31"/>
      <c r="J3214" s="23"/>
      <c r="K3214" s="27"/>
    </row>
    <row r="3215" spans="1:11" x14ac:dyDescent="0.25">
      <c r="A3215" s="75"/>
      <c r="B3215" s="69"/>
      <c r="C3215" s="71"/>
      <c r="E3215" s="22"/>
      <c r="F3215" s="22"/>
      <c r="G3215" s="31"/>
      <c r="J3215" s="23"/>
      <c r="K3215" s="27"/>
    </row>
    <row r="3216" spans="1:11" x14ac:dyDescent="0.25">
      <c r="A3216" s="75"/>
      <c r="B3216" s="69"/>
      <c r="C3216" s="71"/>
      <c r="E3216" s="22"/>
      <c r="F3216" s="22"/>
      <c r="G3216" s="31"/>
      <c r="J3216" s="23"/>
      <c r="K3216" s="27"/>
    </row>
    <row r="3217" spans="1:11" x14ac:dyDescent="0.25">
      <c r="A3217" s="75"/>
      <c r="B3217" s="69"/>
      <c r="C3217" s="71"/>
      <c r="E3217" s="22"/>
      <c r="F3217" s="22"/>
      <c r="G3217" s="31"/>
      <c r="J3217" s="23"/>
      <c r="K3217" s="27"/>
    </row>
    <row r="3218" spans="1:11" x14ac:dyDescent="0.25">
      <c r="A3218" s="75"/>
      <c r="B3218" s="69"/>
      <c r="C3218" s="71"/>
      <c r="E3218" s="22"/>
      <c r="F3218" s="22"/>
      <c r="G3218" s="31"/>
      <c r="J3218" s="23"/>
      <c r="K3218" s="27"/>
    </row>
    <row r="3219" spans="1:11" x14ac:dyDescent="0.25">
      <c r="A3219" s="75"/>
      <c r="B3219" s="69"/>
      <c r="C3219" s="71"/>
      <c r="E3219" s="22"/>
      <c r="F3219" s="22"/>
      <c r="G3219" s="31"/>
      <c r="J3219" s="23"/>
      <c r="K3219" s="27"/>
    </row>
    <row r="3220" spans="1:11" x14ac:dyDescent="0.25">
      <c r="A3220" s="75"/>
      <c r="B3220" s="69"/>
      <c r="C3220" s="71"/>
      <c r="E3220" s="22"/>
      <c r="F3220" s="22"/>
      <c r="G3220" s="31"/>
      <c r="J3220" s="23"/>
      <c r="K3220" s="27"/>
    </row>
    <row r="3221" spans="1:11" x14ac:dyDescent="0.25">
      <c r="A3221" s="75"/>
      <c r="B3221" s="69"/>
      <c r="C3221" s="71"/>
      <c r="E3221" s="22"/>
      <c r="F3221" s="22"/>
      <c r="G3221" s="31"/>
      <c r="J3221" s="23"/>
      <c r="K3221" s="27"/>
    </row>
    <row r="3222" spans="1:11" x14ac:dyDescent="0.25">
      <c r="A3222" s="75"/>
      <c r="B3222" s="69"/>
      <c r="C3222" s="71"/>
      <c r="E3222" s="22"/>
      <c r="F3222" s="22"/>
      <c r="G3222" s="31"/>
      <c r="J3222" s="23"/>
      <c r="K3222" s="27"/>
    </row>
    <row r="3223" spans="1:11" x14ac:dyDescent="0.25">
      <c r="A3223" s="75"/>
      <c r="B3223" s="69"/>
      <c r="C3223" s="71"/>
      <c r="E3223" s="22"/>
      <c r="F3223" s="22"/>
      <c r="G3223" s="31"/>
      <c r="J3223" s="23"/>
      <c r="K3223" s="27"/>
    </row>
    <row r="3224" spans="1:11" x14ac:dyDescent="0.25">
      <c r="A3224" s="75"/>
      <c r="B3224" s="69"/>
      <c r="C3224" s="71"/>
      <c r="E3224" s="22"/>
      <c r="F3224" s="22"/>
      <c r="G3224" s="31"/>
      <c r="J3224" s="23"/>
      <c r="K3224" s="27"/>
    </row>
    <row r="3225" spans="1:11" x14ac:dyDescent="0.25">
      <c r="A3225" s="75"/>
      <c r="B3225" s="69"/>
      <c r="C3225" s="71"/>
      <c r="E3225" s="22"/>
      <c r="F3225" s="22"/>
      <c r="G3225" s="31"/>
      <c r="J3225" s="23"/>
      <c r="K3225" s="27"/>
    </row>
    <row r="3226" spans="1:11" x14ac:dyDescent="0.25">
      <c r="A3226" s="75"/>
      <c r="B3226" s="69"/>
      <c r="C3226" s="71"/>
      <c r="E3226" s="22"/>
      <c r="F3226" s="22"/>
      <c r="G3226" s="31"/>
      <c r="J3226" s="23"/>
      <c r="K3226" s="27"/>
    </row>
    <row r="3227" spans="1:11" x14ac:dyDescent="0.25">
      <c r="A3227" s="75"/>
      <c r="B3227" s="69"/>
      <c r="C3227" s="71"/>
      <c r="E3227" s="22"/>
      <c r="F3227" s="22"/>
      <c r="G3227" s="31"/>
      <c r="J3227" s="23"/>
      <c r="K3227" s="27"/>
    </row>
    <row r="3228" spans="1:11" x14ac:dyDescent="0.25">
      <c r="A3228" s="75"/>
      <c r="B3228" s="69"/>
      <c r="C3228" s="71"/>
      <c r="E3228" s="22"/>
      <c r="F3228" s="22"/>
      <c r="G3228" s="31"/>
      <c r="J3228" s="23"/>
      <c r="K3228" s="27"/>
    </row>
    <row r="3229" spans="1:11" x14ac:dyDescent="0.25">
      <c r="A3229" s="75"/>
      <c r="B3229" s="69"/>
      <c r="C3229" s="71"/>
      <c r="E3229" s="22"/>
      <c r="F3229" s="22"/>
      <c r="G3229" s="31"/>
      <c r="J3229" s="23"/>
      <c r="K3229" s="27"/>
    </row>
    <row r="3230" spans="1:11" x14ac:dyDescent="0.25">
      <c r="A3230" s="75"/>
      <c r="B3230" s="69"/>
      <c r="C3230" s="71"/>
      <c r="E3230" s="22"/>
      <c r="F3230" s="22"/>
      <c r="G3230" s="31"/>
      <c r="J3230" s="23"/>
      <c r="K3230" s="27"/>
    </row>
    <row r="3231" spans="1:11" x14ac:dyDescent="0.25">
      <c r="A3231" s="75"/>
      <c r="B3231" s="69"/>
      <c r="C3231" s="71"/>
      <c r="E3231" s="22"/>
      <c r="F3231" s="22"/>
      <c r="G3231" s="31"/>
      <c r="J3231" s="23"/>
      <c r="K3231" s="27"/>
    </row>
    <row r="3232" spans="1:11" x14ac:dyDescent="0.25">
      <c r="A3232" s="75"/>
      <c r="B3232" s="69"/>
      <c r="C3232" s="71"/>
      <c r="E3232" s="22"/>
      <c r="F3232" s="22"/>
      <c r="G3232" s="31"/>
      <c r="J3232" s="23"/>
      <c r="K3232" s="27"/>
    </row>
    <row r="3233" spans="1:11" x14ac:dyDescent="0.25">
      <c r="A3233" s="75"/>
      <c r="B3233" s="69"/>
      <c r="C3233" s="71"/>
      <c r="E3233" s="22"/>
      <c r="F3233" s="22"/>
      <c r="G3233" s="31"/>
      <c r="J3233" s="23"/>
      <c r="K3233" s="27"/>
    </row>
    <row r="3234" spans="1:11" x14ac:dyDescent="0.25">
      <c r="A3234" s="75"/>
      <c r="B3234" s="69"/>
      <c r="C3234" s="71"/>
      <c r="E3234" s="22"/>
      <c r="F3234" s="22"/>
      <c r="G3234" s="31"/>
      <c r="J3234" s="23"/>
      <c r="K3234" s="27"/>
    </row>
    <row r="3235" spans="1:11" x14ac:dyDescent="0.25">
      <c r="A3235" s="75"/>
      <c r="B3235" s="69"/>
      <c r="C3235" s="71"/>
      <c r="E3235" s="22"/>
      <c r="F3235" s="22"/>
      <c r="G3235" s="31"/>
      <c r="J3235" s="23"/>
      <c r="K3235" s="27"/>
    </row>
    <row r="3236" spans="1:11" x14ac:dyDescent="0.25">
      <c r="A3236" s="75"/>
      <c r="B3236" s="69"/>
      <c r="C3236" s="71"/>
      <c r="E3236" s="22"/>
      <c r="F3236" s="22"/>
      <c r="G3236" s="31"/>
      <c r="J3236" s="23"/>
      <c r="K3236" s="27"/>
    </row>
    <row r="3237" spans="1:11" x14ac:dyDescent="0.25">
      <c r="A3237" s="75"/>
      <c r="B3237" s="69"/>
      <c r="C3237" s="71"/>
      <c r="E3237" s="22"/>
      <c r="F3237" s="22"/>
      <c r="G3237" s="31"/>
      <c r="J3237" s="23"/>
      <c r="K3237" s="27"/>
    </row>
    <row r="3238" spans="1:11" x14ac:dyDescent="0.25">
      <c r="A3238" s="75"/>
      <c r="B3238" s="69"/>
      <c r="C3238" s="71"/>
      <c r="E3238" s="22"/>
      <c r="F3238" s="22"/>
      <c r="G3238" s="31"/>
      <c r="J3238" s="23"/>
      <c r="K3238" s="27"/>
    </row>
    <row r="3239" spans="1:11" x14ac:dyDescent="0.25">
      <c r="A3239" s="75"/>
      <c r="B3239" s="69"/>
      <c r="C3239" s="71"/>
      <c r="E3239" s="22"/>
      <c r="F3239" s="22"/>
      <c r="G3239" s="31"/>
      <c r="J3239" s="23"/>
      <c r="K3239" s="27"/>
    </row>
    <row r="3240" spans="1:11" x14ac:dyDescent="0.25">
      <c r="A3240" s="75"/>
      <c r="B3240" s="69"/>
      <c r="C3240" s="71"/>
      <c r="E3240" s="22"/>
      <c r="F3240" s="22"/>
      <c r="G3240" s="31"/>
      <c r="J3240" s="23"/>
      <c r="K3240" s="27"/>
    </row>
    <row r="3241" spans="1:11" x14ac:dyDescent="0.25">
      <c r="A3241" s="75"/>
      <c r="B3241" s="69"/>
      <c r="C3241" s="71"/>
      <c r="E3241" s="22"/>
      <c r="F3241" s="22"/>
      <c r="G3241" s="31"/>
      <c r="J3241" s="23"/>
      <c r="K3241" s="27"/>
    </row>
    <row r="3242" spans="1:11" x14ac:dyDescent="0.25">
      <c r="A3242" s="75"/>
      <c r="B3242" s="69"/>
      <c r="C3242" s="71"/>
      <c r="E3242" s="22"/>
      <c r="F3242" s="22"/>
      <c r="G3242" s="31"/>
      <c r="J3242" s="23"/>
      <c r="K3242" s="27"/>
    </row>
    <row r="3243" spans="1:11" x14ac:dyDescent="0.25">
      <c r="A3243" s="75"/>
      <c r="B3243" s="69"/>
      <c r="C3243" s="71"/>
      <c r="E3243" s="22"/>
      <c r="F3243" s="22"/>
      <c r="G3243" s="31"/>
      <c r="J3243" s="23"/>
      <c r="K3243" s="27"/>
    </row>
    <row r="3244" spans="1:11" x14ac:dyDescent="0.25">
      <c r="A3244" s="75"/>
      <c r="B3244" s="69"/>
      <c r="C3244" s="71"/>
      <c r="E3244" s="22"/>
      <c r="F3244" s="22"/>
      <c r="G3244" s="31"/>
      <c r="J3244" s="23"/>
      <c r="K3244" s="27"/>
    </row>
    <row r="3245" spans="1:11" x14ac:dyDescent="0.25">
      <c r="A3245" s="75"/>
      <c r="B3245" s="69"/>
      <c r="C3245" s="71"/>
      <c r="E3245" s="22"/>
      <c r="F3245" s="22"/>
      <c r="G3245" s="31"/>
      <c r="J3245" s="23"/>
      <c r="K3245" s="27"/>
    </row>
    <row r="3246" spans="1:11" x14ac:dyDescent="0.25">
      <c r="A3246" s="75"/>
      <c r="B3246" s="69"/>
      <c r="C3246" s="71"/>
      <c r="E3246" s="22"/>
      <c r="F3246" s="22"/>
      <c r="G3246" s="31"/>
      <c r="J3246" s="23"/>
      <c r="K3246" s="27"/>
    </row>
    <row r="3247" spans="1:11" x14ac:dyDescent="0.25">
      <c r="A3247" s="75"/>
      <c r="B3247" s="69"/>
      <c r="C3247" s="71"/>
      <c r="E3247" s="22"/>
      <c r="F3247" s="22"/>
      <c r="G3247" s="31"/>
      <c r="J3247" s="23"/>
      <c r="K3247" s="27"/>
    </row>
    <row r="3248" spans="1:11" x14ac:dyDescent="0.25">
      <c r="A3248" s="75"/>
      <c r="B3248" s="69"/>
      <c r="C3248" s="71"/>
      <c r="E3248" s="22"/>
      <c r="F3248" s="22"/>
      <c r="G3248" s="31"/>
      <c r="J3248" s="23"/>
      <c r="K3248" s="27"/>
    </row>
    <row r="3249" spans="1:11" x14ac:dyDescent="0.25">
      <c r="A3249" s="75"/>
      <c r="B3249" s="69"/>
      <c r="C3249" s="71"/>
      <c r="E3249" s="22"/>
      <c r="F3249" s="22"/>
      <c r="G3249" s="31"/>
      <c r="J3249" s="23"/>
      <c r="K3249" s="27"/>
    </row>
    <row r="3250" spans="1:11" x14ac:dyDescent="0.25">
      <c r="A3250" s="75"/>
      <c r="B3250" s="69"/>
      <c r="C3250" s="71"/>
      <c r="E3250" s="22"/>
      <c r="F3250" s="22"/>
      <c r="G3250" s="31"/>
      <c r="J3250" s="23"/>
      <c r="K3250" s="27"/>
    </row>
    <row r="3251" spans="1:11" x14ac:dyDescent="0.25">
      <c r="A3251" s="75"/>
      <c r="B3251" s="69"/>
      <c r="C3251" s="71"/>
      <c r="E3251" s="22"/>
      <c r="F3251" s="22"/>
      <c r="G3251" s="31"/>
      <c r="J3251" s="23"/>
      <c r="K3251" s="27"/>
    </row>
    <row r="3252" spans="1:11" x14ac:dyDescent="0.25">
      <c r="A3252" s="75"/>
      <c r="B3252" s="69"/>
      <c r="C3252" s="71"/>
      <c r="E3252" s="22"/>
      <c r="F3252" s="22"/>
      <c r="G3252" s="31"/>
      <c r="J3252" s="23"/>
      <c r="K3252" s="27"/>
    </row>
    <row r="3253" spans="1:11" x14ac:dyDescent="0.25">
      <c r="A3253" s="75"/>
      <c r="B3253" s="69"/>
      <c r="C3253" s="71"/>
      <c r="E3253" s="22"/>
      <c r="F3253" s="22"/>
      <c r="G3253" s="31"/>
      <c r="J3253" s="23"/>
      <c r="K3253" s="27"/>
    </row>
    <row r="3254" spans="1:11" x14ac:dyDescent="0.25">
      <c r="A3254" s="75"/>
      <c r="B3254" s="69"/>
      <c r="C3254" s="71"/>
      <c r="E3254" s="22"/>
      <c r="F3254" s="22"/>
      <c r="G3254" s="31"/>
      <c r="J3254" s="23"/>
      <c r="K3254" s="27"/>
    </row>
    <row r="3255" spans="1:11" x14ac:dyDescent="0.25">
      <c r="A3255" s="75"/>
      <c r="B3255" s="69"/>
      <c r="C3255" s="71"/>
      <c r="E3255" s="22"/>
      <c r="F3255" s="22"/>
      <c r="G3255" s="31"/>
      <c r="J3255" s="23"/>
      <c r="K3255" s="27"/>
    </row>
    <row r="3256" spans="1:11" x14ac:dyDescent="0.25">
      <c r="A3256" s="75"/>
      <c r="B3256" s="69"/>
      <c r="C3256" s="71"/>
      <c r="E3256" s="22"/>
      <c r="F3256" s="22"/>
      <c r="G3256" s="31"/>
      <c r="J3256" s="23"/>
      <c r="K3256" s="27"/>
    </row>
    <row r="3257" spans="1:11" x14ac:dyDescent="0.25">
      <c r="A3257" s="75"/>
      <c r="B3257" s="69"/>
      <c r="C3257" s="71"/>
      <c r="E3257" s="22"/>
      <c r="F3257" s="22"/>
      <c r="G3257" s="31"/>
      <c r="J3257" s="23"/>
      <c r="K3257" s="27"/>
    </row>
    <row r="3258" spans="1:11" x14ac:dyDescent="0.25">
      <c r="A3258" s="75"/>
      <c r="B3258" s="69"/>
      <c r="C3258" s="71"/>
      <c r="E3258" s="22"/>
      <c r="F3258" s="22"/>
      <c r="G3258" s="31"/>
      <c r="J3258" s="23"/>
      <c r="K3258" s="27"/>
    </row>
    <row r="3259" spans="1:11" x14ac:dyDescent="0.25">
      <c r="A3259" s="75"/>
      <c r="B3259" s="69"/>
      <c r="C3259" s="71"/>
      <c r="E3259" s="22"/>
      <c r="F3259" s="22"/>
      <c r="G3259" s="31"/>
      <c r="J3259" s="23"/>
      <c r="K3259" s="27"/>
    </row>
    <row r="3260" spans="1:11" x14ac:dyDescent="0.25">
      <c r="A3260" s="75"/>
      <c r="B3260" s="69"/>
      <c r="C3260" s="71"/>
      <c r="E3260" s="22"/>
      <c r="F3260" s="22"/>
      <c r="G3260" s="31"/>
      <c r="J3260" s="23"/>
      <c r="K3260" s="27"/>
    </row>
    <row r="3261" spans="1:11" x14ac:dyDescent="0.25">
      <c r="A3261" s="75"/>
      <c r="B3261" s="69"/>
      <c r="C3261" s="71"/>
      <c r="E3261" s="22"/>
      <c r="F3261" s="22"/>
      <c r="G3261" s="31"/>
      <c r="J3261" s="23"/>
      <c r="K3261" s="27"/>
    </row>
    <row r="3262" spans="1:11" x14ac:dyDescent="0.25">
      <c r="A3262" s="75"/>
      <c r="B3262" s="69"/>
      <c r="C3262" s="71"/>
      <c r="E3262" s="22"/>
      <c r="F3262" s="22"/>
      <c r="G3262" s="31"/>
      <c r="J3262" s="23"/>
      <c r="K3262" s="27"/>
    </row>
    <row r="3263" spans="1:11" x14ac:dyDescent="0.25">
      <c r="A3263" s="75"/>
      <c r="B3263" s="69"/>
      <c r="C3263" s="71"/>
      <c r="E3263" s="22"/>
      <c r="F3263" s="22"/>
      <c r="G3263" s="31"/>
      <c r="J3263" s="23"/>
      <c r="K3263" s="27"/>
    </row>
    <row r="3264" spans="1:11" x14ac:dyDescent="0.25">
      <c r="A3264" s="75"/>
      <c r="B3264" s="69"/>
      <c r="C3264" s="71"/>
      <c r="E3264" s="22"/>
      <c r="F3264" s="22"/>
      <c r="G3264" s="31"/>
      <c r="J3264" s="23"/>
      <c r="K3264" s="27"/>
    </row>
    <row r="3265" spans="1:11" x14ac:dyDescent="0.25">
      <c r="A3265" s="78"/>
      <c r="B3265" s="69"/>
      <c r="C3265" s="71"/>
      <c r="E3265" s="22"/>
      <c r="F3265" s="22"/>
      <c r="G3265" s="31"/>
      <c r="J3265" s="23"/>
      <c r="K3265" s="27"/>
    </row>
    <row r="3266" spans="1:11" x14ac:dyDescent="0.25">
      <c r="A3266" s="75"/>
      <c r="B3266" s="69"/>
      <c r="C3266" s="71"/>
      <c r="E3266" s="22"/>
      <c r="F3266" s="22"/>
      <c r="G3266" s="31"/>
      <c r="J3266" s="23"/>
      <c r="K3266" s="27"/>
    </row>
    <row r="3267" spans="1:11" x14ac:dyDescent="0.25">
      <c r="A3267" s="75"/>
      <c r="B3267" s="69"/>
      <c r="C3267" s="71"/>
      <c r="E3267" s="22"/>
      <c r="F3267" s="22"/>
      <c r="G3267" s="31"/>
      <c r="J3267" s="23"/>
      <c r="K3267" s="27"/>
    </row>
    <row r="3268" spans="1:11" x14ac:dyDescent="0.25">
      <c r="A3268" s="75"/>
      <c r="B3268" s="69"/>
      <c r="C3268" s="71"/>
      <c r="E3268" s="22"/>
      <c r="F3268" s="22"/>
      <c r="G3268" s="31"/>
      <c r="J3268" s="23"/>
      <c r="K3268" s="27"/>
    </row>
    <row r="3269" spans="1:11" x14ac:dyDescent="0.25">
      <c r="A3269" s="75"/>
      <c r="B3269" s="69"/>
      <c r="C3269" s="71"/>
      <c r="E3269" s="22"/>
      <c r="F3269" s="22"/>
      <c r="G3269" s="31"/>
      <c r="J3269" s="23"/>
      <c r="K3269" s="27"/>
    </row>
    <row r="3270" spans="1:11" x14ac:dyDescent="0.25">
      <c r="A3270" s="75"/>
      <c r="B3270" s="69"/>
      <c r="C3270" s="71"/>
      <c r="E3270" s="22"/>
      <c r="F3270" s="22"/>
      <c r="G3270" s="31"/>
      <c r="J3270" s="23"/>
      <c r="K3270" s="27"/>
    </row>
    <row r="3271" spans="1:11" x14ac:dyDescent="0.25">
      <c r="A3271" s="75"/>
      <c r="B3271" s="69"/>
      <c r="C3271" s="71"/>
      <c r="E3271" s="22"/>
      <c r="F3271" s="22"/>
      <c r="G3271" s="31"/>
      <c r="J3271" s="23"/>
      <c r="K3271" s="27"/>
    </row>
    <row r="3272" spans="1:11" x14ac:dyDescent="0.25">
      <c r="A3272" s="75"/>
      <c r="B3272" s="69"/>
      <c r="C3272" s="71"/>
      <c r="E3272" s="22"/>
      <c r="F3272" s="22"/>
      <c r="G3272" s="31"/>
      <c r="J3272" s="23"/>
      <c r="K3272" s="27"/>
    </row>
    <row r="3273" spans="1:11" x14ac:dyDescent="0.25">
      <c r="A3273" s="75"/>
      <c r="B3273" s="69"/>
      <c r="C3273" s="71"/>
      <c r="E3273" s="22"/>
      <c r="F3273" s="22"/>
      <c r="G3273" s="31"/>
      <c r="J3273" s="23"/>
      <c r="K3273" s="27"/>
    </row>
    <row r="3274" spans="1:11" x14ac:dyDescent="0.25">
      <c r="A3274" s="75"/>
      <c r="B3274" s="69"/>
      <c r="C3274" s="71"/>
      <c r="E3274" s="22"/>
      <c r="F3274" s="22"/>
      <c r="G3274" s="31"/>
      <c r="J3274" s="23"/>
      <c r="K3274" s="27"/>
    </row>
    <row r="3275" spans="1:11" x14ac:dyDescent="0.25">
      <c r="A3275" s="75"/>
      <c r="B3275" s="69"/>
      <c r="C3275" s="71"/>
      <c r="E3275" s="22"/>
      <c r="F3275" s="22"/>
      <c r="G3275" s="31"/>
      <c r="J3275" s="23"/>
      <c r="K3275" s="27"/>
    </row>
    <row r="3276" spans="1:11" x14ac:dyDescent="0.25">
      <c r="A3276" s="75"/>
      <c r="B3276" s="69"/>
      <c r="C3276" s="71"/>
      <c r="E3276" s="22"/>
      <c r="F3276" s="22"/>
      <c r="G3276" s="31"/>
      <c r="J3276" s="23"/>
      <c r="K3276" s="27"/>
    </row>
    <row r="3277" spans="1:11" x14ac:dyDescent="0.25">
      <c r="A3277" s="75"/>
      <c r="B3277" s="69"/>
      <c r="C3277" s="71"/>
      <c r="E3277" s="22"/>
      <c r="F3277" s="22"/>
      <c r="G3277" s="31"/>
      <c r="J3277" s="23"/>
      <c r="K3277" s="27"/>
    </row>
    <row r="3278" spans="1:11" x14ac:dyDescent="0.25">
      <c r="A3278" s="75"/>
      <c r="B3278" s="69"/>
      <c r="C3278" s="71"/>
      <c r="E3278" s="22"/>
      <c r="F3278" s="22"/>
      <c r="G3278" s="31"/>
      <c r="J3278" s="23"/>
      <c r="K3278" s="27"/>
    </row>
    <row r="3279" spans="1:11" x14ac:dyDescent="0.25">
      <c r="A3279" s="75"/>
      <c r="B3279" s="69"/>
      <c r="C3279" s="71"/>
      <c r="E3279" s="22"/>
      <c r="F3279" s="22"/>
      <c r="G3279" s="31"/>
      <c r="J3279" s="23"/>
      <c r="K3279" s="27"/>
    </row>
    <row r="3280" spans="1:11" x14ac:dyDescent="0.25">
      <c r="A3280" s="75"/>
      <c r="B3280" s="69"/>
      <c r="C3280" s="71"/>
      <c r="E3280" s="22"/>
      <c r="F3280" s="22"/>
      <c r="G3280" s="31"/>
      <c r="J3280" s="23"/>
      <c r="K3280" s="27"/>
    </row>
    <row r="3281" spans="1:11" x14ac:dyDescent="0.25">
      <c r="A3281" s="75"/>
      <c r="B3281" s="69"/>
      <c r="C3281" s="71"/>
      <c r="E3281" s="22"/>
      <c r="F3281" s="22"/>
      <c r="G3281" s="31"/>
      <c r="J3281" s="23"/>
      <c r="K3281" s="27"/>
    </row>
    <row r="3282" spans="1:11" x14ac:dyDescent="0.25">
      <c r="A3282" s="75"/>
      <c r="B3282" s="69"/>
      <c r="C3282" s="71"/>
      <c r="E3282" s="22"/>
      <c r="F3282" s="22"/>
      <c r="G3282" s="31"/>
      <c r="J3282" s="23"/>
      <c r="K3282" s="27"/>
    </row>
    <row r="3283" spans="1:11" x14ac:dyDescent="0.25">
      <c r="A3283" s="75"/>
      <c r="B3283" s="69"/>
      <c r="C3283" s="71"/>
      <c r="E3283" s="22"/>
      <c r="F3283" s="22"/>
      <c r="G3283" s="31"/>
      <c r="J3283" s="23"/>
      <c r="K3283" s="27"/>
    </row>
    <row r="3284" spans="1:11" x14ac:dyDescent="0.25">
      <c r="A3284" s="75"/>
      <c r="B3284" s="69"/>
      <c r="C3284" s="71"/>
      <c r="E3284" s="22"/>
      <c r="F3284" s="22"/>
      <c r="G3284" s="31"/>
      <c r="J3284" s="23"/>
      <c r="K3284" s="27"/>
    </row>
    <row r="3285" spans="1:11" x14ac:dyDescent="0.25">
      <c r="A3285" s="75"/>
      <c r="B3285" s="69"/>
      <c r="C3285" s="71"/>
      <c r="E3285" s="22"/>
      <c r="F3285" s="22"/>
      <c r="G3285" s="31"/>
      <c r="J3285" s="23"/>
      <c r="K3285" s="27"/>
    </row>
    <row r="3286" spans="1:11" x14ac:dyDescent="0.25">
      <c r="A3286" s="75"/>
      <c r="B3286" s="69"/>
      <c r="C3286" s="71"/>
      <c r="E3286" s="22"/>
      <c r="F3286" s="22"/>
      <c r="G3286" s="31"/>
      <c r="J3286" s="23"/>
      <c r="K3286" s="27"/>
    </row>
    <row r="3287" spans="1:11" x14ac:dyDescent="0.25">
      <c r="A3287" s="75"/>
      <c r="B3287" s="69"/>
      <c r="C3287" s="71"/>
      <c r="E3287" s="22"/>
      <c r="F3287" s="22"/>
      <c r="G3287" s="31"/>
      <c r="J3287" s="23"/>
      <c r="K3287" s="27"/>
    </row>
    <row r="3288" spans="1:11" x14ac:dyDescent="0.25">
      <c r="A3288" s="75"/>
      <c r="B3288" s="69"/>
      <c r="C3288" s="71"/>
      <c r="E3288" s="22"/>
      <c r="F3288" s="22"/>
      <c r="G3288" s="31"/>
      <c r="J3288" s="23"/>
      <c r="K3288" s="27"/>
    </row>
    <row r="3289" spans="1:11" x14ac:dyDescent="0.25">
      <c r="A3289" s="75"/>
      <c r="B3289" s="69"/>
      <c r="C3289" s="71"/>
      <c r="E3289" s="22"/>
      <c r="F3289" s="22"/>
      <c r="G3289" s="31"/>
      <c r="J3289" s="23"/>
      <c r="K3289" s="27"/>
    </row>
    <row r="3290" spans="1:11" x14ac:dyDescent="0.25">
      <c r="A3290" s="75"/>
      <c r="B3290" s="69"/>
      <c r="C3290" s="71"/>
      <c r="E3290" s="22"/>
      <c r="F3290" s="22"/>
      <c r="G3290" s="31"/>
      <c r="J3290" s="23"/>
      <c r="K3290" s="27"/>
    </row>
    <row r="3291" spans="1:11" x14ac:dyDescent="0.25">
      <c r="A3291" s="75"/>
      <c r="B3291" s="69"/>
      <c r="C3291" s="71"/>
      <c r="E3291" s="22"/>
      <c r="F3291" s="22"/>
      <c r="G3291" s="31"/>
      <c r="J3291" s="23"/>
      <c r="K3291" s="27"/>
    </row>
    <row r="3292" spans="1:11" x14ac:dyDescent="0.25">
      <c r="A3292" s="75"/>
      <c r="B3292" s="69"/>
      <c r="C3292" s="71"/>
      <c r="E3292" s="22"/>
      <c r="F3292" s="22"/>
      <c r="G3292" s="31"/>
      <c r="J3292" s="23"/>
      <c r="K3292" s="27"/>
    </row>
    <row r="3293" spans="1:11" x14ac:dyDescent="0.25">
      <c r="A3293" s="75"/>
      <c r="B3293" s="69"/>
      <c r="C3293" s="71"/>
      <c r="E3293" s="22"/>
      <c r="F3293" s="22"/>
      <c r="G3293" s="31"/>
      <c r="J3293" s="23"/>
      <c r="K3293" s="27"/>
    </row>
    <row r="3294" spans="1:11" x14ac:dyDescent="0.25">
      <c r="A3294" s="75"/>
      <c r="B3294" s="69"/>
      <c r="C3294" s="71"/>
      <c r="E3294" s="22"/>
      <c r="F3294" s="22"/>
      <c r="G3294" s="31"/>
      <c r="J3294" s="23"/>
      <c r="K3294" s="27"/>
    </row>
    <row r="3295" spans="1:11" x14ac:dyDescent="0.25">
      <c r="A3295" s="75"/>
      <c r="B3295" s="69"/>
      <c r="C3295" s="71"/>
      <c r="E3295" s="22"/>
      <c r="F3295" s="22"/>
      <c r="G3295" s="31"/>
      <c r="J3295" s="23"/>
      <c r="K3295" s="27"/>
    </row>
    <row r="3296" spans="1:11" x14ac:dyDescent="0.25">
      <c r="A3296" s="75"/>
      <c r="B3296" s="69"/>
      <c r="C3296" s="71"/>
      <c r="E3296" s="22"/>
      <c r="F3296" s="22"/>
      <c r="G3296" s="31"/>
      <c r="J3296" s="23"/>
      <c r="K3296" s="27"/>
    </row>
    <row r="3297" spans="1:11" x14ac:dyDescent="0.25">
      <c r="A3297" s="75"/>
      <c r="B3297" s="69"/>
      <c r="C3297" s="71"/>
      <c r="E3297" s="22"/>
      <c r="F3297" s="22"/>
      <c r="G3297" s="31"/>
      <c r="J3297" s="23"/>
      <c r="K3297" s="27"/>
    </row>
    <row r="3298" spans="1:11" x14ac:dyDescent="0.25">
      <c r="A3298" s="75"/>
      <c r="B3298" s="69"/>
      <c r="C3298" s="71"/>
      <c r="E3298" s="22"/>
      <c r="F3298" s="22"/>
      <c r="G3298" s="31"/>
      <c r="J3298" s="23"/>
      <c r="K3298" s="27"/>
    </row>
    <row r="3299" spans="1:11" x14ac:dyDescent="0.25">
      <c r="A3299" s="75"/>
      <c r="B3299" s="69"/>
      <c r="C3299" s="71"/>
      <c r="E3299" s="22"/>
      <c r="F3299" s="22"/>
      <c r="G3299" s="31"/>
      <c r="J3299" s="23"/>
      <c r="K3299" s="27"/>
    </row>
    <row r="3300" spans="1:11" x14ac:dyDescent="0.25">
      <c r="A3300" s="75"/>
      <c r="B3300" s="69"/>
      <c r="C3300" s="71"/>
      <c r="E3300" s="22"/>
      <c r="F3300" s="22"/>
      <c r="G3300" s="31"/>
      <c r="J3300" s="23"/>
      <c r="K3300" s="27"/>
    </row>
    <row r="3301" spans="1:11" x14ac:dyDescent="0.25">
      <c r="A3301" s="75"/>
      <c r="B3301" s="69"/>
      <c r="C3301" s="71"/>
      <c r="E3301" s="22"/>
      <c r="F3301" s="22"/>
      <c r="G3301" s="31"/>
      <c r="J3301" s="23"/>
      <c r="K3301" s="27"/>
    </row>
    <row r="3302" spans="1:11" x14ac:dyDescent="0.25">
      <c r="A3302" s="75"/>
      <c r="B3302" s="69"/>
      <c r="C3302" s="71"/>
      <c r="E3302" s="22"/>
      <c r="F3302" s="22"/>
      <c r="G3302" s="31"/>
      <c r="J3302" s="23"/>
      <c r="K3302" s="27"/>
    </row>
    <row r="3303" spans="1:11" x14ac:dyDescent="0.25">
      <c r="A3303" s="75"/>
      <c r="B3303" s="69"/>
      <c r="C3303" s="71"/>
      <c r="E3303" s="22"/>
      <c r="F3303" s="22"/>
      <c r="G3303" s="31"/>
      <c r="J3303" s="23"/>
      <c r="K3303" s="27"/>
    </row>
    <row r="3304" spans="1:11" x14ac:dyDescent="0.25">
      <c r="A3304" s="75"/>
      <c r="B3304" s="69"/>
      <c r="C3304" s="71"/>
      <c r="E3304" s="22"/>
      <c r="F3304" s="22"/>
      <c r="G3304" s="31"/>
      <c r="J3304" s="23"/>
      <c r="K3304" s="27"/>
    </row>
    <row r="3305" spans="1:11" x14ac:dyDescent="0.25">
      <c r="A3305" s="75"/>
      <c r="B3305" s="69"/>
      <c r="C3305" s="71"/>
      <c r="E3305" s="22"/>
      <c r="F3305" s="22"/>
      <c r="G3305" s="31"/>
      <c r="J3305" s="23"/>
      <c r="K3305" s="27"/>
    </row>
    <row r="3306" spans="1:11" x14ac:dyDescent="0.25">
      <c r="A3306" s="75"/>
      <c r="B3306" s="69"/>
      <c r="C3306" s="71"/>
      <c r="E3306" s="22"/>
      <c r="F3306" s="22"/>
      <c r="G3306" s="31"/>
      <c r="J3306" s="23"/>
      <c r="K3306" s="27"/>
    </row>
    <row r="3307" spans="1:11" x14ac:dyDescent="0.25">
      <c r="A3307" s="75"/>
      <c r="B3307" s="69"/>
      <c r="C3307" s="71"/>
      <c r="E3307" s="22"/>
      <c r="F3307" s="22"/>
      <c r="G3307" s="31"/>
      <c r="J3307" s="23"/>
      <c r="K3307" s="27"/>
    </row>
    <row r="3308" spans="1:11" x14ac:dyDescent="0.25">
      <c r="A3308" s="75"/>
      <c r="B3308" s="69"/>
      <c r="C3308" s="71"/>
      <c r="E3308" s="22"/>
      <c r="F3308" s="22"/>
      <c r="G3308" s="31"/>
      <c r="J3308" s="23"/>
      <c r="K3308" s="27"/>
    </row>
    <row r="3309" spans="1:11" x14ac:dyDescent="0.25">
      <c r="A3309" s="75"/>
      <c r="B3309" s="69"/>
      <c r="C3309" s="71"/>
      <c r="E3309" s="22"/>
      <c r="F3309" s="22"/>
      <c r="G3309" s="31"/>
      <c r="J3309" s="23"/>
      <c r="K3309" s="27"/>
    </row>
    <row r="3310" spans="1:11" x14ac:dyDescent="0.25">
      <c r="A3310" s="75"/>
      <c r="B3310" s="69"/>
      <c r="C3310" s="71"/>
      <c r="E3310" s="22"/>
      <c r="F3310" s="22"/>
      <c r="G3310" s="31"/>
      <c r="J3310" s="23"/>
      <c r="K3310" s="27"/>
    </row>
    <row r="3311" spans="1:11" x14ac:dyDescent="0.25">
      <c r="A3311" s="75"/>
      <c r="B3311" s="69"/>
      <c r="C3311" s="71"/>
      <c r="E3311" s="22"/>
      <c r="F3311" s="22"/>
      <c r="G3311" s="31"/>
      <c r="J3311" s="23"/>
      <c r="K3311" s="27"/>
    </row>
    <row r="3312" spans="1:11" x14ac:dyDescent="0.25">
      <c r="A3312" s="75"/>
      <c r="B3312" s="69"/>
      <c r="C3312" s="71"/>
      <c r="E3312" s="22"/>
      <c r="F3312" s="22"/>
      <c r="G3312" s="31"/>
      <c r="J3312" s="23"/>
      <c r="K3312" s="27"/>
    </row>
    <row r="3313" spans="1:11" x14ac:dyDescent="0.25">
      <c r="A3313" s="75"/>
      <c r="B3313" s="69"/>
      <c r="C3313" s="71"/>
      <c r="E3313" s="22"/>
      <c r="F3313" s="22"/>
      <c r="G3313" s="31"/>
      <c r="J3313" s="23"/>
      <c r="K3313" s="27"/>
    </row>
    <row r="3314" spans="1:11" x14ac:dyDescent="0.25">
      <c r="A3314" s="75"/>
      <c r="B3314" s="69"/>
      <c r="C3314" s="71"/>
      <c r="E3314" s="22"/>
      <c r="F3314" s="22"/>
      <c r="G3314" s="31"/>
      <c r="J3314" s="23"/>
      <c r="K3314" s="27"/>
    </row>
    <row r="3315" spans="1:11" x14ac:dyDescent="0.25">
      <c r="A3315" s="75"/>
      <c r="B3315" s="69"/>
      <c r="C3315" s="71"/>
      <c r="E3315" s="22"/>
      <c r="F3315" s="22"/>
      <c r="G3315" s="31"/>
      <c r="J3315" s="23"/>
      <c r="K3315" s="27"/>
    </row>
    <row r="3316" spans="1:11" x14ac:dyDescent="0.25">
      <c r="A3316" s="75"/>
      <c r="B3316" s="69"/>
      <c r="C3316" s="71"/>
      <c r="E3316" s="22"/>
      <c r="F3316" s="22"/>
      <c r="G3316" s="31"/>
      <c r="J3316" s="23"/>
      <c r="K3316" s="27"/>
    </row>
    <row r="3317" spans="1:11" x14ac:dyDescent="0.25">
      <c r="A3317" s="75"/>
      <c r="B3317" s="69"/>
      <c r="C3317" s="71"/>
      <c r="E3317" s="22"/>
      <c r="F3317" s="22"/>
      <c r="G3317" s="31"/>
      <c r="J3317" s="23"/>
      <c r="K3317" s="27"/>
    </row>
    <row r="3318" spans="1:11" x14ac:dyDescent="0.25">
      <c r="A3318" s="75"/>
      <c r="B3318" s="69"/>
      <c r="C3318" s="71"/>
      <c r="E3318" s="22"/>
      <c r="F3318" s="22"/>
      <c r="G3318" s="31"/>
      <c r="J3318" s="23"/>
      <c r="K3318" s="27"/>
    </row>
    <row r="3319" spans="1:11" x14ac:dyDescent="0.25">
      <c r="A3319" s="75"/>
      <c r="B3319" s="69"/>
      <c r="C3319" s="71"/>
      <c r="E3319" s="22"/>
      <c r="F3319" s="22"/>
      <c r="G3319" s="31"/>
      <c r="J3319" s="23"/>
      <c r="K3319" s="27"/>
    </row>
    <row r="3320" spans="1:11" x14ac:dyDescent="0.25">
      <c r="A3320" s="75"/>
      <c r="B3320" s="69"/>
      <c r="C3320" s="71"/>
      <c r="E3320" s="22"/>
      <c r="F3320" s="22"/>
      <c r="G3320" s="31"/>
      <c r="J3320" s="23"/>
      <c r="K3320" s="27"/>
    </row>
    <row r="3321" spans="1:11" x14ac:dyDescent="0.25">
      <c r="A3321" s="75"/>
      <c r="B3321" s="69"/>
      <c r="C3321" s="71"/>
      <c r="E3321" s="22"/>
      <c r="F3321" s="22"/>
      <c r="G3321" s="31"/>
      <c r="J3321" s="23"/>
      <c r="K3321" s="27"/>
    </row>
    <row r="3322" spans="1:11" x14ac:dyDescent="0.25">
      <c r="A3322" s="75"/>
      <c r="B3322" s="69"/>
      <c r="C3322" s="71"/>
      <c r="E3322" s="22"/>
      <c r="F3322" s="22"/>
      <c r="G3322" s="31"/>
      <c r="J3322" s="23"/>
      <c r="K3322" s="27"/>
    </row>
    <row r="3323" spans="1:11" x14ac:dyDescent="0.25">
      <c r="A3323" s="75"/>
      <c r="B3323" s="69"/>
      <c r="C3323" s="71"/>
      <c r="E3323" s="22"/>
      <c r="F3323" s="22"/>
      <c r="G3323" s="31"/>
      <c r="J3323" s="23"/>
      <c r="K3323" s="27"/>
    </row>
    <row r="3324" spans="1:11" x14ac:dyDescent="0.25">
      <c r="A3324" s="75"/>
      <c r="B3324" s="69"/>
      <c r="C3324" s="71"/>
      <c r="E3324" s="22"/>
      <c r="F3324" s="22"/>
      <c r="G3324" s="31"/>
      <c r="J3324" s="23"/>
      <c r="K3324" s="27"/>
    </row>
    <row r="3325" spans="1:11" x14ac:dyDescent="0.25">
      <c r="A3325" s="75"/>
      <c r="B3325" s="69"/>
      <c r="C3325" s="71"/>
      <c r="E3325" s="22"/>
      <c r="F3325" s="22"/>
      <c r="G3325" s="31"/>
      <c r="J3325" s="23"/>
      <c r="K3325" s="27"/>
    </row>
    <row r="3326" spans="1:11" x14ac:dyDescent="0.25">
      <c r="A3326" s="75"/>
      <c r="B3326" s="69"/>
      <c r="C3326" s="71"/>
      <c r="E3326" s="22"/>
      <c r="F3326" s="22"/>
      <c r="G3326" s="31"/>
      <c r="J3326" s="23"/>
      <c r="K3326" s="27"/>
    </row>
    <row r="3327" spans="1:11" x14ac:dyDescent="0.25">
      <c r="A3327" s="75"/>
      <c r="B3327" s="69"/>
      <c r="C3327" s="71"/>
      <c r="E3327" s="22"/>
      <c r="F3327" s="22"/>
      <c r="G3327" s="31"/>
      <c r="J3327" s="23"/>
      <c r="K3327" s="27"/>
    </row>
    <row r="3328" spans="1:11" x14ac:dyDescent="0.25">
      <c r="A3328" s="75"/>
      <c r="B3328" s="69"/>
      <c r="C3328" s="71"/>
      <c r="E3328" s="22"/>
      <c r="F3328" s="22"/>
      <c r="G3328" s="31"/>
      <c r="J3328" s="23"/>
      <c r="K3328" s="27"/>
    </row>
    <row r="3329" spans="1:11" x14ac:dyDescent="0.25">
      <c r="A3329" s="75"/>
      <c r="B3329" s="69"/>
      <c r="C3329" s="71"/>
      <c r="E3329" s="22"/>
      <c r="F3329" s="22"/>
      <c r="G3329" s="31"/>
      <c r="J3329" s="23"/>
      <c r="K3329" s="27"/>
    </row>
    <row r="3330" spans="1:11" x14ac:dyDescent="0.25">
      <c r="A3330" s="75"/>
      <c r="B3330" s="69"/>
      <c r="C3330" s="71"/>
      <c r="E3330" s="22"/>
      <c r="F3330" s="22"/>
      <c r="G3330" s="31"/>
      <c r="J3330" s="23"/>
      <c r="K3330" s="27"/>
    </row>
    <row r="3331" spans="1:11" x14ac:dyDescent="0.25">
      <c r="A3331" s="75"/>
      <c r="B3331" s="69"/>
      <c r="C3331" s="71"/>
      <c r="E3331" s="22"/>
      <c r="F3331" s="22"/>
      <c r="G3331" s="31"/>
      <c r="J3331" s="23"/>
      <c r="K3331" s="27"/>
    </row>
    <row r="3332" spans="1:11" x14ac:dyDescent="0.25">
      <c r="A3332" s="75"/>
      <c r="B3332" s="69"/>
      <c r="C3332" s="71"/>
      <c r="E3332" s="22"/>
      <c r="F3332" s="22"/>
      <c r="G3332" s="31"/>
      <c r="J3332" s="23"/>
      <c r="K3332" s="27"/>
    </row>
    <row r="3333" spans="1:11" x14ac:dyDescent="0.25">
      <c r="A3333" s="75"/>
      <c r="B3333" s="69"/>
      <c r="C3333" s="71"/>
      <c r="E3333" s="22"/>
      <c r="F3333" s="22"/>
      <c r="G3333" s="31"/>
      <c r="J3333" s="23"/>
      <c r="K3333" s="27"/>
    </row>
    <row r="3334" spans="1:11" x14ac:dyDescent="0.25">
      <c r="A3334" s="75"/>
      <c r="B3334" s="69"/>
      <c r="C3334" s="71"/>
      <c r="E3334" s="22"/>
      <c r="F3334" s="22"/>
      <c r="G3334" s="31"/>
      <c r="J3334" s="23"/>
      <c r="K3334" s="27"/>
    </row>
    <row r="3335" spans="1:11" x14ac:dyDescent="0.25">
      <c r="A3335" s="75"/>
      <c r="B3335" s="69"/>
      <c r="C3335" s="71"/>
      <c r="E3335" s="22"/>
      <c r="F3335" s="22"/>
      <c r="G3335" s="31"/>
      <c r="J3335" s="23"/>
      <c r="K3335" s="27"/>
    </row>
    <row r="3336" spans="1:11" x14ac:dyDescent="0.25">
      <c r="A3336" s="75"/>
      <c r="B3336" s="69"/>
      <c r="C3336" s="71"/>
      <c r="E3336" s="22"/>
      <c r="F3336" s="22"/>
      <c r="G3336" s="31"/>
      <c r="J3336" s="23"/>
      <c r="K3336" s="27"/>
    </row>
    <row r="3337" spans="1:11" x14ac:dyDescent="0.25">
      <c r="A3337" s="75"/>
      <c r="B3337" s="69"/>
      <c r="C3337" s="71"/>
      <c r="E3337" s="22"/>
      <c r="F3337" s="22"/>
      <c r="G3337" s="31"/>
      <c r="J3337" s="23"/>
      <c r="K3337" s="27"/>
    </row>
    <row r="3338" spans="1:11" x14ac:dyDescent="0.25">
      <c r="A3338" s="75"/>
      <c r="B3338" s="69"/>
      <c r="C3338" s="71"/>
      <c r="E3338" s="22"/>
      <c r="F3338" s="22"/>
      <c r="G3338" s="31"/>
      <c r="J3338" s="23"/>
      <c r="K3338" s="27"/>
    </row>
    <row r="3339" spans="1:11" x14ac:dyDescent="0.25">
      <c r="A3339" s="75"/>
      <c r="B3339" s="69"/>
      <c r="C3339" s="71"/>
      <c r="E3339" s="22"/>
      <c r="F3339" s="22"/>
      <c r="G3339" s="31"/>
      <c r="J3339" s="23"/>
      <c r="K3339" s="27"/>
    </row>
    <row r="3340" spans="1:11" x14ac:dyDescent="0.25">
      <c r="A3340" s="75"/>
      <c r="B3340" s="69"/>
      <c r="C3340" s="71"/>
      <c r="E3340" s="22"/>
      <c r="F3340" s="22"/>
      <c r="G3340" s="31"/>
      <c r="J3340" s="23"/>
      <c r="K3340" s="27"/>
    </row>
    <row r="3341" spans="1:11" x14ac:dyDescent="0.25">
      <c r="A3341" s="75"/>
      <c r="B3341" s="69"/>
      <c r="C3341" s="71"/>
      <c r="E3341" s="22"/>
      <c r="F3341" s="22"/>
      <c r="G3341" s="31"/>
      <c r="J3341" s="23"/>
      <c r="K3341" s="27"/>
    </row>
    <row r="3342" spans="1:11" x14ac:dyDescent="0.25">
      <c r="A3342" s="75"/>
      <c r="B3342" s="69"/>
      <c r="C3342" s="71"/>
      <c r="E3342" s="22"/>
      <c r="F3342" s="22"/>
      <c r="G3342" s="31"/>
      <c r="J3342" s="23"/>
      <c r="K3342" s="27"/>
    </row>
    <row r="3343" spans="1:11" x14ac:dyDescent="0.25">
      <c r="A3343" s="75"/>
      <c r="B3343" s="69"/>
      <c r="C3343" s="71"/>
      <c r="E3343" s="22"/>
      <c r="F3343" s="22"/>
      <c r="G3343" s="31"/>
      <c r="J3343" s="23"/>
      <c r="K3343" s="27"/>
    </row>
    <row r="3344" spans="1:11" x14ac:dyDescent="0.25">
      <c r="A3344" s="75"/>
      <c r="B3344" s="69"/>
      <c r="C3344" s="71"/>
      <c r="E3344" s="22"/>
      <c r="F3344" s="22"/>
      <c r="G3344" s="31"/>
      <c r="J3344" s="23"/>
      <c r="K3344" s="27"/>
    </row>
    <row r="3345" spans="1:11" x14ac:dyDescent="0.25">
      <c r="A3345" s="75"/>
      <c r="B3345" s="69"/>
      <c r="C3345" s="71"/>
      <c r="E3345" s="22"/>
      <c r="F3345" s="22"/>
      <c r="G3345" s="31"/>
      <c r="J3345" s="23"/>
      <c r="K3345" s="27"/>
    </row>
    <row r="3346" spans="1:11" x14ac:dyDescent="0.25">
      <c r="A3346" s="75"/>
      <c r="B3346" s="69"/>
      <c r="C3346" s="71"/>
      <c r="E3346" s="22"/>
      <c r="F3346" s="22"/>
      <c r="G3346" s="31"/>
      <c r="J3346" s="23"/>
      <c r="K3346" s="27"/>
    </row>
    <row r="3347" spans="1:11" x14ac:dyDescent="0.25">
      <c r="A3347" s="75"/>
      <c r="B3347" s="69"/>
      <c r="C3347" s="71"/>
      <c r="E3347" s="22"/>
      <c r="F3347" s="22"/>
      <c r="G3347" s="31"/>
      <c r="J3347" s="23"/>
      <c r="K3347" s="27"/>
    </row>
    <row r="3348" spans="1:11" x14ac:dyDescent="0.25">
      <c r="A3348" s="75"/>
      <c r="B3348" s="69"/>
      <c r="C3348" s="71"/>
      <c r="E3348" s="22"/>
      <c r="F3348" s="22"/>
      <c r="G3348" s="31"/>
      <c r="J3348" s="23"/>
      <c r="K3348" s="27"/>
    </row>
    <row r="3349" spans="1:11" x14ac:dyDescent="0.25">
      <c r="A3349" s="75"/>
      <c r="B3349" s="69"/>
      <c r="C3349" s="71"/>
      <c r="E3349" s="22"/>
      <c r="F3349" s="22"/>
      <c r="G3349" s="31"/>
      <c r="J3349" s="23"/>
      <c r="K3349" s="27"/>
    </row>
    <row r="3350" spans="1:11" x14ac:dyDescent="0.25">
      <c r="A3350" s="75"/>
      <c r="B3350" s="69"/>
      <c r="C3350" s="71"/>
      <c r="E3350" s="22"/>
      <c r="F3350" s="22"/>
      <c r="G3350" s="31"/>
      <c r="J3350" s="23"/>
      <c r="K3350" s="27"/>
    </row>
    <row r="3351" spans="1:11" x14ac:dyDescent="0.25">
      <c r="A3351" s="75"/>
      <c r="B3351" s="69"/>
      <c r="C3351" s="71"/>
      <c r="E3351" s="22"/>
      <c r="F3351" s="22"/>
      <c r="G3351" s="31"/>
      <c r="J3351" s="23"/>
      <c r="K3351" s="27"/>
    </row>
    <row r="3352" spans="1:11" x14ac:dyDescent="0.25">
      <c r="A3352" s="75"/>
      <c r="B3352" s="69"/>
      <c r="C3352" s="71"/>
      <c r="E3352" s="22"/>
      <c r="F3352" s="22"/>
      <c r="G3352" s="31"/>
      <c r="J3352" s="23"/>
      <c r="K3352" s="27"/>
    </row>
    <row r="3353" spans="1:11" x14ac:dyDescent="0.25">
      <c r="A3353" s="75"/>
      <c r="B3353" s="69"/>
      <c r="C3353" s="71"/>
      <c r="E3353" s="22"/>
      <c r="F3353" s="22"/>
      <c r="G3353" s="31"/>
      <c r="J3353" s="23"/>
      <c r="K3353" s="27"/>
    </row>
    <row r="3354" spans="1:11" x14ac:dyDescent="0.25">
      <c r="A3354" s="75"/>
      <c r="B3354" s="69"/>
      <c r="C3354" s="71"/>
      <c r="E3354" s="22"/>
      <c r="F3354" s="22"/>
      <c r="G3354" s="31"/>
      <c r="J3354" s="23"/>
      <c r="K3354" s="27"/>
    </row>
    <row r="3355" spans="1:11" x14ac:dyDescent="0.25">
      <c r="A3355" s="75"/>
      <c r="B3355" s="69"/>
      <c r="C3355" s="71"/>
      <c r="E3355" s="22"/>
      <c r="F3355" s="22"/>
      <c r="G3355" s="31"/>
      <c r="J3355" s="23"/>
      <c r="K3355" s="27"/>
    </row>
    <row r="3356" spans="1:11" x14ac:dyDescent="0.25">
      <c r="A3356" s="75"/>
      <c r="B3356" s="69"/>
      <c r="C3356" s="71"/>
      <c r="E3356" s="22"/>
      <c r="F3356" s="22"/>
      <c r="G3356" s="31"/>
      <c r="J3356" s="23"/>
      <c r="K3356" s="27"/>
    </row>
    <row r="3357" spans="1:11" x14ac:dyDescent="0.25">
      <c r="A3357" s="75"/>
      <c r="B3357" s="69"/>
      <c r="C3357" s="71"/>
      <c r="E3357" s="22"/>
      <c r="F3357" s="22"/>
      <c r="G3357" s="31"/>
      <c r="J3357" s="23"/>
      <c r="K3357" s="27"/>
    </row>
    <row r="3358" spans="1:11" x14ac:dyDescent="0.25">
      <c r="A3358" s="75"/>
      <c r="B3358" s="69"/>
      <c r="C3358" s="71"/>
      <c r="E3358" s="22"/>
      <c r="F3358" s="22"/>
      <c r="G3358" s="31"/>
      <c r="J3358" s="23"/>
      <c r="K3358" s="27"/>
    </row>
    <row r="3359" spans="1:11" x14ac:dyDescent="0.25">
      <c r="A3359" s="75"/>
      <c r="B3359" s="69"/>
      <c r="C3359" s="71"/>
      <c r="E3359" s="22"/>
      <c r="F3359" s="22"/>
      <c r="G3359" s="31"/>
      <c r="J3359" s="23"/>
      <c r="K3359" s="27"/>
    </row>
    <row r="3360" spans="1:11" x14ac:dyDescent="0.25">
      <c r="A3360" s="75"/>
      <c r="B3360" s="69"/>
      <c r="C3360" s="71"/>
      <c r="E3360" s="22"/>
      <c r="F3360" s="22"/>
      <c r="G3360" s="31"/>
      <c r="J3360" s="23"/>
      <c r="K3360" s="27"/>
    </row>
    <row r="3361" spans="1:11" x14ac:dyDescent="0.25">
      <c r="A3361" s="75"/>
      <c r="B3361" s="69"/>
      <c r="C3361" s="71"/>
      <c r="E3361" s="22"/>
      <c r="F3361" s="22"/>
      <c r="G3361" s="31"/>
      <c r="J3361" s="23"/>
      <c r="K3361" s="27"/>
    </row>
    <row r="3362" spans="1:11" x14ac:dyDescent="0.25">
      <c r="A3362" s="75"/>
      <c r="B3362" s="69"/>
      <c r="C3362" s="71"/>
      <c r="E3362" s="22"/>
      <c r="F3362" s="22"/>
      <c r="G3362" s="31"/>
      <c r="J3362" s="23"/>
      <c r="K3362" s="27"/>
    </row>
    <row r="3363" spans="1:11" x14ac:dyDescent="0.25">
      <c r="A3363" s="75"/>
      <c r="B3363" s="69"/>
      <c r="C3363" s="71"/>
      <c r="E3363" s="22"/>
      <c r="F3363" s="22"/>
      <c r="G3363" s="31"/>
      <c r="J3363" s="23"/>
      <c r="K3363" s="27"/>
    </row>
    <row r="3364" spans="1:11" x14ac:dyDescent="0.25">
      <c r="A3364" s="75"/>
      <c r="B3364" s="69"/>
      <c r="C3364" s="71"/>
      <c r="E3364" s="22"/>
      <c r="F3364" s="22"/>
      <c r="G3364" s="31"/>
      <c r="J3364" s="23"/>
      <c r="K3364" s="27"/>
    </row>
    <row r="3365" spans="1:11" x14ac:dyDescent="0.25">
      <c r="A3365" s="75"/>
      <c r="B3365" s="69"/>
      <c r="C3365" s="71"/>
      <c r="E3365" s="22"/>
      <c r="F3365" s="22"/>
      <c r="G3365" s="31"/>
      <c r="J3365" s="23"/>
      <c r="K3365" s="27"/>
    </row>
    <row r="3366" spans="1:11" x14ac:dyDescent="0.25">
      <c r="A3366" s="75"/>
      <c r="B3366" s="69"/>
      <c r="C3366" s="71"/>
      <c r="E3366" s="22"/>
      <c r="F3366" s="22"/>
      <c r="G3366" s="31"/>
      <c r="J3366" s="23"/>
      <c r="K3366" s="27"/>
    </row>
    <row r="3367" spans="1:11" x14ac:dyDescent="0.25">
      <c r="A3367" s="75"/>
      <c r="B3367" s="69"/>
      <c r="C3367" s="71"/>
      <c r="E3367" s="22"/>
      <c r="F3367" s="22"/>
      <c r="G3367" s="31"/>
      <c r="J3367" s="23"/>
      <c r="K3367" s="27"/>
    </row>
    <row r="3368" spans="1:11" x14ac:dyDescent="0.25">
      <c r="A3368" s="75"/>
      <c r="B3368" s="69"/>
      <c r="C3368" s="71"/>
      <c r="E3368" s="22"/>
      <c r="F3368" s="22"/>
      <c r="G3368" s="31"/>
      <c r="J3368" s="23"/>
      <c r="K3368" s="27"/>
    </row>
    <row r="3369" spans="1:11" x14ac:dyDescent="0.25">
      <c r="A3369" s="75"/>
      <c r="B3369" s="69"/>
      <c r="C3369" s="71"/>
      <c r="E3369" s="22"/>
      <c r="F3369" s="22"/>
      <c r="G3369" s="31"/>
      <c r="J3369" s="23"/>
      <c r="K3369" s="27"/>
    </row>
    <row r="3370" spans="1:11" x14ac:dyDescent="0.25">
      <c r="A3370" s="75"/>
      <c r="B3370" s="69"/>
      <c r="C3370" s="71"/>
      <c r="E3370" s="22"/>
      <c r="F3370" s="22"/>
      <c r="G3370" s="31"/>
      <c r="J3370" s="23"/>
      <c r="K3370" s="27"/>
    </row>
    <row r="3371" spans="1:11" x14ac:dyDescent="0.25">
      <c r="A3371" s="75"/>
      <c r="B3371" s="69"/>
      <c r="C3371" s="71"/>
      <c r="E3371" s="22"/>
      <c r="F3371" s="22"/>
      <c r="G3371" s="31"/>
      <c r="J3371" s="23"/>
      <c r="K3371" s="27"/>
    </row>
    <row r="3372" spans="1:11" x14ac:dyDescent="0.25">
      <c r="A3372" s="75"/>
      <c r="B3372" s="69"/>
      <c r="C3372" s="71"/>
      <c r="E3372" s="22"/>
      <c r="F3372" s="22"/>
      <c r="G3372" s="31"/>
      <c r="J3372" s="23"/>
      <c r="K3372" s="27"/>
    </row>
    <row r="3373" spans="1:11" x14ac:dyDescent="0.25">
      <c r="A3373" s="75"/>
      <c r="B3373" s="69"/>
      <c r="C3373" s="71"/>
      <c r="E3373" s="22"/>
      <c r="F3373" s="22"/>
      <c r="G3373" s="31"/>
      <c r="J3373" s="23"/>
      <c r="K3373" s="27"/>
    </row>
    <row r="3374" spans="1:11" x14ac:dyDescent="0.25">
      <c r="A3374" s="75"/>
      <c r="B3374" s="69"/>
      <c r="C3374" s="71"/>
      <c r="E3374" s="22"/>
      <c r="F3374" s="22"/>
      <c r="G3374" s="31"/>
      <c r="J3374" s="23"/>
      <c r="K3374" s="27"/>
    </row>
    <row r="3375" spans="1:11" x14ac:dyDescent="0.25">
      <c r="A3375" s="75"/>
      <c r="B3375" s="69"/>
      <c r="C3375" s="71"/>
      <c r="E3375" s="22"/>
      <c r="F3375" s="22"/>
      <c r="G3375" s="31"/>
      <c r="J3375" s="23"/>
      <c r="K3375" s="27"/>
    </row>
    <row r="3376" spans="1:11" x14ac:dyDescent="0.25">
      <c r="A3376" s="75"/>
      <c r="B3376" s="69"/>
      <c r="C3376" s="71"/>
      <c r="E3376" s="22"/>
      <c r="F3376" s="22"/>
      <c r="G3376" s="31"/>
      <c r="J3376" s="23"/>
      <c r="K3376" s="27"/>
    </row>
    <row r="3377" spans="1:11" x14ac:dyDescent="0.25">
      <c r="A3377" s="75"/>
      <c r="B3377" s="69"/>
      <c r="C3377" s="71"/>
      <c r="E3377" s="22"/>
      <c r="F3377" s="22"/>
      <c r="G3377" s="31"/>
      <c r="J3377" s="23"/>
      <c r="K3377" s="27"/>
    </row>
    <row r="3378" spans="1:11" x14ac:dyDescent="0.25">
      <c r="A3378" s="75"/>
      <c r="B3378" s="69"/>
      <c r="C3378" s="71"/>
      <c r="E3378" s="22"/>
      <c r="F3378" s="22"/>
      <c r="G3378" s="31"/>
      <c r="J3378" s="23"/>
      <c r="K3378" s="27"/>
    </row>
    <row r="3379" spans="1:11" x14ac:dyDescent="0.25">
      <c r="A3379" s="75"/>
      <c r="B3379" s="69"/>
      <c r="C3379" s="71"/>
      <c r="E3379" s="22"/>
      <c r="F3379" s="22"/>
      <c r="G3379" s="31"/>
      <c r="J3379" s="23"/>
      <c r="K3379" s="27"/>
    </row>
    <row r="3380" spans="1:11" x14ac:dyDescent="0.25">
      <c r="A3380" s="75"/>
      <c r="B3380" s="69"/>
      <c r="C3380" s="71"/>
      <c r="E3380" s="22"/>
      <c r="F3380" s="22"/>
      <c r="G3380" s="31"/>
      <c r="J3380" s="23"/>
      <c r="K3380" s="27"/>
    </row>
    <row r="3381" spans="1:11" x14ac:dyDescent="0.25">
      <c r="A3381" s="75"/>
      <c r="B3381" s="69"/>
      <c r="C3381" s="71"/>
      <c r="E3381" s="22"/>
      <c r="F3381" s="22"/>
      <c r="G3381" s="31"/>
      <c r="J3381" s="23"/>
      <c r="K3381" s="27"/>
    </row>
    <row r="3382" spans="1:11" x14ac:dyDescent="0.25">
      <c r="A3382" s="75"/>
      <c r="B3382" s="69"/>
      <c r="C3382" s="71"/>
      <c r="E3382" s="22"/>
      <c r="F3382" s="22"/>
      <c r="G3382" s="31"/>
      <c r="J3382" s="23"/>
      <c r="K3382" s="27"/>
    </row>
    <row r="3383" spans="1:11" x14ac:dyDescent="0.25">
      <c r="A3383" s="75"/>
      <c r="B3383" s="69"/>
      <c r="C3383" s="71"/>
      <c r="E3383" s="22"/>
      <c r="F3383" s="22"/>
      <c r="G3383" s="31"/>
      <c r="J3383" s="23"/>
      <c r="K3383" s="27"/>
    </row>
    <row r="3384" spans="1:11" x14ac:dyDescent="0.25">
      <c r="A3384" s="75"/>
      <c r="B3384" s="69"/>
      <c r="C3384" s="71"/>
      <c r="E3384" s="22"/>
      <c r="F3384" s="22"/>
      <c r="G3384" s="31"/>
      <c r="J3384" s="23"/>
      <c r="K3384" s="27"/>
    </row>
    <row r="3385" spans="1:11" x14ac:dyDescent="0.25">
      <c r="A3385" s="75"/>
      <c r="B3385" s="69"/>
      <c r="C3385" s="71"/>
      <c r="E3385" s="22"/>
      <c r="F3385" s="22"/>
      <c r="G3385" s="31"/>
      <c r="J3385" s="23"/>
      <c r="K3385" s="27"/>
    </row>
    <row r="3386" spans="1:11" x14ac:dyDescent="0.25">
      <c r="A3386" s="75"/>
      <c r="B3386" s="69"/>
      <c r="C3386" s="71"/>
      <c r="E3386" s="22"/>
      <c r="F3386" s="22"/>
      <c r="G3386" s="31"/>
      <c r="J3386" s="23"/>
      <c r="K3386" s="27"/>
    </row>
    <row r="3387" spans="1:11" x14ac:dyDescent="0.25">
      <c r="A3387" s="75"/>
      <c r="B3387" s="69"/>
      <c r="C3387" s="71"/>
      <c r="E3387" s="22"/>
      <c r="F3387" s="22"/>
      <c r="G3387" s="31"/>
      <c r="J3387" s="23"/>
      <c r="K3387" s="27"/>
    </row>
    <row r="3388" spans="1:11" x14ac:dyDescent="0.25">
      <c r="A3388" s="75"/>
      <c r="B3388" s="69"/>
      <c r="C3388" s="71"/>
      <c r="E3388" s="22"/>
      <c r="F3388" s="22"/>
      <c r="G3388" s="31"/>
      <c r="J3388" s="23"/>
      <c r="K3388" s="27"/>
    </row>
    <row r="3389" spans="1:11" x14ac:dyDescent="0.25">
      <c r="A3389" s="75"/>
      <c r="B3389" s="69"/>
      <c r="C3389" s="71"/>
      <c r="E3389" s="22"/>
      <c r="F3389" s="22"/>
      <c r="G3389" s="31"/>
      <c r="J3389" s="23"/>
      <c r="K3389" s="27"/>
    </row>
    <row r="3390" spans="1:11" x14ac:dyDescent="0.25">
      <c r="A3390" s="75"/>
      <c r="B3390" s="69"/>
      <c r="C3390" s="71"/>
      <c r="E3390" s="22"/>
      <c r="F3390" s="22"/>
      <c r="G3390" s="31"/>
      <c r="J3390" s="23"/>
      <c r="K3390" s="27"/>
    </row>
    <row r="3391" spans="1:11" x14ac:dyDescent="0.25">
      <c r="A3391" s="75"/>
      <c r="B3391" s="69"/>
      <c r="C3391" s="71"/>
      <c r="E3391" s="22"/>
      <c r="F3391" s="22"/>
      <c r="G3391" s="31"/>
      <c r="J3391" s="23"/>
      <c r="K3391" s="27"/>
    </row>
    <row r="3392" spans="1:11" x14ac:dyDescent="0.25">
      <c r="A3392" s="75"/>
      <c r="B3392" s="69"/>
      <c r="C3392" s="71"/>
      <c r="E3392" s="22"/>
      <c r="F3392" s="22"/>
      <c r="G3392" s="31"/>
      <c r="J3392" s="23"/>
      <c r="K3392" s="27"/>
    </row>
    <row r="3393" spans="1:11" x14ac:dyDescent="0.25">
      <c r="A3393" s="75"/>
      <c r="B3393" s="69"/>
      <c r="C3393" s="71"/>
      <c r="E3393" s="22"/>
      <c r="F3393" s="22"/>
      <c r="G3393" s="31"/>
      <c r="J3393" s="23"/>
      <c r="K3393" s="27"/>
    </row>
    <row r="3394" spans="1:11" x14ac:dyDescent="0.25">
      <c r="A3394" s="75"/>
      <c r="B3394" s="69"/>
      <c r="C3394" s="71"/>
      <c r="E3394" s="22"/>
      <c r="F3394" s="22"/>
      <c r="G3394" s="31"/>
      <c r="J3394" s="23"/>
      <c r="K3394" s="27"/>
    </row>
    <row r="3395" spans="1:11" x14ac:dyDescent="0.25">
      <c r="A3395" s="75"/>
      <c r="B3395" s="69"/>
      <c r="C3395" s="71"/>
      <c r="E3395" s="22"/>
      <c r="F3395" s="22"/>
      <c r="G3395" s="31"/>
      <c r="J3395" s="23"/>
      <c r="K3395" s="27"/>
    </row>
    <row r="3396" spans="1:11" x14ac:dyDescent="0.25">
      <c r="A3396" s="75"/>
      <c r="B3396" s="69"/>
      <c r="C3396" s="71"/>
      <c r="E3396" s="22"/>
      <c r="F3396" s="22"/>
      <c r="G3396" s="31"/>
      <c r="J3396" s="23"/>
      <c r="K3396" s="27"/>
    </row>
    <row r="3397" spans="1:11" x14ac:dyDescent="0.25">
      <c r="A3397" s="75"/>
      <c r="B3397" s="69"/>
      <c r="C3397" s="71"/>
      <c r="E3397" s="22"/>
      <c r="F3397" s="22"/>
      <c r="G3397" s="31"/>
      <c r="J3397" s="23"/>
      <c r="K3397" s="27"/>
    </row>
    <row r="3398" spans="1:11" x14ac:dyDescent="0.25">
      <c r="A3398" s="75"/>
      <c r="B3398" s="69"/>
      <c r="C3398" s="71"/>
      <c r="E3398" s="22"/>
      <c r="F3398" s="22"/>
      <c r="G3398" s="31"/>
      <c r="J3398" s="23"/>
      <c r="K3398" s="27"/>
    </row>
    <row r="3399" spans="1:11" x14ac:dyDescent="0.25">
      <c r="A3399" s="75"/>
      <c r="B3399" s="69"/>
      <c r="C3399" s="71"/>
      <c r="E3399" s="22"/>
      <c r="F3399" s="22"/>
      <c r="G3399" s="31"/>
      <c r="J3399" s="23"/>
      <c r="K3399" s="27"/>
    </row>
    <row r="3400" spans="1:11" x14ac:dyDescent="0.25">
      <c r="A3400" s="75"/>
      <c r="B3400" s="69"/>
      <c r="C3400" s="71"/>
      <c r="E3400" s="22"/>
      <c r="F3400" s="22"/>
      <c r="G3400" s="31"/>
      <c r="J3400" s="23"/>
      <c r="K3400" s="27"/>
    </row>
    <row r="3401" spans="1:11" x14ac:dyDescent="0.25">
      <c r="A3401" s="75"/>
      <c r="B3401" s="69"/>
      <c r="C3401" s="71"/>
      <c r="E3401" s="22"/>
      <c r="F3401" s="22"/>
      <c r="G3401" s="31"/>
      <c r="J3401" s="23"/>
      <c r="K3401" s="27"/>
    </row>
    <row r="3402" spans="1:11" x14ac:dyDescent="0.25">
      <c r="A3402" s="75"/>
      <c r="B3402" s="69"/>
      <c r="C3402" s="71"/>
      <c r="E3402" s="22"/>
      <c r="F3402" s="22"/>
      <c r="G3402" s="31"/>
      <c r="J3402" s="23"/>
      <c r="K3402" s="27"/>
    </row>
    <row r="3403" spans="1:11" x14ac:dyDescent="0.25">
      <c r="A3403" s="75"/>
      <c r="B3403" s="69"/>
      <c r="C3403" s="71"/>
      <c r="E3403" s="22"/>
      <c r="F3403" s="22"/>
      <c r="G3403" s="31"/>
      <c r="J3403" s="23"/>
      <c r="K3403" s="27"/>
    </row>
    <row r="3404" spans="1:11" x14ac:dyDescent="0.25">
      <c r="A3404" s="75"/>
      <c r="B3404" s="69"/>
      <c r="C3404" s="71"/>
      <c r="E3404" s="22"/>
      <c r="F3404" s="22"/>
      <c r="G3404" s="31"/>
      <c r="J3404" s="23"/>
      <c r="K3404" s="27"/>
    </row>
    <row r="3405" spans="1:11" x14ac:dyDescent="0.25">
      <c r="A3405" s="75"/>
      <c r="B3405" s="69"/>
      <c r="C3405" s="71"/>
      <c r="E3405" s="22"/>
      <c r="F3405" s="22"/>
      <c r="G3405" s="31"/>
      <c r="J3405" s="23"/>
      <c r="K3405" s="27"/>
    </row>
    <row r="3406" spans="1:11" x14ac:dyDescent="0.25">
      <c r="A3406" s="75"/>
      <c r="B3406" s="69"/>
      <c r="C3406" s="71"/>
      <c r="E3406" s="22"/>
      <c r="F3406" s="22"/>
      <c r="G3406" s="31"/>
      <c r="J3406" s="23"/>
      <c r="K3406" s="27"/>
    </row>
    <row r="3407" spans="1:11" x14ac:dyDescent="0.25">
      <c r="A3407" s="75"/>
      <c r="B3407" s="69"/>
      <c r="C3407" s="71"/>
      <c r="E3407" s="22"/>
      <c r="F3407" s="22"/>
      <c r="G3407" s="31"/>
      <c r="J3407" s="23"/>
      <c r="K3407" s="27"/>
    </row>
    <row r="3408" spans="1:11" x14ac:dyDescent="0.25">
      <c r="A3408" s="75"/>
      <c r="B3408" s="69"/>
      <c r="C3408" s="71"/>
      <c r="E3408" s="22"/>
      <c r="F3408" s="22"/>
      <c r="G3408" s="31"/>
      <c r="J3408" s="23"/>
      <c r="K3408" s="27"/>
    </row>
    <row r="3409" spans="1:11" x14ac:dyDescent="0.25">
      <c r="A3409" s="75"/>
      <c r="B3409" s="69"/>
      <c r="C3409" s="71"/>
      <c r="E3409" s="22"/>
      <c r="F3409" s="22"/>
      <c r="G3409" s="31"/>
      <c r="J3409" s="23"/>
      <c r="K3409" s="27"/>
    </row>
    <row r="3410" spans="1:11" x14ac:dyDescent="0.25">
      <c r="A3410" s="75"/>
      <c r="B3410" s="69"/>
      <c r="C3410" s="71"/>
      <c r="E3410" s="22"/>
      <c r="F3410" s="22"/>
      <c r="G3410" s="31"/>
      <c r="J3410" s="23"/>
      <c r="K3410" s="27"/>
    </row>
    <row r="3411" spans="1:11" x14ac:dyDescent="0.25">
      <c r="A3411" s="75"/>
      <c r="B3411" s="69"/>
      <c r="C3411" s="71"/>
      <c r="E3411" s="22"/>
      <c r="F3411" s="22"/>
      <c r="G3411" s="31"/>
      <c r="J3411" s="23"/>
      <c r="K3411" s="27"/>
    </row>
    <row r="3412" spans="1:11" x14ac:dyDescent="0.25">
      <c r="A3412" s="75"/>
      <c r="B3412" s="69"/>
      <c r="C3412" s="71"/>
      <c r="E3412" s="22"/>
      <c r="F3412" s="22"/>
      <c r="G3412" s="31"/>
      <c r="J3412" s="23"/>
      <c r="K3412" s="27"/>
    </row>
    <row r="3413" spans="1:11" x14ac:dyDescent="0.25">
      <c r="A3413" s="75"/>
      <c r="B3413" s="69"/>
      <c r="C3413" s="71"/>
      <c r="E3413" s="22"/>
      <c r="F3413" s="22"/>
      <c r="G3413" s="31"/>
      <c r="J3413" s="23"/>
      <c r="K3413" s="27"/>
    </row>
    <row r="3414" spans="1:11" x14ac:dyDescent="0.25">
      <c r="A3414" s="75"/>
      <c r="B3414" s="69"/>
      <c r="C3414" s="71"/>
      <c r="E3414" s="22"/>
      <c r="F3414" s="22"/>
      <c r="G3414" s="31"/>
      <c r="J3414" s="23"/>
      <c r="K3414" s="27"/>
    </row>
    <row r="3415" spans="1:11" x14ac:dyDescent="0.25">
      <c r="A3415" s="75"/>
      <c r="B3415" s="69"/>
      <c r="C3415" s="71"/>
      <c r="E3415" s="22"/>
      <c r="F3415" s="22"/>
      <c r="G3415" s="31"/>
      <c r="J3415" s="23"/>
      <c r="K3415" s="27"/>
    </row>
    <row r="3416" spans="1:11" x14ac:dyDescent="0.25">
      <c r="A3416" s="75"/>
      <c r="B3416" s="69"/>
      <c r="C3416" s="71"/>
      <c r="E3416" s="22"/>
      <c r="F3416" s="22"/>
      <c r="G3416" s="31"/>
      <c r="J3416" s="23"/>
      <c r="K3416" s="27"/>
    </row>
    <row r="3417" spans="1:11" x14ac:dyDescent="0.25">
      <c r="A3417" s="75"/>
      <c r="B3417" s="69"/>
      <c r="C3417" s="71"/>
      <c r="E3417" s="22"/>
      <c r="F3417" s="22"/>
      <c r="G3417" s="31"/>
      <c r="J3417" s="23"/>
      <c r="K3417" s="27"/>
    </row>
    <row r="3418" spans="1:11" x14ac:dyDescent="0.25">
      <c r="A3418" s="75"/>
      <c r="B3418" s="69"/>
      <c r="C3418" s="71"/>
      <c r="E3418" s="22"/>
      <c r="F3418" s="22"/>
      <c r="G3418" s="31"/>
      <c r="J3418" s="23"/>
      <c r="K3418" s="27"/>
    </row>
    <row r="3419" spans="1:11" x14ac:dyDescent="0.25">
      <c r="A3419" s="75"/>
      <c r="B3419" s="69"/>
      <c r="C3419" s="71"/>
      <c r="E3419" s="22"/>
      <c r="F3419" s="22"/>
      <c r="G3419" s="31"/>
      <c r="J3419" s="23"/>
      <c r="K3419" s="27"/>
    </row>
    <row r="3420" spans="1:11" x14ac:dyDescent="0.25">
      <c r="A3420" s="75"/>
      <c r="B3420" s="69"/>
      <c r="C3420" s="71"/>
      <c r="E3420" s="22"/>
      <c r="F3420" s="22"/>
      <c r="G3420" s="31"/>
      <c r="J3420" s="23"/>
      <c r="K3420" s="27"/>
    </row>
    <row r="3421" spans="1:11" x14ac:dyDescent="0.25">
      <c r="A3421" s="75"/>
      <c r="B3421" s="69"/>
      <c r="C3421" s="71"/>
      <c r="E3421" s="22"/>
      <c r="F3421" s="22"/>
      <c r="G3421" s="31"/>
      <c r="J3421" s="23"/>
      <c r="K3421" s="27"/>
    </row>
    <row r="3422" spans="1:11" x14ac:dyDescent="0.25">
      <c r="A3422" s="75"/>
      <c r="B3422" s="69"/>
      <c r="C3422" s="71"/>
      <c r="E3422" s="22"/>
      <c r="F3422" s="22"/>
      <c r="G3422" s="31"/>
      <c r="J3422" s="23"/>
      <c r="K3422" s="27"/>
    </row>
    <row r="3423" spans="1:11" x14ac:dyDescent="0.25">
      <c r="A3423" s="75"/>
      <c r="B3423" s="69"/>
      <c r="C3423" s="71"/>
      <c r="E3423" s="22"/>
      <c r="F3423" s="22"/>
      <c r="G3423" s="31"/>
      <c r="J3423" s="23"/>
      <c r="K3423" s="27"/>
    </row>
    <row r="3424" spans="1:11" x14ac:dyDescent="0.25">
      <c r="A3424" s="75"/>
      <c r="B3424" s="69"/>
      <c r="C3424" s="71"/>
      <c r="E3424" s="22"/>
      <c r="F3424" s="22"/>
      <c r="G3424" s="31"/>
      <c r="J3424" s="23"/>
      <c r="K3424" s="27"/>
    </row>
    <row r="3425" spans="1:11" x14ac:dyDescent="0.25">
      <c r="A3425" s="75"/>
      <c r="B3425" s="69"/>
      <c r="C3425" s="71"/>
      <c r="E3425" s="22"/>
      <c r="F3425" s="22"/>
      <c r="G3425" s="31"/>
      <c r="J3425" s="23"/>
      <c r="K3425" s="27"/>
    </row>
    <row r="3426" spans="1:11" x14ac:dyDescent="0.25">
      <c r="A3426" s="75"/>
      <c r="B3426" s="69"/>
      <c r="C3426" s="71"/>
      <c r="E3426" s="22"/>
      <c r="F3426" s="22"/>
      <c r="G3426" s="31"/>
      <c r="J3426" s="23"/>
      <c r="K3426" s="27"/>
    </row>
    <row r="3427" spans="1:11" x14ac:dyDescent="0.25">
      <c r="A3427" s="75"/>
      <c r="B3427" s="69"/>
      <c r="C3427" s="71"/>
      <c r="E3427" s="22"/>
      <c r="F3427" s="22"/>
      <c r="G3427" s="31"/>
      <c r="J3427" s="23"/>
      <c r="K3427" s="27"/>
    </row>
    <row r="3428" spans="1:11" x14ac:dyDescent="0.25">
      <c r="A3428" s="75"/>
      <c r="B3428" s="69"/>
      <c r="C3428" s="71"/>
      <c r="E3428" s="22"/>
      <c r="F3428" s="22"/>
      <c r="G3428" s="31"/>
      <c r="J3428" s="23"/>
      <c r="K3428" s="27"/>
    </row>
    <row r="3429" spans="1:11" x14ac:dyDescent="0.25">
      <c r="A3429" s="75"/>
      <c r="B3429" s="69"/>
      <c r="C3429" s="71"/>
      <c r="E3429" s="22"/>
      <c r="F3429" s="22"/>
      <c r="G3429" s="31"/>
      <c r="J3429" s="23"/>
      <c r="K3429" s="27"/>
    </row>
    <row r="3430" spans="1:11" x14ac:dyDescent="0.25">
      <c r="A3430" s="75"/>
      <c r="B3430" s="69"/>
      <c r="C3430" s="71"/>
      <c r="E3430" s="22"/>
      <c r="F3430" s="22"/>
      <c r="G3430" s="31"/>
      <c r="J3430" s="23"/>
      <c r="K3430" s="27"/>
    </row>
    <row r="3431" spans="1:11" x14ac:dyDescent="0.25">
      <c r="A3431" s="75"/>
      <c r="B3431" s="69"/>
      <c r="C3431" s="71"/>
      <c r="E3431" s="22"/>
      <c r="F3431" s="22"/>
      <c r="G3431" s="31"/>
      <c r="J3431" s="23"/>
      <c r="K3431" s="27"/>
    </row>
    <row r="3432" spans="1:11" x14ac:dyDescent="0.25">
      <c r="A3432" s="75"/>
      <c r="B3432" s="69"/>
      <c r="C3432" s="71"/>
      <c r="E3432" s="22"/>
      <c r="F3432" s="22"/>
      <c r="G3432" s="31"/>
      <c r="J3432" s="23"/>
      <c r="K3432" s="27"/>
    </row>
    <row r="3433" spans="1:11" x14ac:dyDescent="0.25">
      <c r="A3433" s="75"/>
      <c r="B3433" s="69"/>
      <c r="C3433" s="71"/>
      <c r="E3433" s="22"/>
      <c r="F3433" s="22"/>
      <c r="G3433" s="31"/>
      <c r="J3433" s="23"/>
      <c r="K3433" s="27"/>
    </row>
    <row r="3434" spans="1:11" x14ac:dyDescent="0.25">
      <c r="A3434" s="75"/>
      <c r="B3434" s="69"/>
      <c r="C3434" s="71"/>
      <c r="E3434" s="22"/>
      <c r="F3434" s="22"/>
      <c r="G3434" s="31"/>
      <c r="J3434" s="23"/>
      <c r="K3434" s="27"/>
    </row>
    <row r="3435" spans="1:11" x14ac:dyDescent="0.25">
      <c r="A3435" s="75"/>
      <c r="B3435" s="69"/>
      <c r="C3435" s="71"/>
      <c r="E3435" s="22"/>
      <c r="F3435" s="22"/>
      <c r="G3435" s="31"/>
      <c r="J3435" s="23"/>
      <c r="K3435" s="27"/>
    </row>
    <row r="3436" spans="1:11" x14ac:dyDescent="0.25">
      <c r="A3436" s="75"/>
      <c r="B3436" s="69"/>
      <c r="C3436" s="71"/>
      <c r="E3436" s="22"/>
      <c r="F3436" s="22"/>
      <c r="G3436" s="31"/>
      <c r="J3436" s="23"/>
      <c r="K3436" s="27"/>
    </row>
    <row r="3437" spans="1:11" x14ac:dyDescent="0.25">
      <c r="A3437" s="75"/>
      <c r="B3437" s="69"/>
      <c r="C3437" s="71"/>
      <c r="E3437" s="22"/>
      <c r="F3437" s="22"/>
      <c r="G3437" s="31"/>
      <c r="J3437" s="23"/>
      <c r="K3437" s="27"/>
    </row>
    <row r="3438" spans="1:11" x14ac:dyDescent="0.25">
      <c r="A3438" s="75"/>
      <c r="B3438" s="69"/>
      <c r="C3438" s="71"/>
      <c r="E3438" s="22"/>
      <c r="F3438" s="22"/>
      <c r="G3438" s="31"/>
      <c r="J3438" s="23"/>
      <c r="K3438" s="27"/>
    </row>
    <row r="3439" spans="1:11" x14ac:dyDescent="0.25">
      <c r="A3439" s="75"/>
      <c r="B3439" s="69"/>
      <c r="C3439" s="71"/>
      <c r="E3439" s="22"/>
      <c r="F3439" s="22"/>
      <c r="G3439" s="31"/>
      <c r="J3439" s="23"/>
      <c r="K3439" s="27"/>
    </row>
    <row r="3440" spans="1:11" x14ac:dyDescent="0.25">
      <c r="A3440" s="75"/>
      <c r="B3440" s="69"/>
      <c r="C3440" s="71"/>
      <c r="E3440" s="22"/>
      <c r="F3440" s="22"/>
      <c r="G3440" s="31"/>
      <c r="J3440" s="23"/>
      <c r="K3440" s="27"/>
    </row>
    <row r="3441" spans="1:11" x14ac:dyDescent="0.25">
      <c r="A3441" s="75"/>
      <c r="B3441" s="69"/>
      <c r="C3441" s="71"/>
      <c r="E3441" s="22"/>
      <c r="F3441" s="22"/>
      <c r="G3441" s="31"/>
      <c r="J3441" s="23"/>
      <c r="K3441" s="27"/>
    </row>
    <row r="3442" spans="1:11" x14ac:dyDescent="0.25">
      <c r="A3442" s="75"/>
      <c r="B3442" s="69"/>
      <c r="C3442" s="71"/>
      <c r="E3442" s="22"/>
      <c r="F3442" s="22"/>
      <c r="G3442" s="31"/>
      <c r="J3442" s="23"/>
      <c r="K3442" s="27"/>
    </row>
    <row r="3443" spans="1:11" x14ac:dyDescent="0.25">
      <c r="A3443" s="75"/>
      <c r="B3443" s="69"/>
      <c r="C3443" s="71"/>
      <c r="E3443" s="22"/>
      <c r="F3443" s="22"/>
      <c r="G3443" s="31"/>
      <c r="J3443" s="23"/>
      <c r="K3443" s="27"/>
    </row>
    <row r="3444" spans="1:11" x14ac:dyDescent="0.25">
      <c r="A3444" s="75"/>
      <c r="B3444" s="69"/>
      <c r="C3444" s="71"/>
      <c r="E3444" s="22"/>
      <c r="F3444" s="22"/>
      <c r="G3444" s="31"/>
      <c r="J3444" s="23"/>
      <c r="K3444" s="27"/>
    </row>
    <row r="3445" spans="1:11" x14ac:dyDescent="0.25">
      <c r="A3445" s="75"/>
      <c r="B3445" s="69"/>
      <c r="C3445" s="71"/>
      <c r="E3445" s="22"/>
      <c r="F3445" s="22"/>
      <c r="G3445" s="31"/>
      <c r="J3445" s="23"/>
      <c r="K3445" s="27"/>
    </row>
    <row r="3446" spans="1:11" x14ac:dyDescent="0.25">
      <c r="A3446" s="75"/>
      <c r="B3446" s="69"/>
      <c r="C3446" s="71"/>
      <c r="E3446" s="22"/>
      <c r="F3446" s="22"/>
      <c r="G3446" s="31"/>
      <c r="J3446" s="23"/>
      <c r="K3446" s="27"/>
    </row>
    <row r="3447" spans="1:11" x14ac:dyDescent="0.25">
      <c r="A3447" s="75"/>
      <c r="B3447" s="69"/>
      <c r="C3447" s="71"/>
      <c r="E3447" s="22"/>
      <c r="F3447" s="22"/>
      <c r="G3447" s="31"/>
      <c r="J3447" s="23"/>
      <c r="K3447" s="27"/>
    </row>
    <row r="3448" spans="1:11" x14ac:dyDescent="0.25">
      <c r="A3448" s="75"/>
      <c r="B3448" s="69"/>
      <c r="C3448" s="71"/>
      <c r="E3448" s="22"/>
      <c r="F3448" s="22"/>
      <c r="G3448" s="31"/>
      <c r="J3448" s="23"/>
      <c r="K3448" s="27"/>
    </row>
    <row r="3449" spans="1:11" x14ac:dyDescent="0.25">
      <c r="A3449" s="75"/>
      <c r="B3449" s="69"/>
      <c r="C3449" s="71"/>
      <c r="E3449" s="22"/>
      <c r="F3449" s="22"/>
      <c r="G3449" s="31"/>
      <c r="J3449" s="23"/>
      <c r="K3449" s="27"/>
    </row>
    <row r="3450" spans="1:11" x14ac:dyDescent="0.25">
      <c r="A3450" s="75"/>
      <c r="B3450" s="69"/>
      <c r="C3450" s="71"/>
      <c r="E3450" s="22"/>
      <c r="F3450" s="22"/>
      <c r="G3450" s="31"/>
      <c r="J3450" s="23"/>
      <c r="K3450" s="27"/>
    </row>
    <row r="3451" spans="1:11" x14ac:dyDescent="0.25">
      <c r="A3451" s="75"/>
      <c r="B3451" s="69"/>
      <c r="C3451" s="71"/>
      <c r="E3451" s="22"/>
      <c r="F3451" s="22"/>
      <c r="G3451" s="31"/>
      <c r="J3451" s="23"/>
      <c r="K3451" s="27"/>
    </row>
    <row r="3452" spans="1:11" x14ac:dyDescent="0.25">
      <c r="A3452" s="75"/>
      <c r="B3452" s="69"/>
      <c r="C3452" s="71"/>
      <c r="E3452" s="22"/>
      <c r="F3452" s="22"/>
      <c r="G3452" s="31"/>
      <c r="J3452" s="23"/>
      <c r="K3452" s="27"/>
    </row>
    <row r="3453" spans="1:11" x14ac:dyDescent="0.25">
      <c r="A3453" s="75"/>
      <c r="B3453" s="69"/>
      <c r="C3453" s="71"/>
      <c r="E3453" s="22"/>
      <c r="F3453" s="22"/>
      <c r="G3453" s="31"/>
      <c r="J3453" s="23"/>
      <c r="K3453" s="27"/>
    </row>
    <row r="3454" spans="1:11" x14ac:dyDescent="0.25">
      <c r="A3454" s="75"/>
      <c r="B3454" s="69"/>
      <c r="C3454" s="71"/>
      <c r="E3454" s="22"/>
      <c r="F3454" s="22"/>
      <c r="G3454" s="31"/>
      <c r="J3454" s="23"/>
      <c r="K3454" s="27"/>
    </row>
    <row r="3455" spans="1:11" x14ac:dyDescent="0.25">
      <c r="A3455" s="75"/>
      <c r="B3455" s="69"/>
      <c r="C3455" s="71"/>
      <c r="E3455" s="22"/>
      <c r="F3455" s="22"/>
      <c r="G3455" s="31"/>
      <c r="J3455" s="23"/>
      <c r="K3455" s="27"/>
    </row>
    <row r="3456" spans="1:11" x14ac:dyDescent="0.25">
      <c r="A3456" s="75"/>
      <c r="B3456" s="69"/>
      <c r="C3456" s="71"/>
      <c r="E3456" s="22"/>
      <c r="F3456" s="22"/>
      <c r="G3456" s="31"/>
      <c r="J3456" s="23"/>
      <c r="K3456" s="27"/>
    </row>
    <row r="3457" spans="1:11" x14ac:dyDescent="0.25">
      <c r="A3457" s="75"/>
      <c r="B3457" s="69"/>
      <c r="C3457" s="71"/>
      <c r="E3457" s="22"/>
      <c r="F3457" s="22"/>
      <c r="G3457" s="31"/>
      <c r="J3457" s="23"/>
      <c r="K3457" s="27"/>
    </row>
    <row r="3458" spans="1:11" x14ac:dyDescent="0.25">
      <c r="A3458" s="75"/>
      <c r="B3458" s="69"/>
      <c r="C3458" s="71"/>
      <c r="E3458" s="22"/>
      <c r="F3458" s="22"/>
      <c r="G3458" s="31"/>
      <c r="J3458" s="23"/>
      <c r="K3458" s="27"/>
    </row>
    <row r="3459" spans="1:11" x14ac:dyDescent="0.25">
      <c r="A3459" s="75"/>
      <c r="B3459" s="69"/>
      <c r="C3459" s="71"/>
      <c r="E3459" s="22"/>
      <c r="F3459" s="22"/>
      <c r="G3459" s="31"/>
      <c r="J3459" s="23"/>
      <c r="K3459" s="27"/>
    </row>
    <row r="3460" spans="1:11" x14ac:dyDescent="0.25">
      <c r="A3460" s="75"/>
      <c r="B3460" s="69"/>
      <c r="C3460" s="71"/>
      <c r="E3460" s="22"/>
      <c r="F3460" s="22"/>
      <c r="G3460" s="31"/>
      <c r="J3460" s="23"/>
      <c r="K3460" s="27"/>
    </row>
    <row r="3461" spans="1:11" x14ac:dyDescent="0.25">
      <c r="A3461" s="75"/>
      <c r="B3461" s="69"/>
      <c r="C3461" s="71"/>
      <c r="E3461" s="22"/>
      <c r="F3461" s="22"/>
      <c r="G3461" s="31"/>
      <c r="J3461" s="23"/>
      <c r="K3461" s="27"/>
    </row>
    <row r="3462" spans="1:11" x14ac:dyDescent="0.25">
      <c r="A3462" s="75"/>
      <c r="B3462" s="69"/>
      <c r="C3462" s="71"/>
      <c r="E3462" s="22"/>
      <c r="F3462" s="22"/>
      <c r="G3462" s="31"/>
      <c r="J3462" s="23"/>
      <c r="K3462" s="27"/>
    </row>
    <row r="3463" spans="1:11" x14ac:dyDescent="0.25">
      <c r="A3463" s="75"/>
      <c r="B3463" s="69"/>
      <c r="C3463" s="71"/>
      <c r="E3463" s="22"/>
      <c r="F3463" s="22"/>
      <c r="G3463" s="31"/>
      <c r="J3463" s="23"/>
      <c r="K3463" s="27"/>
    </row>
    <row r="3464" spans="1:11" x14ac:dyDescent="0.25">
      <c r="A3464" s="75"/>
      <c r="B3464" s="69"/>
      <c r="C3464" s="71"/>
      <c r="E3464" s="22"/>
      <c r="F3464" s="22"/>
      <c r="G3464" s="31"/>
      <c r="J3464" s="23"/>
      <c r="K3464" s="27"/>
    </row>
    <row r="3465" spans="1:11" x14ac:dyDescent="0.25">
      <c r="A3465" s="75"/>
      <c r="B3465" s="69"/>
      <c r="C3465" s="71"/>
      <c r="E3465" s="22"/>
      <c r="F3465" s="22"/>
      <c r="G3465" s="31"/>
      <c r="J3465" s="23"/>
      <c r="K3465" s="27"/>
    </row>
    <row r="3466" spans="1:11" x14ac:dyDescent="0.25">
      <c r="A3466" s="75"/>
      <c r="B3466" s="69"/>
      <c r="C3466" s="71"/>
      <c r="E3466" s="22"/>
      <c r="F3466" s="22"/>
      <c r="G3466" s="31"/>
      <c r="J3466" s="23"/>
      <c r="K3466" s="27"/>
    </row>
    <row r="3467" spans="1:11" x14ac:dyDescent="0.25">
      <c r="A3467" s="75"/>
      <c r="B3467" s="69"/>
      <c r="C3467" s="71"/>
      <c r="E3467" s="22"/>
      <c r="F3467" s="22"/>
      <c r="G3467" s="31"/>
      <c r="J3467" s="23"/>
      <c r="K3467" s="27"/>
    </row>
    <row r="3468" spans="1:11" x14ac:dyDescent="0.25">
      <c r="A3468" s="75"/>
      <c r="B3468" s="69"/>
      <c r="C3468" s="71"/>
      <c r="E3468" s="22"/>
      <c r="F3468" s="22"/>
      <c r="G3468" s="31"/>
      <c r="J3468" s="23"/>
      <c r="K3468" s="27"/>
    </row>
    <row r="3469" spans="1:11" x14ac:dyDescent="0.25">
      <c r="A3469" s="75"/>
      <c r="B3469" s="69"/>
      <c r="C3469" s="71"/>
      <c r="E3469" s="22"/>
      <c r="F3469" s="22"/>
      <c r="G3469" s="31"/>
      <c r="J3469" s="23"/>
      <c r="K3469" s="27"/>
    </row>
    <row r="3470" spans="1:11" x14ac:dyDescent="0.25">
      <c r="A3470" s="75"/>
      <c r="B3470" s="69"/>
      <c r="C3470" s="71"/>
      <c r="E3470" s="22"/>
      <c r="F3470" s="22"/>
      <c r="G3470" s="31"/>
      <c r="J3470" s="23"/>
      <c r="K3470" s="27"/>
    </row>
    <row r="3471" spans="1:11" x14ac:dyDescent="0.25">
      <c r="A3471" s="75"/>
      <c r="B3471" s="69"/>
      <c r="C3471" s="71"/>
      <c r="E3471" s="22"/>
      <c r="F3471" s="22"/>
      <c r="G3471" s="31"/>
      <c r="J3471" s="23"/>
      <c r="K3471" s="27"/>
    </row>
    <row r="3472" spans="1:11" x14ac:dyDescent="0.25">
      <c r="A3472" s="75"/>
      <c r="B3472" s="69"/>
      <c r="C3472" s="71"/>
      <c r="E3472" s="22"/>
      <c r="F3472" s="22"/>
      <c r="G3472" s="31"/>
      <c r="J3472" s="23"/>
      <c r="K3472" s="27"/>
    </row>
    <row r="3473" spans="1:11" x14ac:dyDescent="0.25">
      <c r="A3473" s="75"/>
      <c r="B3473" s="69"/>
      <c r="C3473" s="71"/>
      <c r="E3473" s="22"/>
      <c r="F3473" s="22"/>
      <c r="G3473" s="31"/>
      <c r="J3473" s="23"/>
      <c r="K3473" s="27"/>
    </row>
    <row r="3474" spans="1:11" x14ac:dyDescent="0.25">
      <c r="A3474" s="75"/>
      <c r="B3474" s="69"/>
      <c r="C3474" s="71"/>
      <c r="E3474" s="22"/>
      <c r="F3474" s="22"/>
      <c r="G3474" s="31"/>
      <c r="J3474" s="23"/>
      <c r="K3474" s="27"/>
    </row>
    <row r="3475" spans="1:11" x14ac:dyDescent="0.25">
      <c r="A3475" s="75"/>
      <c r="B3475" s="69"/>
      <c r="C3475" s="71"/>
      <c r="E3475" s="22"/>
      <c r="F3475" s="22"/>
      <c r="G3475" s="31"/>
      <c r="J3475" s="23"/>
      <c r="K3475" s="27"/>
    </row>
    <row r="3476" spans="1:11" x14ac:dyDescent="0.25">
      <c r="A3476" s="75"/>
      <c r="B3476" s="69"/>
      <c r="C3476" s="71"/>
      <c r="E3476" s="22"/>
      <c r="F3476" s="22"/>
      <c r="G3476" s="31"/>
      <c r="J3476" s="23"/>
      <c r="K3476" s="27"/>
    </row>
    <row r="3477" spans="1:11" x14ac:dyDescent="0.25">
      <c r="A3477" s="75"/>
      <c r="B3477" s="69"/>
      <c r="C3477" s="71"/>
      <c r="E3477" s="22"/>
      <c r="F3477" s="22"/>
      <c r="G3477" s="31"/>
      <c r="J3477" s="23"/>
      <c r="K3477" s="27"/>
    </row>
    <row r="3478" spans="1:11" x14ac:dyDescent="0.25">
      <c r="A3478" s="75"/>
      <c r="B3478" s="69"/>
      <c r="C3478" s="71"/>
      <c r="E3478" s="22"/>
      <c r="F3478" s="22"/>
      <c r="G3478" s="31"/>
      <c r="J3478" s="23"/>
      <c r="K3478" s="27"/>
    </row>
    <row r="3479" spans="1:11" x14ac:dyDescent="0.25">
      <c r="A3479" s="75"/>
      <c r="B3479" s="69"/>
      <c r="C3479" s="71"/>
      <c r="E3479" s="22"/>
      <c r="F3479" s="22"/>
      <c r="G3479" s="31"/>
      <c r="J3479" s="23"/>
      <c r="K3479" s="27"/>
    </row>
    <row r="3480" spans="1:11" x14ac:dyDescent="0.25">
      <c r="A3480" s="75"/>
      <c r="B3480" s="69"/>
      <c r="C3480" s="71"/>
      <c r="E3480" s="22"/>
      <c r="F3480" s="22"/>
      <c r="G3480" s="31"/>
      <c r="J3480" s="23"/>
      <c r="K3480" s="27"/>
    </row>
    <row r="3481" spans="1:11" x14ac:dyDescent="0.25">
      <c r="A3481" s="75"/>
      <c r="B3481" s="69"/>
      <c r="C3481" s="71"/>
      <c r="E3481" s="22"/>
      <c r="F3481" s="22"/>
      <c r="G3481" s="31"/>
      <c r="J3481" s="23"/>
      <c r="K3481" s="27"/>
    </row>
    <row r="3482" spans="1:11" x14ac:dyDescent="0.25">
      <c r="A3482" s="75"/>
      <c r="B3482" s="69"/>
      <c r="C3482" s="71"/>
      <c r="E3482" s="22"/>
      <c r="F3482" s="22"/>
      <c r="G3482" s="31"/>
      <c r="J3482" s="23"/>
      <c r="K3482" s="27"/>
    </row>
    <row r="3483" spans="1:11" x14ac:dyDescent="0.25">
      <c r="A3483" s="75"/>
      <c r="B3483" s="69"/>
      <c r="C3483" s="71"/>
      <c r="E3483" s="22"/>
      <c r="F3483" s="22"/>
      <c r="G3483" s="31"/>
      <c r="J3483" s="23"/>
      <c r="K3483" s="27"/>
    </row>
    <row r="3484" spans="1:11" x14ac:dyDescent="0.25">
      <c r="A3484" s="75"/>
      <c r="B3484" s="69"/>
      <c r="C3484" s="71"/>
      <c r="E3484" s="22"/>
      <c r="F3484" s="22"/>
      <c r="G3484" s="31"/>
      <c r="J3484" s="23"/>
      <c r="K3484" s="27"/>
    </row>
    <row r="3485" spans="1:11" x14ac:dyDescent="0.25">
      <c r="A3485" s="75"/>
      <c r="B3485" s="69"/>
      <c r="C3485" s="71"/>
      <c r="E3485" s="22"/>
      <c r="F3485" s="22"/>
      <c r="G3485" s="31"/>
      <c r="J3485" s="23"/>
      <c r="K3485" s="27"/>
    </row>
    <row r="3486" spans="1:11" x14ac:dyDescent="0.25">
      <c r="A3486" s="75"/>
      <c r="B3486" s="69"/>
      <c r="C3486" s="71"/>
      <c r="E3486" s="22"/>
      <c r="F3486" s="22"/>
      <c r="G3486" s="31"/>
      <c r="J3486" s="23"/>
      <c r="K3486" s="27"/>
    </row>
    <row r="3487" spans="1:11" x14ac:dyDescent="0.25">
      <c r="A3487" s="75"/>
      <c r="B3487" s="69"/>
      <c r="C3487" s="71"/>
      <c r="E3487" s="22"/>
      <c r="F3487" s="22"/>
      <c r="G3487" s="31"/>
      <c r="J3487" s="23"/>
      <c r="K3487" s="27"/>
    </row>
    <row r="3488" spans="1:11" x14ac:dyDescent="0.25">
      <c r="A3488" s="75"/>
      <c r="B3488" s="69"/>
      <c r="C3488" s="71"/>
      <c r="E3488" s="22"/>
      <c r="F3488" s="22"/>
      <c r="G3488" s="31"/>
      <c r="J3488" s="23"/>
      <c r="K3488" s="27"/>
    </row>
    <row r="3489" spans="1:11" x14ac:dyDescent="0.25">
      <c r="A3489" s="75"/>
      <c r="B3489" s="69"/>
      <c r="C3489" s="71"/>
      <c r="E3489" s="22"/>
      <c r="F3489" s="22"/>
      <c r="G3489" s="31"/>
      <c r="J3489" s="23"/>
      <c r="K3489" s="27"/>
    </row>
    <row r="3490" spans="1:11" x14ac:dyDescent="0.25">
      <c r="A3490" s="75"/>
      <c r="B3490" s="69"/>
      <c r="C3490" s="71"/>
      <c r="E3490" s="22"/>
      <c r="F3490" s="22"/>
      <c r="G3490" s="31"/>
      <c r="J3490" s="23"/>
      <c r="K3490" s="27"/>
    </row>
    <row r="3491" spans="1:11" x14ac:dyDescent="0.25">
      <c r="A3491" s="75"/>
      <c r="B3491" s="69"/>
      <c r="C3491" s="71"/>
      <c r="E3491" s="22"/>
      <c r="F3491" s="22"/>
      <c r="G3491" s="31"/>
      <c r="J3491" s="23"/>
      <c r="K3491" s="27"/>
    </row>
    <row r="3492" spans="1:11" x14ac:dyDescent="0.25">
      <c r="A3492" s="75"/>
      <c r="B3492" s="69"/>
      <c r="C3492" s="71"/>
      <c r="E3492" s="22"/>
      <c r="F3492" s="22"/>
      <c r="G3492" s="31"/>
      <c r="J3492" s="23"/>
      <c r="K3492" s="27"/>
    </row>
    <row r="3493" spans="1:11" x14ac:dyDescent="0.25">
      <c r="A3493" s="75"/>
      <c r="B3493" s="69"/>
      <c r="C3493" s="71"/>
      <c r="E3493" s="22"/>
      <c r="F3493" s="22"/>
      <c r="G3493" s="31"/>
      <c r="J3493" s="23"/>
      <c r="K3493" s="27"/>
    </row>
    <row r="3494" spans="1:11" x14ac:dyDescent="0.25">
      <c r="A3494" s="75"/>
      <c r="B3494" s="69"/>
      <c r="C3494" s="71"/>
      <c r="E3494" s="22"/>
      <c r="F3494" s="22"/>
      <c r="G3494" s="31"/>
      <c r="J3494" s="23"/>
      <c r="K3494" s="27"/>
    </row>
    <row r="3495" spans="1:11" x14ac:dyDescent="0.25">
      <c r="A3495" s="75"/>
      <c r="B3495" s="69"/>
      <c r="C3495" s="71"/>
      <c r="E3495" s="22"/>
      <c r="F3495" s="22"/>
      <c r="G3495" s="31"/>
      <c r="J3495" s="23"/>
      <c r="K3495" s="27"/>
    </row>
    <row r="3496" spans="1:11" x14ac:dyDescent="0.25">
      <c r="A3496" s="75"/>
      <c r="B3496" s="69"/>
      <c r="C3496" s="71"/>
      <c r="E3496" s="22"/>
      <c r="F3496" s="22"/>
      <c r="G3496" s="31"/>
      <c r="J3496" s="23"/>
      <c r="K3496" s="27"/>
    </row>
    <row r="3497" spans="1:11" x14ac:dyDescent="0.25">
      <c r="A3497" s="75"/>
      <c r="B3497" s="69"/>
      <c r="C3497" s="71"/>
      <c r="E3497" s="22"/>
      <c r="F3497" s="22"/>
      <c r="G3497" s="31"/>
      <c r="J3497" s="23"/>
      <c r="K3497" s="27"/>
    </row>
    <row r="3498" spans="1:11" x14ac:dyDescent="0.25">
      <c r="A3498" s="75"/>
      <c r="B3498" s="69"/>
      <c r="C3498" s="71"/>
      <c r="E3498" s="22"/>
      <c r="F3498" s="22"/>
      <c r="G3498" s="31"/>
      <c r="J3498" s="23"/>
      <c r="K3498" s="27"/>
    </row>
    <row r="3499" spans="1:11" x14ac:dyDescent="0.25">
      <c r="A3499" s="75"/>
      <c r="B3499" s="69"/>
      <c r="C3499" s="71"/>
      <c r="E3499" s="22"/>
      <c r="F3499" s="22"/>
      <c r="G3499" s="31"/>
      <c r="J3499" s="23"/>
      <c r="K3499" s="27"/>
    </row>
    <row r="3500" spans="1:11" x14ac:dyDescent="0.25">
      <c r="A3500" s="75"/>
      <c r="B3500" s="69"/>
      <c r="C3500" s="71"/>
      <c r="E3500" s="22"/>
      <c r="F3500" s="22"/>
      <c r="G3500" s="31"/>
      <c r="J3500" s="23"/>
      <c r="K3500" s="27"/>
    </row>
    <row r="3501" spans="1:11" x14ac:dyDescent="0.25">
      <c r="A3501" s="75"/>
      <c r="B3501" s="69"/>
      <c r="C3501" s="71"/>
      <c r="E3501" s="22"/>
      <c r="F3501" s="22"/>
      <c r="G3501" s="31"/>
      <c r="J3501" s="23"/>
      <c r="K3501" s="27"/>
    </row>
    <row r="3502" spans="1:11" x14ac:dyDescent="0.25">
      <c r="A3502" s="75"/>
      <c r="B3502" s="69"/>
      <c r="C3502" s="71"/>
      <c r="E3502" s="22"/>
      <c r="F3502" s="22"/>
      <c r="G3502" s="31"/>
      <c r="J3502" s="23"/>
      <c r="K3502" s="27"/>
    </row>
    <row r="3503" spans="1:11" x14ac:dyDescent="0.25">
      <c r="A3503" s="75"/>
      <c r="B3503" s="69"/>
      <c r="C3503" s="71"/>
      <c r="E3503" s="22"/>
      <c r="F3503" s="22"/>
      <c r="G3503" s="31"/>
      <c r="J3503" s="23"/>
      <c r="K3503" s="27"/>
    </row>
    <row r="3504" spans="1:11" x14ac:dyDescent="0.25">
      <c r="A3504" s="75"/>
      <c r="B3504" s="69"/>
      <c r="C3504" s="71"/>
      <c r="E3504" s="22"/>
      <c r="F3504" s="22"/>
      <c r="G3504" s="31"/>
      <c r="J3504" s="23"/>
      <c r="K3504" s="27"/>
    </row>
    <row r="3505" spans="1:11" x14ac:dyDescent="0.25">
      <c r="A3505" s="75"/>
      <c r="B3505" s="69"/>
      <c r="C3505" s="71"/>
      <c r="E3505" s="22"/>
      <c r="F3505" s="22"/>
      <c r="G3505" s="31"/>
      <c r="J3505" s="23"/>
      <c r="K3505" s="27"/>
    </row>
    <row r="3506" spans="1:11" x14ac:dyDescent="0.25">
      <c r="A3506" s="75"/>
      <c r="B3506" s="69"/>
      <c r="C3506" s="71"/>
      <c r="E3506" s="22"/>
      <c r="F3506" s="22"/>
      <c r="G3506" s="31"/>
      <c r="J3506" s="23"/>
      <c r="K3506" s="27"/>
    </row>
    <row r="3507" spans="1:11" x14ac:dyDescent="0.25">
      <c r="A3507" s="75"/>
      <c r="B3507" s="69"/>
      <c r="C3507" s="71"/>
      <c r="E3507" s="22"/>
      <c r="F3507" s="22"/>
      <c r="G3507" s="31"/>
      <c r="J3507" s="23"/>
      <c r="K3507" s="27"/>
    </row>
    <row r="3508" spans="1:11" x14ac:dyDescent="0.25">
      <c r="A3508" s="75"/>
      <c r="B3508" s="69"/>
      <c r="C3508" s="71"/>
      <c r="E3508" s="22"/>
      <c r="F3508" s="22"/>
      <c r="G3508" s="31"/>
      <c r="J3508" s="23"/>
      <c r="K3508" s="27"/>
    </row>
    <row r="3509" spans="1:11" x14ac:dyDescent="0.25">
      <c r="A3509" s="75"/>
      <c r="B3509" s="69"/>
      <c r="C3509" s="71"/>
      <c r="E3509" s="22"/>
      <c r="F3509" s="22"/>
      <c r="G3509" s="31"/>
      <c r="J3509" s="23"/>
      <c r="K3509" s="27"/>
    </row>
    <row r="3510" spans="1:11" x14ac:dyDescent="0.25">
      <c r="A3510" s="75"/>
      <c r="B3510" s="69"/>
      <c r="C3510" s="71"/>
      <c r="E3510" s="22"/>
      <c r="F3510" s="22"/>
      <c r="G3510" s="31"/>
      <c r="J3510" s="23"/>
      <c r="K3510" s="27"/>
    </row>
    <row r="3511" spans="1:11" x14ac:dyDescent="0.25">
      <c r="A3511" s="75"/>
      <c r="B3511" s="69"/>
      <c r="C3511" s="71"/>
      <c r="E3511" s="22"/>
      <c r="F3511" s="22"/>
      <c r="G3511" s="31"/>
      <c r="J3511" s="23"/>
      <c r="K3511" s="27"/>
    </row>
    <row r="3512" spans="1:11" x14ac:dyDescent="0.25">
      <c r="A3512" s="75"/>
      <c r="B3512" s="69"/>
      <c r="C3512" s="71"/>
      <c r="E3512" s="22"/>
      <c r="F3512" s="22"/>
      <c r="G3512" s="31"/>
      <c r="J3512" s="23"/>
      <c r="K3512" s="27"/>
    </row>
    <row r="3513" spans="1:11" x14ac:dyDescent="0.25">
      <c r="A3513" s="75"/>
      <c r="B3513" s="69"/>
      <c r="C3513" s="71"/>
      <c r="E3513" s="22"/>
      <c r="F3513" s="22"/>
      <c r="G3513" s="31"/>
      <c r="J3513" s="23"/>
      <c r="K3513" s="27"/>
    </row>
    <row r="3514" spans="1:11" x14ac:dyDescent="0.25">
      <c r="A3514" s="75"/>
      <c r="B3514" s="69"/>
      <c r="C3514" s="71"/>
      <c r="E3514" s="22"/>
      <c r="F3514" s="22"/>
      <c r="G3514" s="31"/>
      <c r="J3514" s="23"/>
      <c r="K3514" s="27"/>
    </row>
    <row r="3515" spans="1:11" x14ac:dyDescent="0.25">
      <c r="A3515" s="75"/>
      <c r="B3515" s="69"/>
      <c r="C3515" s="71"/>
      <c r="E3515" s="22"/>
      <c r="F3515" s="22"/>
      <c r="G3515" s="31"/>
      <c r="J3515" s="23"/>
      <c r="K3515" s="27"/>
    </row>
    <row r="3516" spans="1:11" x14ac:dyDescent="0.25">
      <c r="A3516" s="75"/>
      <c r="B3516" s="69"/>
      <c r="C3516" s="71"/>
      <c r="E3516" s="22"/>
      <c r="F3516" s="22"/>
      <c r="G3516" s="31"/>
      <c r="J3516" s="23"/>
      <c r="K3516" s="27"/>
    </row>
    <row r="3517" spans="1:11" x14ac:dyDescent="0.25">
      <c r="A3517" s="75"/>
      <c r="B3517" s="69"/>
      <c r="C3517" s="71"/>
      <c r="E3517" s="22"/>
      <c r="F3517" s="22"/>
      <c r="G3517" s="31"/>
      <c r="J3517" s="23"/>
      <c r="K3517" s="27"/>
    </row>
    <row r="3518" spans="1:11" x14ac:dyDescent="0.25">
      <c r="A3518" s="75"/>
      <c r="B3518" s="69"/>
      <c r="C3518" s="71"/>
      <c r="E3518" s="22"/>
      <c r="F3518" s="22"/>
      <c r="G3518" s="31"/>
      <c r="J3518" s="23"/>
      <c r="K3518" s="27"/>
    </row>
    <row r="3519" spans="1:11" x14ac:dyDescent="0.25">
      <c r="A3519" s="75"/>
      <c r="B3519" s="69"/>
      <c r="C3519" s="71"/>
      <c r="E3519" s="22"/>
      <c r="F3519" s="22"/>
      <c r="G3519" s="31"/>
      <c r="J3519" s="23"/>
      <c r="K3519" s="27"/>
    </row>
    <row r="3520" spans="1:11" x14ac:dyDescent="0.25">
      <c r="A3520" s="75"/>
      <c r="B3520" s="69"/>
      <c r="C3520" s="71"/>
      <c r="E3520" s="22"/>
      <c r="F3520" s="22"/>
      <c r="G3520" s="31"/>
      <c r="J3520" s="23"/>
      <c r="K3520" s="27"/>
    </row>
    <row r="3521" spans="1:11" x14ac:dyDescent="0.25">
      <c r="A3521" s="75"/>
      <c r="B3521" s="69"/>
      <c r="C3521" s="71"/>
      <c r="E3521" s="22"/>
      <c r="F3521" s="22"/>
      <c r="G3521" s="31"/>
      <c r="J3521" s="23"/>
      <c r="K3521" s="27"/>
    </row>
    <row r="3522" spans="1:11" x14ac:dyDescent="0.25">
      <c r="A3522" s="75"/>
      <c r="B3522" s="69"/>
      <c r="C3522" s="71"/>
      <c r="E3522" s="22"/>
      <c r="F3522" s="22"/>
      <c r="G3522" s="31"/>
      <c r="J3522" s="23"/>
      <c r="K3522" s="27"/>
    </row>
    <row r="3523" spans="1:11" x14ac:dyDescent="0.25">
      <c r="A3523" s="75"/>
      <c r="B3523" s="69"/>
      <c r="C3523" s="71"/>
      <c r="E3523" s="22"/>
      <c r="F3523" s="22"/>
      <c r="G3523" s="31"/>
      <c r="J3523" s="23"/>
      <c r="K3523" s="27"/>
    </row>
    <row r="3524" spans="1:11" x14ac:dyDescent="0.25">
      <c r="A3524" s="75"/>
      <c r="B3524" s="69"/>
      <c r="C3524" s="71"/>
      <c r="E3524" s="22"/>
      <c r="F3524" s="22"/>
      <c r="G3524" s="31"/>
      <c r="J3524" s="23"/>
      <c r="K3524" s="27"/>
    </row>
    <row r="3525" spans="1:11" x14ac:dyDescent="0.25">
      <c r="A3525" s="75"/>
      <c r="B3525" s="69"/>
      <c r="C3525" s="71"/>
      <c r="E3525" s="22"/>
      <c r="F3525" s="22"/>
      <c r="G3525" s="31"/>
      <c r="J3525" s="23"/>
      <c r="K3525" s="27"/>
    </row>
    <row r="3526" spans="1:11" x14ac:dyDescent="0.25">
      <c r="A3526" s="75"/>
      <c r="B3526" s="69"/>
      <c r="C3526" s="71"/>
      <c r="E3526" s="22"/>
      <c r="F3526" s="22"/>
      <c r="G3526" s="31"/>
      <c r="J3526" s="23"/>
      <c r="K3526" s="27"/>
    </row>
    <row r="3527" spans="1:11" x14ac:dyDescent="0.25">
      <c r="A3527" s="75"/>
      <c r="B3527" s="69"/>
      <c r="C3527" s="71"/>
      <c r="E3527" s="22"/>
      <c r="F3527" s="22"/>
      <c r="G3527" s="31"/>
      <c r="J3527" s="23"/>
      <c r="K3527" s="27"/>
    </row>
    <row r="3528" spans="1:11" x14ac:dyDescent="0.25">
      <c r="A3528" s="75"/>
      <c r="B3528" s="69"/>
      <c r="C3528" s="71"/>
      <c r="E3528" s="22"/>
      <c r="F3528" s="22"/>
      <c r="G3528" s="31"/>
      <c r="J3528" s="23"/>
      <c r="K3528" s="27"/>
    </row>
    <row r="3529" spans="1:11" x14ac:dyDescent="0.25">
      <c r="A3529" s="75"/>
      <c r="B3529" s="69"/>
      <c r="C3529" s="71"/>
      <c r="E3529" s="22"/>
      <c r="F3529" s="22"/>
      <c r="G3529" s="31"/>
      <c r="J3529" s="23"/>
      <c r="K3529" s="27"/>
    </row>
    <row r="3530" spans="1:11" x14ac:dyDescent="0.25">
      <c r="A3530" s="75"/>
      <c r="B3530" s="69"/>
      <c r="C3530" s="71"/>
      <c r="E3530" s="22"/>
      <c r="F3530" s="22"/>
      <c r="G3530" s="31"/>
      <c r="J3530" s="23"/>
      <c r="K3530" s="27"/>
    </row>
    <row r="3531" spans="1:11" x14ac:dyDescent="0.25">
      <c r="A3531" s="75"/>
      <c r="B3531" s="69"/>
      <c r="C3531" s="71"/>
      <c r="E3531" s="22"/>
      <c r="F3531" s="22"/>
      <c r="G3531" s="31"/>
      <c r="J3531" s="23"/>
      <c r="K3531" s="27"/>
    </row>
    <row r="3532" spans="1:11" x14ac:dyDescent="0.25">
      <c r="A3532" s="75"/>
      <c r="B3532" s="69"/>
      <c r="C3532" s="71"/>
      <c r="E3532" s="22"/>
      <c r="F3532" s="22"/>
      <c r="G3532" s="31"/>
      <c r="J3532" s="23"/>
      <c r="K3532" s="27"/>
    </row>
    <row r="3533" spans="1:11" x14ac:dyDescent="0.25">
      <c r="A3533" s="75"/>
      <c r="B3533" s="69"/>
      <c r="C3533" s="71"/>
      <c r="E3533" s="22"/>
      <c r="F3533" s="22"/>
      <c r="G3533" s="31"/>
      <c r="J3533" s="23"/>
      <c r="K3533" s="27"/>
    </row>
    <row r="3534" spans="1:11" x14ac:dyDescent="0.25">
      <c r="A3534" s="75"/>
      <c r="B3534" s="69"/>
      <c r="C3534" s="71"/>
      <c r="E3534" s="22"/>
      <c r="F3534" s="22"/>
      <c r="G3534" s="31"/>
      <c r="J3534" s="23"/>
      <c r="K3534" s="27"/>
    </row>
    <row r="3535" spans="1:11" x14ac:dyDescent="0.25">
      <c r="A3535" s="75"/>
      <c r="B3535" s="69"/>
      <c r="C3535" s="71"/>
      <c r="E3535" s="22"/>
      <c r="F3535" s="22"/>
      <c r="G3535" s="31"/>
      <c r="J3535" s="23"/>
      <c r="K3535" s="27"/>
    </row>
    <row r="3536" spans="1:11" x14ac:dyDescent="0.25">
      <c r="A3536" s="75"/>
      <c r="B3536" s="69"/>
      <c r="C3536" s="71"/>
      <c r="E3536" s="22"/>
      <c r="F3536" s="22"/>
      <c r="G3536" s="31"/>
      <c r="J3536" s="23"/>
      <c r="K3536" s="27"/>
    </row>
    <row r="3537" spans="1:11" x14ac:dyDescent="0.25">
      <c r="A3537" s="75"/>
      <c r="B3537" s="69"/>
      <c r="C3537" s="71"/>
      <c r="E3537" s="22"/>
      <c r="F3537" s="22"/>
      <c r="G3537" s="31"/>
      <c r="J3537" s="23"/>
      <c r="K3537" s="27"/>
    </row>
    <row r="3538" spans="1:11" x14ac:dyDescent="0.25">
      <c r="A3538" s="75"/>
      <c r="B3538" s="69"/>
      <c r="C3538" s="71"/>
      <c r="E3538" s="22"/>
      <c r="F3538" s="22"/>
      <c r="G3538" s="31"/>
      <c r="J3538" s="23"/>
      <c r="K3538" s="27"/>
    </row>
    <row r="3539" spans="1:11" x14ac:dyDescent="0.25">
      <c r="A3539" s="75"/>
      <c r="B3539" s="69"/>
      <c r="C3539" s="71"/>
      <c r="E3539" s="22"/>
      <c r="F3539" s="22"/>
      <c r="G3539" s="31"/>
      <c r="J3539" s="23"/>
      <c r="K3539" s="27"/>
    </row>
    <row r="3540" spans="1:11" x14ac:dyDescent="0.25">
      <c r="A3540" s="75"/>
      <c r="B3540" s="69"/>
      <c r="C3540" s="71"/>
      <c r="E3540" s="22"/>
      <c r="F3540" s="22"/>
      <c r="G3540" s="31"/>
      <c r="J3540" s="23"/>
      <c r="K3540" s="27"/>
    </row>
    <row r="3541" spans="1:11" x14ac:dyDescent="0.25">
      <c r="A3541" s="75"/>
      <c r="B3541" s="69"/>
      <c r="C3541" s="71"/>
      <c r="E3541" s="22"/>
      <c r="F3541" s="22"/>
      <c r="G3541" s="31"/>
      <c r="J3541" s="23"/>
      <c r="K3541" s="27"/>
    </row>
    <row r="3542" spans="1:11" x14ac:dyDescent="0.25">
      <c r="A3542" s="75"/>
      <c r="B3542" s="69"/>
      <c r="C3542" s="71"/>
      <c r="E3542" s="22"/>
      <c r="F3542" s="22"/>
      <c r="G3542" s="31"/>
      <c r="J3542" s="23"/>
      <c r="K3542" s="27"/>
    </row>
    <row r="3543" spans="1:11" x14ac:dyDescent="0.25">
      <c r="A3543" s="75"/>
      <c r="B3543" s="69"/>
      <c r="C3543" s="71"/>
      <c r="E3543" s="22"/>
      <c r="F3543" s="22"/>
      <c r="G3543" s="31"/>
      <c r="J3543" s="23"/>
      <c r="K3543" s="27"/>
    </row>
    <row r="3544" spans="1:11" x14ac:dyDescent="0.25">
      <c r="A3544" s="75"/>
      <c r="B3544" s="69"/>
      <c r="C3544" s="71"/>
      <c r="E3544" s="22"/>
      <c r="F3544" s="22"/>
      <c r="G3544" s="31"/>
      <c r="J3544" s="23"/>
      <c r="K3544" s="27"/>
    </row>
    <row r="3545" spans="1:11" x14ac:dyDescent="0.25">
      <c r="A3545" s="75"/>
      <c r="B3545" s="69"/>
      <c r="C3545" s="71"/>
      <c r="E3545" s="22"/>
      <c r="F3545" s="22"/>
      <c r="G3545" s="31"/>
      <c r="J3545" s="23"/>
      <c r="K3545" s="27"/>
    </row>
    <row r="3546" spans="1:11" x14ac:dyDescent="0.25">
      <c r="A3546" s="75"/>
      <c r="B3546" s="69"/>
      <c r="C3546" s="71"/>
      <c r="E3546" s="22"/>
      <c r="F3546" s="22"/>
      <c r="G3546" s="31"/>
      <c r="J3546" s="23"/>
      <c r="K3546" s="27"/>
    </row>
    <row r="3547" spans="1:11" x14ac:dyDescent="0.25">
      <c r="A3547" s="75"/>
      <c r="B3547" s="69"/>
      <c r="C3547" s="71"/>
      <c r="E3547" s="22"/>
      <c r="F3547" s="22"/>
      <c r="G3547" s="31"/>
      <c r="J3547" s="23"/>
      <c r="K3547" s="27"/>
    </row>
    <row r="3548" spans="1:11" x14ac:dyDescent="0.25">
      <c r="A3548" s="75"/>
      <c r="B3548" s="69"/>
      <c r="C3548" s="71"/>
      <c r="E3548" s="22"/>
      <c r="F3548" s="22"/>
      <c r="G3548" s="31"/>
      <c r="J3548" s="23"/>
      <c r="K3548" s="27"/>
    </row>
    <row r="3549" spans="1:11" x14ac:dyDescent="0.25">
      <c r="A3549" s="75"/>
      <c r="B3549" s="69"/>
      <c r="C3549" s="71"/>
      <c r="E3549" s="22"/>
      <c r="F3549" s="22"/>
      <c r="G3549" s="31"/>
      <c r="J3549" s="23"/>
      <c r="K3549" s="27"/>
    </row>
    <row r="3550" spans="1:11" x14ac:dyDescent="0.25">
      <c r="A3550" s="75"/>
      <c r="B3550" s="69"/>
      <c r="C3550" s="71"/>
      <c r="E3550" s="22"/>
      <c r="F3550" s="22"/>
      <c r="G3550" s="31"/>
      <c r="J3550" s="23"/>
      <c r="K3550" s="27"/>
    </row>
    <row r="3551" spans="1:11" x14ac:dyDescent="0.25">
      <c r="A3551" s="75"/>
      <c r="B3551" s="69"/>
      <c r="C3551" s="71"/>
      <c r="E3551" s="22"/>
      <c r="F3551" s="22"/>
      <c r="G3551" s="31"/>
      <c r="J3551" s="23"/>
      <c r="K3551" s="27"/>
    </row>
    <row r="3552" spans="1:11" x14ac:dyDescent="0.25">
      <c r="A3552" s="75"/>
      <c r="B3552" s="69"/>
      <c r="C3552" s="71"/>
      <c r="E3552" s="22"/>
      <c r="F3552" s="22"/>
      <c r="G3552" s="31"/>
      <c r="J3552" s="23"/>
      <c r="K3552" s="27"/>
    </row>
    <row r="3553" spans="1:11" x14ac:dyDescent="0.25">
      <c r="A3553" s="75"/>
      <c r="B3553" s="69"/>
      <c r="C3553" s="71"/>
      <c r="E3553" s="22"/>
      <c r="F3553" s="22"/>
      <c r="G3553" s="31"/>
      <c r="J3553" s="23"/>
      <c r="K3553" s="27"/>
    </row>
    <row r="3554" spans="1:11" x14ac:dyDescent="0.25">
      <c r="A3554" s="75"/>
      <c r="B3554" s="69"/>
      <c r="C3554" s="71"/>
      <c r="E3554" s="22"/>
      <c r="F3554" s="22"/>
      <c r="G3554" s="31"/>
      <c r="J3554" s="23"/>
      <c r="K3554" s="27"/>
    </row>
    <row r="3555" spans="1:11" x14ac:dyDescent="0.25">
      <c r="A3555" s="75"/>
      <c r="B3555" s="69"/>
      <c r="C3555" s="71"/>
      <c r="E3555" s="22"/>
      <c r="F3555" s="22"/>
      <c r="G3555" s="31"/>
      <c r="J3555" s="23"/>
      <c r="K3555" s="27"/>
    </row>
    <row r="3556" spans="1:11" x14ac:dyDescent="0.25">
      <c r="A3556" s="75"/>
      <c r="B3556" s="69"/>
      <c r="C3556" s="71"/>
      <c r="E3556" s="22"/>
      <c r="F3556" s="22"/>
      <c r="G3556" s="31"/>
      <c r="J3556" s="23"/>
      <c r="K3556" s="27"/>
    </row>
    <row r="3557" spans="1:11" x14ac:dyDescent="0.25">
      <c r="A3557" s="75"/>
      <c r="B3557" s="69"/>
      <c r="C3557" s="71"/>
      <c r="E3557" s="22"/>
      <c r="F3557" s="22"/>
      <c r="G3557" s="31"/>
      <c r="J3557" s="23"/>
      <c r="K3557" s="27"/>
    </row>
    <row r="3558" spans="1:11" x14ac:dyDescent="0.25">
      <c r="A3558" s="75"/>
      <c r="B3558" s="69"/>
      <c r="C3558" s="71"/>
      <c r="E3558" s="22"/>
      <c r="F3558" s="22"/>
      <c r="G3558" s="31"/>
      <c r="J3558" s="23"/>
      <c r="K3558" s="27"/>
    </row>
    <row r="3559" spans="1:11" x14ac:dyDescent="0.25">
      <c r="A3559" s="75"/>
      <c r="B3559" s="69"/>
      <c r="C3559" s="71"/>
      <c r="E3559" s="22"/>
      <c r="F3559" s="22"/>
      <c r="G3559" s="31"/>
      <c r="J3559" s="23"/>
      <c r="K3559" s="27"/>
    </row>
    <row r="3560" spans="1:11" x14ac:dyDescent="0.25">
      <c r="A3560" s="75"/>
      <c r="B3560" s="69"/>
      <c r="C3560" s="71"/>
      <c r="E3560" s="22"/>
      <c r="F3560" s="22"/>
      <c r="G3560" s="31"/>
      <c r="J3560" s="23"/>
      <c r="K3560" s="27"/>
    </row>
    <row r="3561" spans="1:11" x14ac:dyDescent="0.25">
      <c r="A3561" s="75"/>
      <c r="B3561" s="69"/>
      <c r="C3561" s="71"/>
      <c r="E3561" s="22"/>
      <c r="F3561" s="22"/>
      <c r="G3561" s="31"/>
      <c r="J3561" s="23"/>
      <c r="K3561" s="27"/>
    </row>
    <row r="3562" spans="1:11" x14ac:dyDescent="0.25">
      <c r="A3562" s="75"/>
      <c r="B3562" s="69"/>
      <c r="C3562" s="71"/>
      <c r="E3562" s="22"/>
      <c r="F3562" s="22"/>
      <c r="G3562" s="31"/>
      <c r="J3562" s="23"/>
      <c r="K3562" s="27"/>
    </row>
    <row r="3563" spans="1:11" x14ac:dyDescent="0.25">
      <c r="A3563" s="75"/>
      <c r="B3563" s="69"/>
      <c r="C3563" s="71"/>
      <c r="E3563" s="22"/>
      <c r="F3563" s="22"/>
      <c r="G3563" s="31"/>
      <c r="J3563" s="23"/>
      <c r="K3563" s="27"/>
    </row>
    <row r="3564" spans="1:11" x14ac:dyDescent="0.25">
      <c r="A3564" s="75"/>
      <c r="B3564" s="69"/>
      <c r="C3564" s="71"/>
      <c r="E3564" s="22"/>
      <c r="F3564" s="22"/>
      <c r="G3564" s="31"/>
      <c r="J3564" s="23"/>
      <c r="K3564" s="27"/>
    </row>
    <row r="3565" spans="1:11" x14ac:dyDescent="0.25">
      <c r="A3565" s="75"/>
      <c r="B3565" s="69"/>
      <c r="C3565" s="71"/>
      <c r="E3565" s="22"/>
      <c r="F3565" s="22"/>
      <c r="G3565" s="31"/>
      <c r="J3565" s="23"/>
      <c r="K3565" s="27"/>
    </row>
    <row r="3566" spans="1:11" x14ac:dyDescent="0.25">
      <c r="A3566" s="75"/>
      <c r="B3566" s="69"/>
      <c r="C3566" s="71"/>
      <c r="E3566" s="22"/>
      <c r="F3566" s="22"/>
      <c r="G3566" s="31"/>
      <c r="J3566" s="23"/>
      <c r="K3566" s="27"/>
    </row>
    <row r="3567" spans="1:11" x14ac:dyDescent="0.25">
      <c r="A3567" s="75"/>
      <c r="B3567" s="69"/>
      <c r="C3567" s="71"/>
      <c r="E3567" s="22"/>
      <c r="F3567" s="22"/>
      <c r="G3567" s="31"/>
      <c r="J3567" s="23"/>
      <c r="K3567" s="27"/>
    </row>
    <row r="3568" spans="1:11" x14ac:dyDescent="0.25">
      <c r="A3568" s="75"/>
      <c r="B3568" s="69"/>
      <c r="C3568" s="71"/>
      <c r="E3568" s="22"/>
      <c r="F3568" s="22"/>
      <c r="G3568" s="31"/>
      <c r="J3568" s="23"/>
      <c r="K3568" s="27"/>
    </row>
    <row r="3569" spans="1:11" x14ac:dyDescent="0.25">
      <c r="A3569" s="75"/>
      <c r="B3569" s="69"/>
      <c r="C3569" s="71"/>
      <c r="E3569" s="22"/>
      <c r="F3569" s="22"/>
      <c r="G3569" s="31"/>
      <c r="J3569" s="23"/>
      <c r="K3569" s="27"/>
    </row>
    <row r="3570" spans="1:11" x14ac:dyDescent="0.25">
      <c r="A3570" s="75"/>
      <c r="B3570" s="69"/>
      <c r="C3570" s="71"/>
      <c r="E3570" s="22"/>
      <c r="F3570" s="22"/>
      <c r="G3570" s="31"/>
      <c r="J3570" s="23"/>
      <c r="K3570" s="27"/>
    </row>
    <row r="3571" spans="1:11" x14ac:dyDescent="0.25">
      <c r="A3571" s="75"/>
      <c r="B3571" s="69"/>
      <c r="C3571" s="71"/>
      <c r="E3571" s="22"/>
      <c r="F3571" s="22"/>
      <c r="G3571" s="31"/>
      <c r="J3571" s="23"/>
      <c r="K3571" s="27"/>
    </row>
    <row r="3572" spans="1:11" x14ac:dyDescent="0.25">
      <c r="A3572" s="75"/>
      <c r="B3572" s="69"/>
      <c r="C3572" s="71"/>
      <c r="E3572" s="22"/>
      <c r="F3572" s="22"/>
      <c r="G3572" s="31"/>
      <c r="J3572" s="23"/>
      <c r="K3572" s="27"/>
    </row>
    <row r="3573" spans="1:11" x14ac:dyDescent="0.25">
      <c r="A3573" s="75"/>
      <c r="B3573" s="69"/>
      <c r="C3573" s="71"/>
      <c r="E3573" s="22"/>
      <c r="F3573" s="22"/>
      <c r="G3573" s="31"/>
      <c r="J3573" s="23"/>
      <c r="K3573" s="27"/>
    </row>
    <row r="3574" spans="1:11" x14ac:dyDescent="0.25">
      <c r="A3574" s="75"/>
      <c r="B3574" s="69"/>
      <c r="C3574" s="71"/>
      <c r="E3574" s="22"/>
      <c r="F3574" s="22"/>
      <c r="G3574" s="31"/>
      <c r="J3574" s="23"/>
      <c r="K3574" s="27"/>
    </row>
    <row r="3575" spans="1:11" x14ac:dyDescent="0.25">
      <c r="A3575" s="75"/>
      <c r="B3575" s="69"/>
      <c r="C3575" s="71"/>
      <c r="E3575" s="22"/>
      <c r="F3575" s="22"/>
      <c r="G3575" s="31"/>
      <c r="J3575" s="23"/>
      <c r="K3575" s="27"/>
    </row>
    <row r="3576" spans="1:11" x14ac:dyDescent="0.25">
      <c r="A3576" s="75"/>
      <c r="B3576" s="69"/>
      <c r="C3576" s="71"/>
      <c r="E3576" s="22"/>
      <c r="F3576" s="22"/>
      <c r="G3576" s="31"/>
      <c r="J3576" s="23"/>
      <c r="K3576" s="27"/>
    </row>
    <row r="3577" spans="1:11" x14ac:dyDescent="0.25">
      <c r="A3577" s="75"/>
      <c r="B3577" s="69"/>
      <c r="C3577" s="71"/>
      <c r="E3577" s="22"/>
      <c r="F3577" s="22"/>
      <c r="G3577" s="31"/>
      <c r="J3577" s="23"/>
      <c r="K3577" s="27"/>
    </row>
    <row r="3578" spans="1:11" x14ac:dyDescent="0.25">
      <c r="A3578" s="75"/>
      <c r="B3578" s="69"/>
      <c r="C3578" s="71"/>
      <c r="E3578" s="22"/>
      <c r="F3578" s="22"/>
      <c r="G3578" s="31"/>
      <c r="J3578" s="23"/>
      <c r="K3578" s="27"/>
    </row>
    <row r="3579" spans="1:11" x14ac:dyDescent="0.25">
      <c r="A3579" s="75"/>
      <c r="B3579" s="69"/>
      <c r="C3579" s="71"/>
      <c r="E3579" s="22"/>
      <c r="F3579" s="22"/>
      <c r="G3579" s="31"/>
      <c r="J3579" s="23"/>
      <c r="K3579" s="27"/>
    </row>
    <row r="3580" spans="1:11" x14ac:dyDescent="0.25">
      <c r="A3580" s="75"/>
      <c r="B3580" s="69"/>
      <c r="C3580" s="71"/>
      <c r="E3580" s="22"/>
      <c r="F3580" s="22"/>
      <c r="G3580" s="31"/>
      <c r="J3580" s="23"/>
      <c r="K3580" s="27"/>
    </row>
    <row r="3581" spans="1:11" x14ac:dyDescent="0.25">
      <c r="A3581" s="75"/>
      <c r="B3581" s="69"/>
      <c r="C3581" s="71"/>
      <c r="E3581" s="22"/>
      <c r="F3581" s="22"/>
      <c r="G3581" s="31"/>
      <c r="J3581" s="23"/>
      <c r="K3581" s="27"/>
    </row>
    <row r="3582" spans="1:11" x14ac:dyDescent="0.25">
      <c r="A3582" s="75"/>
      <c r="B3582" s="69"/>
      <c r="C3582" s="71"/>
      <c r="E3582" s="22"/>
      <c r="F3582" s="22"/>
      <c r="G3582" s="31"/>
      <c r="J3582" s="23"/>
      <c r="K3582" s="27"/>
    </row>
    <row r="3583" spans="1:11" x14ac:dyDescent="0.25">
      <c r="A3583" s="75"/>
      <c r="B3583" s="69"/>
      <c r="C3583" s="71"/>
      <c r="E3583" s="22"/>
      <c r="F3583" s="22"/>
      <c r="G3583" s="31"/>
      <c r="J3583" s="23"/>
      <c r="K3583" s="27"/>
    </row>
    <row r="3584" spans="1:11" x14ac:dyDescent="0.25">
      <c r="A3584" s="75"/>
      <c r="B3584" s="69"/>
      <c r="C3584" s="71"/>
      <c r="E3584" s="22"/>
      <c r="F3584" s="22"/>
      <c r="G3584" s="31"/>
      <c r="J3584" s="23"/>
      <c r="K3584" s="27"/>
    </row>
    <row r="3585" spans="1:11" x14ac:dyDescent="0.25">
      <c r="A3585" s="75"/>
      <c r="B3585" s="69"/>
      <c r="C3585" s="71"/>
      <c r="E3585" s="22"/>
      <c r="F3585" s="22"/>
      <c r="G3585" s="31"/>
      <c r="J3585" s="23"/>
      <c r="K3585" s="27"/>
    </row>
    <row r="3586" spans="1:11" x14ac:dyDescent="0.25">
      <c r="A3586" s="75"/>
      <c r="B3586" s="69"/>
      <c r="C3586" s="71"/>
      <c r="E3586" s="22"/>
      <c r="F3586" s="22"/>
      <c r="G3586" s="31"/>
      <c r="J3586" s="23"/>
      <c r="K3586" s="27"/>
    </row>
    <row r="3587" spans="1:11" x14ac:dyDescent="0.25">
      <c r="A3587" s="75"/>
      <c r="B3587" s="69"/>
      <c r="C3587" s="71"/>
      <c r="E3587" s="22"/>
      <c r="F3587" s="22"/>
      <c r="G3587" s="31"/>
      <c r="J3587" s="23"/>
      <c r="K3587" s="27"/>
    </row>
  </sheetData>
  <autoFilter ref="A2:C3587" xr:uid="{09315EB5-EC76-4C7E-9B60-2EF08D6BE95D}"/>
  <mergeCells count="2">
    <mergeCell ref="D7:D26"/>
    <mergeCell ref="AG1:AH1"/>
  </mergeCells>
  <conditionalFormatting sqref="A3:A3587">
    <cfRule type="duplicateValues" dxfId="2" priority="1"/>
    <cfRule type="duplicateValues" dxfId="1" priority="2"/>
    <cfRule type="duplicateValues" dxfId="0" priority="3"/>
  </conditionalFormatting>
  <dataValidations disablePrompts="1" count="2">
    <dataValidation type="list" showInputMessage="1" showErrorMessage="1" promptTitle="Tipo de chave" prompt="Indique se a planilha está preenchida com o NRVINCULOM ou o CDMATRICULA (este é o padrão)." sqref="D4" xr:uid="{9E96990D-B657-496D-A84C-B26CFAA0BEE6}">
      <formula1>"CDMATRICULA,NRVINCULOM"</formula1>
    </dataValidation>
    <dataValidation type="decimal" operator="greaterThanOrEqual" showInputMessage="1" showErrorMessage="1" errorTitle="Valor inválido" error="Digite um valor igual ou maior que 0." promptTitle="Máscara vínculo" prompt="Quantidade de zeros a esquerda do número ou matrícula do vínculo. Digite '0' (zero) para manter a máscara inalterada." sqref="D6" xr:uid="{2BDC2BB0-7A09-4E82-80C8-37B2C96AB06F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B207-076B-434C-899F-791FBAFDC353}">
  <dimension ref="A1:K5"/>
  <sheetViews>
    <sheetView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4.140625" style="16" bestFit="1" customWidth="1"/>
    <col min="2" max="2" width="13.7109375" style="16" bestFit="1" customWidth="1"/>
    <col min="3" max="4" width="18.5703125" style="16" bestFit="1" customWidth="1"/>
    <col min="5" max="5" width="64" style="3" bestFit="1" customWidth="1"/>
    <col min="6" max="6" width="16.7109375" style="16" bestFit="1" customWidth="1"/>
    <col min="7" max="7" width="55.5703125" bestFit="1" customWidth="1"/>
    <col min="8" max="9" width="23.42578125" style="16" bestFit="1" customWidth="1"/>
    <col min="10" max="10" width="11.7109375" style="39" customWidth="1"/>
    <col min="11" max="11" width="73.7109375" bestFit="1" customWidth="1"/>
    <col min="12" max="16384" width="9.140625" style="3"/>
  </cols>
  <sheetData>
    <row r="1" spans="1:11" ht="93.75" customHeight="1" x14ac:dyDescent="0.25">
      <c r="A1" s="17" t="s">
        <v>23</v>
      </c>
      <c r="B1" s="17" t="s">
        <v>22</v>
      </c>
      <c r="C1" s="17" t="s">
        <v>24</v>
      </c>
      <c r="D1" s="17" t="s">
        <v>25</v>
      </c>
      <c r="E1" s="18" t="s">
        <v>36</v>
      </c>
      <c r="F1" s="17" t="s">
        <v>31</v>
      </c>
      <c r="G1" s="18" t="s">
        <v>30</v>
      </c>
      <c r="H1" s="17" t="s">
        <v>48</v>
      </c>
      <c r="I1" s="17" t="s">
        <v>49</v>
      </c>
      <c r="J1" s="38" t="s">
        <v>51</v>
      </c>
      <c r="K1" s="18" t="s">
        <v>112</v>
      </c>
    </row>
    <row r="2" spans="1:11" x14ac:dyDescent="0.25">
      <c r="A2" s="16" t="s">
        <v>93</v>
      </c>
      <c r="B2" s="16" t="s">
        <v>94</v>
      </c>
      <c r="C2" s="16" t="s">
        <v>95</v>
      </c>
      <c r="F2" s="16" t="s">
        <v>37</v>
      </c>
      <c r="H2" s="16" t="s">
        <v>113</v>
      </c>
      <c r="I2" s="16" t="s">
        <v>114</v>
      </c>
      <c r="J2" s="39" t="s">
        <v>107</v>
      </c>
    </row>
    <row r="3" spans="1:11" x14ac:dyDescent="0.25">
      <c r="A3" s="16" t="s">
        <v>96</v>
      </c>
      <c r="B3" s="16" t="s">
        <v>97</v>
      </c>
      <c r="C3" s="16" t="s">
        <v>98</v>
      </c>
      <c r="F3" s="16" t="s">
        <v>35</v>
      </c>
      <c r="H3" s="16" t="s">
        <v>115</v>
      </c>
      <c r="I3" s="16" t="s">
        <v>116</v>
      </c>
      <c r="J3" s="39" t="s">
        <v>108</v>
      </c>
    </row>
    <row r="4" spans="1:11" x14ac:dyDescent="0.25">
      <c r="A4" s="16" t="s">
        <v>99</v>
      </c>
      <c r="B4" s="16" t="s">
        <v>100</v>
      </c>
      <c r="C4" s="16" t="s">
        <v>101</v>
      </c>
      <c r="F4" s="16" t="s">
        <v>34</v>
      </c>
      <c r="H4" s="16" t="s">
        <v>117</v>
      </c>
      <c r="I4" s="16" t="s">
        <v>118</v>
      </c>
      <c r="J4" s="39" t="s">
        <v>109</v>
      </c>
    </row>
    <row r="5" spans="1:11" x14ac:dyDescent="0.25">
      <c r="A5" s="16" t="s">
        <v>102</v>
      </c>
      <c r="B5" s="16" t="s">
        <v>103</v>
      </c>
      <c r="C5" s="16" t="s">
        <v>104</v>
      </c>
      <c r="D5" s="16" t="s">
        <v>105</v>
      </c>
      <c r="F5" s="16" t="s">
        <v>106</v>
      </c>
      <c r="H5" s="16" t="s">
        <v>119</v>
      </c>
      <c r="I5" s="16" t="s">
        <v>120</v>
      </c>
      <c r="J5" s="39" t="s">
        <v>110</v>
      </c>
    </row>
  </sheetData>
  <autoFilter ref="H1:J5" xr:uid="{A49CB207-076B-434C-899F-791FBAFDC353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9EC4-8A5F-4942-99AA-96565E927B1C}">
  <dimension ref="A1:B3"/>
  <sheetViews>
    <sheetView topLeftCell="A2" workbookViewId="0">
      <selection activeCell="B2" sqref="B2"/>
    </sheetView>
  </sheetViews>
  <sheetFormatPr defaultRowHeight="15" x14ac:dyDescent="0.25"/>
  <cols>
    <col min="1" max="1" width="13.85546875" bestFit="1" customWidth="1"/>
    <col min="2" max="2" width="124.5703125" customWidth="1"/>
  </cols>
  <sheetData>
    <row r="1" spans="1:2" x14ac:dyDescent="0.25">
      <c r="A1" s="40" t="s">
        <v>56</v>
      </c>
      <c r="B1" s="40" t="s">
        <v>9</v>
      </c>
    </row>
    <row r="2" spans="1:2" ht="60" x14ac:dyDescent="0.25">
      <c r="A2" s="41" t="s">
        <v>23</v>
      </c>
      <c r="B2" s="42" t="s">
        <v>124</v>
      </c>
    </row>
    <row r="3" spans="1:2" ht="45" x14ac:dyDescent="0.25">
      <c r="A3" s="41" t="s">
        <v>22</v>
      </c>
      <c r="B3" s="42" t="s">
        <v>111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2AC3-925B-472A-B0F1-AE0B84911EB5}">
  <dimension ref="A1:I19"/>
  <sheetViews>
    <sheetView workbookViewId="0">
      <selection activeCell="A5" sqref="A5"/>
    </sheetView>
  </sheetViews>
  <sheetFormatPr defaultRowHeight="15" x14ac:dyDescent="0.25"/>
  <cols>
    <col min="1" max="1" width="23.28515625" style="43" bestFit="1" customWidth="1"/>
    <col min="2" max="2" width="21.140625" style="43" bestFit="1" customWidth="1"/>
    <col min="3" max="3" width="12.42578125" style="43" bestFit="1" customWidth="1"/>
    <col min="4" max="4" width="10.7109375" style="43" bestFit="1" customWidth="1"/>
    <col min="5" max="5" width="79.140625" style="43" bestFit="1" customWidth="1"/>
    <col min="6" max="6" width="9.140625" style="43"/>
    <col min="7" max="7" width="10.85546875" style="43" bestFit="1" customWidth="1"/>
    <col min="8" max="16384" width="9.140625" style="43"/>
  </cols>
  <sheetData>
    <row r="1" spans="1:9" ht="23.25" x14ac:dyDescent="0.35">
      <c r="A1" s="84" t="s">
        <v>61</v>
      </c>
      <c r="B1" s="84"/>
      <c r="C1" s="84"/>
      <c r="D1" s="84"/>
      <c r="E1" s="84"/>
      <c r="I1" s="43" t="s">
        <v>62</v>
      </c>
    </row>
    <row r="2" spans="1:9" ht="20.25" thickBot="1" x14ac:dyDescent="0.35">
      <c r="A2" s="44" t="s">
        <v>63</v>
      </c>
      <c r="B2" s="44" t="s">
        <v>64</v>
      </c>
      <c r="C2" s="44" t="s">
        <v>65</v>
      </c>
      <c r="D2" s="44" t="s">
        <v>66</v>
      </c>
      <c r="E2" s="44" t="s">
        <v>67</v>
      </c>
      <c r="G2" s="45" t="s">
        <v>68</v>
      </c>
      <c r="I2" s="43">
        <v>0</v>
      </c>
    </row>
    <row r="3" spans="1:9" ht="15.75" thickTop="1" x14ac:dyDescent="0.25">
      <c r="A3" s="43" t="s">
        <v>69</v>
      </c>
      <c r="B3" s="43" t="e" cm="1" vm="1">
        <f t="array" ref="B3">_xlfn.LAMBDA(_xlpm.texto,_xlpm.de,_xlpm.para, IF( _xlpm.de = "", _xlpm.texto, AUX_TROCAR( SUBSTITUTE( _xlpm.texto, LEFT( _xlpm.de ), LEFT( _xlpm.para ) ), RIGHT( _xlpm.de, LEN( _xlpm.de ) - 1), RIGHT( _xlpm.para, LEN( _xlpm.para ) - 1 ) ) ) )</f>
        <v>#VALUE!</v>
      </c>
      <c r="C3" s="43">
        <v>1</v>
      </c>
      <c r="D3" s="46">
        <v>44768</v>
      </c>
      <c r="E3" s="47" t="s">
        <v>70</v>
      </c>
      <c r="G3" s="48" t="s">
        <v>71</v>
      </c>
      <c r="I3" s="43">
        <v>1</v>
      </c>
    </row>
    <row r="4" spans="1:9" x14ac:dyDescent="0.25">
      <c r="A4" s="43" t="s">
        <v>72</v>
      </c>
      <c r="B4" s="43" t="e" vm="1">
        <f>_xlfn.LAMBDA(_xlpm.texto, AUX_TROCAR( _xlpm.texto, "áàâãäÁÀÂÃÄéèêëÉÈÊËíìîïÍÌÎÏóòôöÓÒÔÖúùûüÚÙÛÜçÇ&amp;'`´~^", "aaaaaAAAAAeeeeEEEEiiiiIIIIooooOOOOuuuuUUUUcC      " ) )</f>
        <v>#VALUE!</v>
      </c>
      <c r="C4" s="43">
        <v>1</v>
      </c>
      <c r="D4" s="46">
        <v>44768</v>
      </c>
      <c r="E4" s="47" t="s">
        <v>73</v>
      </c>
      <c r="G4" s="48" t="s">
        <v>9</v>
      </c>
    </row>
    <row r="5" spans="1:9" x14ac:dyDescent="0.25">
      <c r="A5" s="43" t="s">
        <v>74</v>
      </c>
      <c r="B5" s="43" t="e" cm="1" vm="1">
        <f t="array" ref="B5">_xlfn.LAMBDA(_xlpm.script,_xlpm.chaves,_xlpm.valores, _xlfn.LET(
_xlpm.saida, _xlfn.REDUCE( _xlpm.script, _xlpm.chaves, _xlfn.LAMBDA(_xlpm.A,_xlpm.B, SUBSTITUTE( _xlpm.A, _xlpm.B, _xlfn.XLOOKUP( _xlpm.B, _xlpm.chaves, _xlpm.valores ) ) ) ),
_xlpm.saida
) )</f>
        <v>#VALUE!</v>
      </c>
      <c r="C5" s="43">
        <v>1</v>
      </c>
      <c r="D5" s="46">
        <v>44819</v>
      </c>
      <c r="E5" s="47" t="s">
        <v>75</v>
      </c>
      <c r="G5" s="48" t="s">
        <v>76</v>
      </c>
    </row>
    <row r="6" spans="1:9" x14ac:dyDescent="0.25">
      <c r="D6" s="46"/>
      <c r="E6" s="47"/>
      <c r="G6" s="48" t="s">
        <v>77</v>
      </c>
    </row>
    <row r="7" spans="1:9" x14ac:dyDescent="0.25">
      <c r="D7" s="46"/>
      <c r="E7" s="47"/>
    </row>
    <row r="8" spans="1:9" x14ac:dyDescent="0.25">
      <c r="A8" s="43" t="s">
        <v>78</v>
      </c>
      <c r="B8" s="43" t="e" cm="1" vm="1">
        <f t="array" ref="B8">_xlfn.LAMBDA(_xlpm.data, "'" &amp; TEXT( TRIM( _xlpm.data ), "DD/MM/AAAA" ) &amp; "'" )</f>
        <v>#VALUE!</v>
      </c>
      <c r="C8" s="43">
        <v>1</v>
      </c>
      <c r="D8" s="46">
        <v>44841</v>
      </c>
      <c r="E8" s="47" t="s">
        <v>79</v>
      </c>
    </row>
    <row r="9" spans="1:9" x14ac:dyDescent="0.25">
      <c r="A9" s="43" t="s">
        <v>80</v>
      </c>
      <c r="B9" s="43" t="e" cm="1" vm="1">
        <f t="array" ref="B9">_xlfn.LAMBDA(_xlpm.texto, "'" &amp; UPPER( TRIM( MIG_REMOVE.ESPECIAL( _xlpm.texto ) ) ) &amp; "'" )</f>
        <v>#VALUE!</v>
      </c>
      <c r="C9" s="43">
        <v>1</v>
      </c>
      <c r="D9" s="46">
        <v>44841</v>
      </c>
      <c r="E9" s="47" t="s">
        <v>81</v>
      </c>
    </row>
    <row r="10" spans="1:9" x14ac:dyDescent="0.25">
      <c r="A10" s="43" t="s">
        <v>82</v>
      </c>
      <c r="B10" s="43" t="e" cm="1" vm="1">
        <f t="array" ref="B10">_xlfn.LAMBDA(_xlpm.número, SUBSTITUTE( _xlpm.número, ",", ".") )</f>
        <v>#VALUE!</v>
      </c>
      <c r="C10" s="43">
        <v>1</v>
      </c>
      <c r="D10" s="46">
        <v>44841</v>
      </c>
      <c r="E10" s="47" t="s">
        <v>83</v>
      </c>
    </row>
    <row r="11" spans="1:9" x14ac:dyDescent="0.25">
      <c r="A11" s="43" t="s">
        <v>84</v>
      </c>
      <c r="B11" s="43" t="e" cm="1" vm="1">
        <f t="array" ref="B11">_xlfn.LAMBDA(_xlpm.texto, _xlfn.CONCAT( "'", IFERROR( -- MID( _xlpm.texto, _xlfn.SEQUENCE(LEN( _xlpm.texto ) ), 1 ), "" ), "'"  ) )</f>
        <v>#VALUE!</v>
      </c>
      <c r="C11" s="43">
        <v>1</v>
      </c>
      <c r="D11" s="46">
        <v>44769</v>
      </c>
      <c r="E11" s="47" t="s">
        <v>85</v>
      </c>
    </row>
    <row r="13" spans="1:9" x14ac:dyDescent="0.25">
      <c r="A13" s="43" t="s">
        <v>86</v>
      </c>
      <c r="B13" s="43" t="e" cm="1" vm="1">
        <f t="array" ref="B13">_xlfn.LAMBDA(_xlpm.colunaPK,_xlpm.org,_xlpm.campo,_xlpm.tabela,_xlpm.offset,
_xlfn.LET(
_xlpm.menor, SMALL( _xlpm.colunaPK, _xlpm.offset ),
_xlpm.maior, LARGE( _xlpm.colunaPK, 1 ),
_xlpm.qde, _xlpm.maior - _xlpm.menor + 1,
"/*" &amp; _xlpm.tabela &amp; "*/
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
) )</f>
        <v>#VALUE!</v>
      </c>
      <c r="C13" s="43">
        <v>1</v>
      </c>
      <c r="D13" s="49">
        <v>44847</v>
      </c>
    </row>
    <row r="16" spans="1:9" x14ac:dyDescent="0.25">
      <c r="A16" s="46"/>
    </row>
    <row r="18" spans="1:2" x14ac:dyDescent="0.25">
      <c r="A18" s="49"/>
    </row>
    <row r="19" spans="1:2" x14ac:dyDescent="0.25">
      <c r="A19" s="50"/>
      <c r="B19" s="43" t="str" cm="1">
        <f t="array" ref="B19">MIG_NORMA.DECIMAL(A19)</f>
        <v/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Base</vt:lpstr>
      <vt:lpstr>Script</vt:lpstr>
      <vt:lpstr>prototipo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Alteração de Escala</dc:title>
  <dc:creator>Rafael Pickbrenner</dc:creator>
  <cp:keywords>PCK</cp:keywords>
  <cp:lastModifiedBy>Rafael Pickbrenner</cp:lastModifiedBy>
  <dcterms:created xsi:type="dcterms:W3CDTF">2022-08-29T12:16:54Z</dcterms:created>
  <dcterms:modified xsi:type="dcterms:W3CDTF">2026-07-07T17:54:02Z</dcterms:modified>
</cp:coreProperties>
</file>