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1e3a717f9713d1/Migração v2/Ferramentas de migração/Gerador Scripts/"/>
    </mc:Choice>
  </mc:AlternateContent>
  <xr:revisionPtr revIDLastSave="594" documentId="11_4EEF6C462D9976AE83EA5B8F0329C26D0AF39761" xr6:coauthVersionLast="47" xr6:coauthVersionMax="47" xr10:uidLastSave="{67B95E4C-39FD-412F-BB97-4EE4BAECFE0A}"/>
  <bookViews>
    <workbookView xWindow="-3768" yWindow="-13068" windowWidth="23256" windowHeight="12576" tabRatio="500" xr2:uid="{00000000-000D-0000-FFFF-FFFF00000000}"/>
  </bookViews>
  <sheets>
    <sheet name="Dados" sheetId="1" r:id="rId1"/>
    <sheet name="Base" sheetId="2" r:id="rId2"/>
  </sheets>
  <definedNames>
    <definedName name="_xlnm._FilterDatabase" localSheetId="1" hidden="1">Base!$A$1:$E$1</definedName>
    <definedName name="_xlnm._FilterDatabase" localSheetId="0" hidden="1">Dados!$A$2:$G$6851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1" l="1"/>
  <c r="N30" i="1" a="1"/>
  <c r="N29" i="1" a="1"/>
  <c r="N28" i="1" a="1"/>
  <c r="N27" i="1" a="1"/>
  <c r="N26" i="1" a="1"/>
  <c r="N25" i="1" a="1"/>
  <c r="N24" i="1" a="1"/>
  <c r="N23" i="1" a="1"/>
  <c r="N22" i="1" a="1"/>
  <c r="N21" i="1" a="1"/>
  <c r="N20" i="1" a="1"/>
  <c r="N19" i="1" a="1"/>
  <c r="N18" i="1" a="1"/>
  <c r="N17" i="1" a="1"/>
  <c r="N16" i="1" a="1"/>
  <c r="N15" i="1" a="1"/>
  <c r="N14" i="1" a="1"/>
  <c r="N13" i="1" a="1"/>
  <c r="N12" i="1" a="1"/>
  <c r="N11" i="1" a="1"/>
  <c r="N10" i="1" a="1"/>
  <c r="N9" i="1" a="1"/>
  <c r="N8" i="1" a="1"/>
  <c r="N7" i="1" a="1"/>
  <c r="N6" i="1" a="1"/>
  <c r="N5" i="1" a="1"/>
  <c r="N4" i="1" a="1"/>
  <c r="N3" i="1" a="1"/>
  <c r="P30" i="1"/>
  <c r="D30" i="1" s="1" a="1"/>
  <c r="O30" i="1"/>
  <c r="M30" i="1"/>
  <c r="L30" i="1"/>
  <c r="K30" i="1"/>
  <c r="P29" i="1"/>
  <c r="D29" i="1" s="1" a="1"/>
  <c r="O29" i="1"/>
  <c r="M29" i="1"/>
  <c r="L29" i="1"/>
  <c r="K29" i="1"/>
  <c r="P28" i="1"/>
  <c r="D28" i="1" s="1" a="1"/>
  <c r="O28" i="1"/>
  <c r="M28" i="1"/>
  <c r="L28" i="1"/>
  <c r="K28" i="1"/>
  <c r="P27" i="1"/>
  <c r="D27" i="1" s="1" a="1"/>
  <c r="O27" i="1"/>
  <c r="M27" i="1"/>
  <c r="L27" i="1"/>
  <c r="K27" i="1"/>
  <c r="P26" i="1"/>
  <c r="D26" i="1" s="1" a="1"/>
  <c r="O26" i="1"/>
  <c r="M26" i="1"/>
  <c r="L26" i="1"/>
  <c r="K26" i="1"/>
  <c r="P25" i="1"/>
  <c r="D25" i="1" s="1" a="1"/>
  <c r="O25" i="1"/>
  <c r="M25" i="1"/>
  <c r="L25" i="1"/>
  <c r="K25" i="1"/>
  <c r="P24" i="1"/>
  <c r="D24" i="1" s="1" a="1"/>
  <c r="O24" i="1"/>
  <c r="M24" i="1"/>
  <c r="L24" i="1"/>
  <c r="K24" i="1"/>
  <c r="P23" i="1"/>
  <c r="D23" i="1" s="1" a="1"/>
  <c r="O23" i="1"/>
  <c r="M23" i="1"/>
  <c r="L23" i="1"/>
  <c r="K23" i="1"/>
  <c r="P22" i="1"/>
  <c r="D22" i="1" s="1" a="1"/>
  <c r="O22" i="1"/>
  <c r="M22" i="1"/>
  <c r="L22" i="1"/>
  <c r="K22" i="1"/>
  <c r="P21" i="1"/>
  <c r="D21" i="1" s="1" a="1"/>
  <c r="O21" i="1"/>
  <c r="M21" i="1"/>
  <c r="L21" i="1"/>
  <c r="K21" i="1"/>
  <c r="P20" i="1"/>
  <c r="D20" i="1" s="1" a="1"/>
  <c r="O20" i="1"/>
  <c r="M20" i="1"/>
  <c r="L20" i="1"/>
  <c r="K20" i="1"/>
  <c r="P19" i="1"/>
  <c r="D19" i="1" s="1" a="1"/>
  <c r="O19" i="1"/>
  <c r="M19" i="1"/>
  <c r="L19" i="1"/>
  <c r="K19" i="1"/>
  <c r="P18" i="1"/>
  <c r="D18" i="1" s="1" a="1"/>
  <c r="O18" i="1"/>
  <c r="M18" i="1"/>
  <c r="L18" i="1"/>
  <c r="K18" i="1"/>
  <c r="P17" i="1"/>
  <c r="D17" i="1" s="1" a="1"/>
  <c r="O17" i="1"/>
  <c r="M17" i="1"/>
  <c r="L17" i="1"/>
  <c r="K17" i="1"/>
  <c r="P16" i="1"/>
  <c r="D16" i="1" s="1" a="1"/>
  <c r="O16" i="1"/>
  <c r="M16" i="1"/>
  <c r="L16" i="1"/>
  <c r="K16" i="1"/>
  <c r="P15" i="1"/>
  <c r="D15" i="1" s="1" a="1"/>
  <c r="O15" i="1"/>
  <c r="M15" i="1"/>
  <c r="L15" i="1"/>
  <c r="K15" i="1"/>
  <c r="P14" i="1"/>
  <c r="D14" i="1" s="1" a="1"/>
  <c r="O14" i="1"/>
  <c r="M14" i="1"/>
  <c r="L14" i="1"/>
  <c r="K14" i="1"/>
  <c r="P13" i="1"/>
  <c r="D13" i="1" s="1" a="1"/>
  <c r="O13" i="1"/>
  <c r="M13" i="1"/>
  <c r="L13" i="1"/>
  <c r="K13" i="1"/>
  <c r="P12" i="1"/>
  <c r="D12" i="1" s="1" a="1"/>
  <c r="O12" i="1"/>
  <c r="M12" i="1"/>
  <c r="L12" i="1"/>
  <c r="K12" i="1"/>
  <c r="P11" i="1"/>
  <c r="D11" i="1" s="1" a="1"/>
  <c r="O11" i="1"/>
  <c r="M11" i="1"/>
  <c r="L11" i="1"/>
  <c r="K11" i="1"/>
  <c r="P10" i="1"/>
  <c r="D10" i="1" s="1" a="1"/>
  <c r="O10" i="1"/>
  <c r="M10" i="1"/>
  <c r="L10" i="1"/>
  <c r="K10" i="1"/>
  <c r="P2" i="1"/>
  <c r="O2" i="1"/>
  <c r="N2" i="1"/>
  <c r="K9" i="1"/>
  <c r="K8" i="1"/>
  <c r="K7" i="1"/>
  <c r="K6" i="1"/>
  <c r="K5" i="1"/>
  <c r="K4" i="1"/>
  <c r="K3" i="1"/>
  <c r="O9" i="1"/>
  <c r="O8" i="1"/>
  <c r="O7" i="1"/>
  <c r="O6" i="1"/>
  <c r="O5" i="1"/>
  <c r="O4" i="1"/>
  <c r="O3" i="1"/>
  <c r="M9" i="1"/>
  <c r="M8" i="1"/>
  <c r="M7" i="1"/>
  <c r="M6" i="1"/>
  <c r="M5" i="1"/>
  <c r="M4" i="1"/>
  <c r="M3" i="1"/>
  <c r="K2" i="1"/>
  <c r="L2" i="1"/>
  <c r="M2" i="1"/>
  <c r="L2" i="2" a="1"/>
  <c r="AA8" i="1" l="1"/>
  <c r="AA7" i="1"/>
  <c r="AA6" i="1"/>
  <c r="AA5" i="1"/>
  <c r="T3" i="1" a="1"/>
  <c r="Y3" i="1" a="1"/>
  <c r="W3" i="1" a="1"/>
  <c r="X3" i="1" a="1"/>
  <c r="P9" i="1" l="1"/>
  <c r="D9" i="1" s="1" a="1"/>
  <c r="P8" i="1"/>
  <c r="D8" i="1" s="1" a="1"/>
  <c r="P7" i="1"/>
  <c r="D7" i="1" s="1" a="1"/>
  <c r="P6" i="1"/>
  <c r="D6" i="1" s="1" a="1"/>
  <c r="P5" i="1"/>
  <c r="D5" i="1" s="1" a="1"/>
  <c r="P4" i="1"/>
  <c r="D4" i="1" s="1" a="1"/>
  <c r="P3" i="1"/>
  <c r="D3" i="1" s="1" a="1"/>
  <c r="AF5" i="1"/>
  <c r="AH5" i="1" s="1"/>
  <c r="AF4" i="1"/>
  <c r="AH4" i="1" s="1"/>
  <c r="AF3" i="1"/>
  <c r="AD9" i="1"/>
  <c r="AF9" i="1" s="1"/>
  <c r="AH9" i="1" l="1"/>
  <c r="AH2" i="1" s="1"/>
  <c r="L9" i="1"/>
  <c r="L8" i="1"/>
  <c r="L7" i="1"/>
  <c r="L6" i="1"/>
  <c r="L5" i="1"/>
  <c r="L4" i="1"/>
  <c r="L3" i="1"/>
  <c r="N30" i="1" l="1"/>
  <c r="D30" i="1"/>
  <c r="N29" i="1"/>
  <c r="D29" i="1"/>
  <c r="N28" i="1"/>
  <c r="D28" i="1"/>
  <c r="N27" i="1"/>
  <c r="D27" i="1"/>
  <c r="N26" i="1"/>
  <c r="D26" i="1"/>
  <c r="N25" i="1"/>
  <c r="D25" i="1"/>
  <c r="N24" i="1"/>
  <c r="D24" i="1"/>
  <c r="N23" i="1"/>
  <c r="D23" i="1"/>
  <c r="N22" i="1"/>
  <c r="D22" i="1"/>
  <c r="N21" i="1"/>
  <c r="D21" i="1"/>
  <c r="N20" i="1"/>
  <c r="D20" i="1"/>
  <c r="N19" i="1"/>
  <c r="D19" i="1"/>
  <c r="N18" i="1"/>
  <c r="D18" i="1"/>
  <c r="N17" i="1"/>
  <c r="D17" i="1"/>
  <c r="N16" i="1"/>
  <c r="D16" i="1"/>
  <c r="N15" i="1"/>
  <c r="D15" i="1"/>
  <c r="N14" i="1"/>
  <c r="D14" i="1"/>
  <c r="N13" i="1"/>
  <c r="D13" i="1"/>
  <c r="N12" i="1"/>
  <c r="D12" i="1"/>
  <c r="N11" i="1"/>
  <c r="D11" i="1"/>
  <c r="N10" i="1"/>
  <c r="D10" i="1"/>
  <c r="N9" i="1"/>
  <c r="D9" i="1"/>
  <c r="N8" i="1"/>
  <c r="D8" i="1"/>
  <c r="N7" i="1"/>
  <c r="D7" i="1"/>
  <c r="N6" i="1"/>
  <c r="D6" i="1"/>
  <c r="N5" i="1"/>
  <c r="D5" i="1"/>
  <c r="N4" i="1"/>
  <c r="D4" i="1"/>
  <c r="Y3" i="1"/>
  <c r="Y2" i="1" s="1"/>
  <c r="X3" i="1"/>
  <c r="X2" i="1" s="1"/>
  <c r="W3" i="1"/>
  <c r="T3" i="1"/>
  <c r="N3" i="1"/>
  <c r="D3" i="1"/>
  <c r="L2" i="2"/>
  <c r="V3" i="1" a="1"/>
  <c r="V3" i="1" l="1"/>
  <c r="U3" i="1" a="1"/>
  <c r="U3" i="1" s="1"/>
  <c r="J3" i="1" s="1"/>
  <c r="J4" i="1" l="1"/>
  <c r="Q3" i="1"/>
  <c r="R3" i="1" s="1"/>
  <c r="J5" i="1" l="1"/>
  <c r="Q4" i="1"/>
  <c r="R4" i="1" s="1"/>
  <c r="J6" i="1" l="1"/>
  <c r="Q5" i="1"/>
  <c r="R5" i="1" s="1"/>
  <c r="J7" i="1" l="1"/>
  <c r="Q6" i="1"/>
  <c r="R6" i="1" s="1"/>
  <c r="J8" i="1" l="1"/>
  <c r="Q7" i="1"/>
  <c r="R7" i="1" s="1"/>
  <c r="J9" i="1" l="1"/>
  <c r="Q8" i="1"/>
  <c r="R8" i="1" s="1"/>
  <c r="J10" i="1" l="1"/>
  <c r="Q9" i="1"/>
  <c r="R9" i="1" s="1"/>
  <c r="J11" i="1" l="1"/>
  <c r="Q10" i="1"/>
  <c r="R10" i="1" s="1"/>
  <c r="J12" i="1" l="1"/>
  <c r="Q11" i="1"/>
  <c r="R11" i="1" s="1"/>
  <c r="J13" i="1" l="1"/>
  <c r="Q12" i="1"/>
  <c r="R12" i="1" s="1"/>
  <c r="J14" i="1" l="1"/>
  <c r="Q13" i="1"/>
  <c r="R13" i="1" s="1"/>
  <c r="J15" i="1" l="1"/>
  <c r="Q14" i="1"/>
  <c r="R14" i="1" s="1"/>
  <c r="J16" i="1" l="1"/>
  <c r="Q15" i="1"/>
  <c r="R15" i="1" s="1"/>
  <c r="J17" i="1" l="1"/>
  <c r="Q16" i="1"/>
  <c r="R16" i="1" s="1"/>
  <c r="J18" i="1" l="1"/>
  <c r="Q17" i="1"/>
  <c r="R17" i="1" s="1"/>
  <c r="J19" i="1" l="1"/>
  <c r="Q18" i="1"/>
  <c r="R18" i="1" s="1"/>
  <c r="J20" i="1" l="1"/>
  <c r="Q19" i="1"/>
  <c r="R19" i="1" s="1"/>
  <c r="J21" i="1" l="1"/>
  <c r="Q20" i="1"/>
  <c r="R20" i="1" s="1"/>
  <c r="J22" i="1" l="1"/>
  <c r="Q21" i="1"/>
  <c r="R21" i="1" s="1"/>
  <c r="J23" i="1" l="1"/>
  <c r="Q22" i="1"/>
  <c r="R22" i="1" s="1"/>
  <c r="J24" i="1" l="1"/>
  <c r="Q23" i="1"/>
  <c r="R23" i="1" s="1"/>
  <c r="J25" i="1" l="1"/>
  <c r="Q24" i="1"/>
  <c r="R24" i="1" s="1"/>
  <c r="J26" i="1" l="1"/>
  <c r="Q25" i="1"/>
  <c r="R25" i="1" s="1"/>
  <c r="J27" i="1" l="1"/>
  <c r="Q26" i="1"/>
  <c r="R26" i="1" s="1"/>
  <c r="J28" i="1" l="1"/>
  <c r="Q27" i="1"/>
  <c r="R27" i="1" s="1"/>
  <c r="J29" i="1" l="1"/>
  <c r="Q28" i="1"/>
  <c r="R28" i="1" s="1"/>
  <c r="J30" i="1" l="1"/>
  <c r="Q29" i="1"/>
  <c r="R29" i="1" s="1"/>
  <c r="Q30" i="1" l="1"/>
  <c r="R30" i="1" s="1"/>
  <c r="AD7" i="1"/>
  <c r="AD6" i="1"/>
  <c r="AF6" i="1" s="1"/>
  <c r="AF7" i="1" l="1"/>
  <c r="AF2" i="1" s="1"/>
  <c r="AD8" i="1"/>
  <c r="AD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D6" authorId="0" shapeId="0" xr:uid="{712A68D2-2D23-4D7C-ABBA-FBE163AEE682}">
      <text>
        <r>
          <rPr>
            <sz val="11"/>
            <color rgb="FF000000"/>
            <rFont val="Calibri"/>
            <family val="2"/>
            <charset val="1"/>
          </rPr>
          <t>Cabeçalho do mnemônicos.
Primeira célula desse cabeçalho.</t>
        </r>
      </text>
    </comment>
    <comment ref="AD7" authorId="0" shapeId="0" xr:uid="{C46FEC2C-E432-4C4C-B0F9-FA90A62EA724}">
      <text>
        <r>
          <rPr>
            <sz val="11"/>
            <color rgb="FF000000"/>
            <rFont val="Calibri"/>
            <family val="2"/>
            <charset val="1"/>
          </rPr>
          <t>Cabeçalho do mnemônicos.
Primeira célula desse cabeçalho.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<sst xmlns="http://schemas.openxmlformats.org/spreadsheetml/2006/main" count="358" uniqueCount="210">
  <si>
    <t>→</t>
  </si>
  <si>
    <t>@NRTIPOALTERA@</t>
  </si>
  <si>
    <t>ORGANIZAÇÃO</t>
  </si>
  <si>
    <t>@NRALTESALARIO@</t>
  </si>
  <si>
    <t>@CDMATRICULA@</t>
  </si>
  <si>
    <t>@DTALTESALARIO@</t>
  </si>
  <si>
    <t>@NROCORRENCIA@</t>
  </si>
  <si>
    <t>@VRSALARIO@</t>
  </si>
  <si>
    <t>@IDTPSALARIO@</t>
  </si>
  <si>
    <t>@DSOBSERVACAO@</t>
  </si>
  <si>
    <t>Script</t>
  </si>
  <si>
    <t>Saída</t>
  </si>
  <si>
    <t>Verificação de PK</t>
  </si>
  <si>
    <t>Verificação de FK</t>
  </si>
  <si>
    <t>--Busca de PK’s livres</t>
  </si>
  <si>
    <t>--Validações de PK</t>
  </si>
  <si>
    <t>--Autaliza ou cria o novo codigo</t>
  </si>
  <si>
    <t>Nr Vinculo</t>
  </si>
  <si>
    <t>Dt. Alteração</t>
  </si>
  <si>
    <t>Numero Ocorrencia</t>
  </si>
  <si>
    <t>Tipo Alteração</t>
  </si>
  <si>
    <t>Salário</t>
  </si>
  <si>
    <t>Tipo Salário</t>
  </si>
  <si>
    <t>Observação</t>
  </si>
  <si>
    <t>mesc</t>
  </si>
  <si>
    <t>Insere alteração salarial?</t>
  </si>
  <si>
    <t>Lista de alterações salariais já existentes no sistema:</t>
  </si>
  <si>
    <t>O vínculo existe?</t>
  </si>
  <si>
    <t>Fórmulas a esquerda são novas! Testar com carinho...
fazer o select * from GPE_TIPOALTERA;</t>
  </si>
  <si>
    <t>COMMIT;</t>
  </si>
  <si>
    <t>Mnemônico</t>
  </si>
  <si>
    <t>Tabela</t>
  </si>
  <si>
    <t>GPE_ALTESALARIO</t>
  </si>
  <si>
    <t>PK</t>
  </si>
  <si>
    <t>NRALTESALARIO</t>
  </si>
  <si>
    <t>Inicio PK</t>
  </si>
  <si>
    <t>Fim PK</t>
  </si>
  <si>
    <t>Quantidade</t>
  </si>
  <si>
    <t>Organização</t>
  </si>
  <si>
    <t>MESC</t>
  </si>
  <si>
    <t>CDMATRICULA</t>
  </si>
  <si>
    <t>NRVINCULOM</t>
  </si>
  <si>
    <t>DTALTESALARIO</t>
  </si>
  <si>
    <t>NROCORRENCIA</t>
  </si>
  <si>
    <t>/*Lista alteracoes de salario, visando evitar duplicidade de alteracao*/
SELECT
  RES.CDMATRICULA ||'-'|| TO_CHAR(RES.DTALTESALARIO, 'DDMMYYYY') || RES.NROCORRENCIA MESC,
  RES.*
FROM (SELECT
        (SELECT CDMATRICULA FROM GPE_VINCULOM WHERE NRORG = ALS.NRORG AND NRVINCULOM = ALS.NRVINCULOM ) CDMATRICULA,
        ALS.NRVINCULOM,
        ALS.DTALTESALARIO,
        ALS.NROCORRENCIA
      FROM GPE_ALTESALARIO ALS
      WHERE ALS.NRORG = :P_NRORG) RES;</t>
  </si>
  <si>
    <t>DTADMISSAOVINC</t>
  </si>
  <si>
    <t>DTRESCISAOVINC</t>
  </si>
  <si>
    <t>/*Lista de vinculos*/
SELECT
  VM.CDMATRICULA,
  VM.NRVINCULOM,
  VM.DTADMISSAOVINC,
  VM.DTRESCISAOVINC
FROM GPE_VINCULOM VM
JOIN GPE_VINCULOH VH ON VH.NRORG          = VM.NRORG
                    AND VH.NRVINCULOM     = VM.NRVINCULOM
                    AND VH.DTMESCOMPETENC = ( SELECT MAX(DTMESCOMPETENC) FROM GPE_VINCULOH
                                               WHERE NRORG           = VH.NRORG
                                                 AND NRVINCULOM      = VH.NRVINCULOM
                                                 AND DTMESCOMPETENC &lt;= :P_DTMESCOMPETENC )
WHERE VM.NRORG = :P_NRORG
  AND ( TRUNC( VM.DTINCLUSAO, 'DD' ) &gt;= :P_DTMIGTESTE OR :P_DTMIGTESTE IS NULL )
ORDER BY VM.CDMATRICULA;</t>
  </si>
  <si>
    <t>1</t>
  </si>
  <si>
    <t>010000-0-00189</t>
  </si>
  <si>
    <t>1761</t>
  </si>
  <si>
    <t>02/04/2007 00:00:00</t>
  </si>
  <si>
    <t>29/06/2014 00:00:00</t>
  </si>
  <si>
    <t>010000-0-00767</t>
  </si>
  <si>
    <t>1549</t>
  </si>
  <si>
    <t>01/11/2012 00:00:00</t>
  </si>
  <si>
    <t>30/07/2016 00:00:00</t>
  </si>
  <si>
    <t>010000-0-00809</t>
  </si>
  <si>
    <t>1521</t>
  </si>
  <si>
    <t>01/04/2013 00:00:00</t>
  </si>
  <si>
    <t>19/07/2017 00:00:00</t>
  </si>
  <si>
    <t>010000-0-00829</t>
  </si>
  <si>
    <t>1508</t>
  </si>
  <si>
    <t>20/05/2013 00:00:00</t>
  </si>
  <si>
    <t>15/03/2014 00:00:00</t>
  </si>
  <si>
    <t>010000-2-E1030</t>
  </si>
  <si>
    <t>72</t>
  </si>
  <si>
    <t>26/05/2025 00:00:00</t>
  </si>
  <si>
    <t>27/08/2025 00:00:00</t>
  </si>
  <si>
    <t>020000-0-00921</t>
  </si>
  <si>
    <t>1426</t>
  </si>
  <si>
    <t>03/02/2014 00:00:00</t>
  </si>
  <si>
    <t>27/11/2015 00:00:00</t>
  </si>
  <si>
    <t>020000-0-01124</t>
  </si>
  <si>
    <t>1184</t>
  </si>
  <si>
    <t>23/11/2015 00:00:00</t>
  </si>
  <si>
    <t>06/01/2016 00:00:00</t>
  </si>
  <si>
    <t>020000-2-00025</t>
  </si>
  <si>
    <t>1333</t>
  </si>
  <si>
    <t>01/06/2014 00:00:00</t>
  </si>
  <si>
    <t>30/09/2014 00:00:00</t>
  </si>
  <si>
    <t>020000-2-00026</t>
  </si>
  <si>
    <t>1334</t>
  </si>
  <si>
    <t>31/12/2014 00:00:00</t>
  </si>
  <si>
    <t>020000-2-00037</t>
  </si>
  <si>
    <t>1281</t>
  </si>
  <si>
    <t>02/02/2015 00:00:00</t>
  </si>
  <si>
    <t>31/07/2015 00:00:00</t>
  </si>
  <si>
    <t>020000-2-00050</t>
  </si>
  <si>
    <t>1219</t>
  </si>
  <si>
    <t>17/08/2015 00:00:00</t>
  </si>
  <si>
    <t>11/12/2015 00:00:00</t>
  </si>
  <si>
    <t>020000-2-00056</t>
  </si>
  <si>
    <t>1157</t>
  </si>
  <si>
    <t>15/02/2016 00:00:00</t>
  </si>
  <si>
    <t>30/04/2016 00:00:00</t>
  </si>
  <si>
    <t>020000-2-00058</t>
  </si>
  <si>
    <t>1131</t>
  </si>
  <si>
    <t>02/05/2016 00:00:00</t>
  </si>
  <si>
    <t>12/08/2016 00:00:00</t>
  </si>
  <si>
    <t>020000-2-00063</t>
  </si>
  <si>
    <t>1101</t>
  </si>
  <si>
    <t>03/08/2016 00:00:00</t>
  </si>
  <si>
    <t>31/12/2016 00:00:00</t>
  </si>
  <si>
    <t>020000-2-00067</t>
  </si>
  <si>
    <t>1094</t>
  </si>
  <si>
    <t>01/09/2016 00:00:00</t>
  </si>
  <si>
    <t>31/03/2017 00:00:00</t>
  </si>
  <si>
    <t>020000-2-00074</t>
  </si>
  <si>
    <t>1069</t>
  </si>
  <si>
    <t>09/01/2017 00:00:00</t>
  </si>
  <si>
    <t>28/04/2017 00:00:00</t>
  </si>
  <si>
    <t>020000-2-00090</t>
  </si>
  <si>
    <t>1020</t>
  </si>
  <si>
    <t>19/06/2017 00:00:00</t>
  </si>
  <si>
    <t>30/09/2017 00:00:00</t>
  </si>
  <si>
    <t>030000-0-00004</t>
  </si>
  <si>
    <t>1864</t>
  </si>
  <si>
    <t>01/03/1994 00:00:00</t>
  </si>
  <si>
    <t>05/02/2014 00:00:00</t>
  </si>
  <si>
    <t>030000-0-00252</t>
  </si>
  <si>
    <t>1686</t>
  </si>
  <si>
    <t>01/06/2010 00:00:00</t>
  </si>
  <si>
    <t>07/02/2014 00:00:00</t>
  </si>
  <si>
    <t>030000-0-00296</t>
  </si>
  <si>
    <t>1819</t>
  </si>
  <si>
    <t>01/01/2004 00:00:00</t>
  </si>
  <si>
    <t>04/07/2014 00:00:00</t>
  </si>
  <si>
    <t>030000-0-00299</t>
  </si>
  <si>
    <t>1809</t>
  </si>
  <si>
    <t>15/11/2004 00:00:00</t>
  </si>
  <si>
    <t>04/12/2017 00:00:00</t>
  </si>
  <si>
    <t>030000-0-00317</t>
  </si>
  <si>
    <t>1787</t>
  </si>
  <si>
    <t>24/02/2006 00:00:00</t>
  </si>
  <si>
    <t>22/03/2022 00:00:00</t>
  </si>
  <si>
    <t>030000-0-00324</t>
  </si>
  <si>
    <t>1780</t>
  </si>
  <si>
    <t>02/05/2006 00:00:00</t>
  </si>
  <si>
    <t>30/10/2014 00:00:00</t>
  </si>
  <si>
    <t>030000-0-00358</t>
  </si>
  <si>
    <t>1789</t>
  </si>
  <si>
    <t>01/11/2005 00:00:00</t>
  </si>
  <si>
    <t>06/07/2022 00:00:00</t>
  </si>
  <si>
    <t>030000-0-00817</t>
  </si>
  <si>
    <t>1516</t>
  </si>
  <si>
    <t>01/05/2013 00:00:00</t>
  </si>
  <si>
    <t>02/04/2017 00:00:00</t>
  </si>
  <si>
    <t>030000-0-00889</t>
  </si>
  <si>
    <t>1460</t>
  </si>
  <si>
    <t>11/11/2013 00:00:00</t>
  </si>
  <si>
    <t>15/12/2016 00:00:00</t>
  </si>
  <si>
    <t>030000-0-00944</t>
  </si>
  <si>
    <t>1400</t>
  </si>
  <si>
    <t>01/03/2014 00:00:00</t>
  </si>
  <si>
    <t>08/10/2014 00:00:00</t>
  </si>
  <si>
    <t>030000-0-00958</t>
  </si>
  <si>
    <t>1377</t>
  </si>
  <si>
    <t>24/03/2014 00:00:00</t>
  </si>
  <si>
    <t>07/05/2014 00:00:00</t>
  </si>
  <si>
    <t>030000-0-00991</t>
  </si>
  <si>
    <t>1342</t>
  </si>
  <si>
    <t>20/05/2014 00:00:00</t>
  </si>
  <si>
    <t>07/02/2015 00:00:00</t>
  </si>
  <si>
    <t>500</t>
  </si>
  <si>
    <t>200</t>
  </si>
  <si>
    <t>02/04/2007</t>
  </si>
  <si>
    <t>2300</t>
  </si>
  <si>
    <t>SALARIO DE ADMISSAO</t>
  </si>
  <si>
    <t>01/11/2013</t>
  </si>
  <si>
    <t>4400</t>
  </si>
  <si>
    <t>Reajuste salarial</t>
  </si>
  <si>
    <t>01/11/2012</t>
  </si>
  <si>
    <t>01/09/2014</t>
  </si>
  <si>
    <t>01/01/2015</t>
  </si>
  <si>
    <t>4678.96</t>
  </si>
  <si>
    <t>01/09/2015</t>
  </si>
  <si>
    <t>5141.24</t>
  </si>
  <si>
    <t>01/04/2013</t>
  </si>
  <si>
    <t>01/01/2017</t>
  </si>
  <si>
    <t>5552.54</t>
  </si>
  <si>
    <t>01/05/2017</t>
  </si>
  <si>
    <t>5560.77</t>
  </si>
  <si>
    <t>20/05/2013</t>
  </si>
  <si>
    <t>928.03</t>
  </si>
  <si>
    <t>01/01/2014</t>
  </si>
  <si>
    <t>1233.67</t>
  </si>
  <si>
    <t>26/05/2025</t>
  </si>
  <si>
    <t>03/02/2014</t>
  </si>
  <si>
    <t>1311.88</t>
  </si>
  <si>
    <t>1441.49</t>
  </si>
  <si>
    <t>23/11/2015</t>
  </si>
  <si>
    <t>01/06/2014</t>
  </si>
  <si>
    <t>02/02/2015</t>
  </si>
  <si>
    <t>17/08/2015</t>
  </si>
  <si>
    <t>15/02/2016</t>
  </si>
  <si>
    <t>02/05/2016</t>
  </si>
  <si>
    <t>03/08/2016</t>
  </si>
  <si>
    <t>01/09/2016</t>
  </si>
  <si>
    <t>09/01/2017</t>
  </si>
  <si>
    <t>19/06/2017</t>
  </si>
  <si>
    <t>MENSAL</t>
  </si>
  <si>
    <t>Dados</t>
  </si>
  <si>
    <t>Linhas</t>
  </si>
  <si>
    <t>Vinculo</t>
  </si>
  <si>
    <t>Dt alteração</t>
  </si>
  <si>
    <t>Salario tratado</t>
  </si>
  <si>
    <t>Verificação Sal. Zerado</t>
  </si>
  <si>
    <t>Matriculas Duplicadas!</t>
  </si>
  <si>
    <t>INSERT INTO GPE_ALTESALARIO ( NRALTESALARIO, NRORG, NRVINCULOM, DTALTESALARIO, NROCORRENCIA, NRTIPOALTERA, VRSALARIO, IDTPSALARIO, DSOBSERVACAO, NRTPMODALIDSAL, DTINCLUSAO, NRORGINCLUSAO, CDOPERINCLUSAO ) VALUES ( @NRALTESALARIO@, @NRORG@, ( SELECT /*MAX(*/ NRVINCULOM /*)*/ FROM GPE_VINCULOM WHERE NRORG = @NRORG@ AND CDMATRICULA = '@CDMATRICULA@' ), '@DTALTESALARIO@', @NROCORRENCIA@, '@NRTIPOALTERA@', @VRSALARIO@, '@IDTPSALARIO@', NVL( '@DSOBSERVACAO@', 'Alteracao salarial importada via migracao ' || SYSDATE ), 1, SYSDATE, @NRORG@, '000000099991' ); COMMIT;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</si>
</sst>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2" x14ac:knownFonts="1">
    <font>
      <sz val="11"/>
      <color rgb="FF000000"/>
      <name val="Calibri"/>
      <family val="2"/>
      <charset val="1"/>
    </font>
    <font>
      <sz val="8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rgb="FF158466"/>
      <name val="Calibri"/>
      <family val="2"/>
      <scheme val="minor"/>
    </font>
    <font>
      <b/>
      <sz val="8"/>
      <color rgb="FF2A6099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8"/>
      <name val="Calibri"/>
      <family val="2"/>
    </font>
    <font>
      <i/>
      <sz val="8"/>
      <name val="Calibri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Calibri"/>
      <family val="2"/>
      <charset val="1"/>
    </font>
    <font>
      <b/>
      <sz val="11"/>
      <color rgb="FF000000"/>
      <name val="Calibri"/>
      <family val="2"/>
    </font>
    <font>
      <i/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EEEEEE"/>
        <bgColor rgb="FFFFFFD7"/>
      </patternFill>
    </fill>
    <fill>
      <patternFill patternType="solid">
        <fgColor rgb="FFEEEEEE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rgb="FFFFC8C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CC"/>
      </patternFill>
    </fill>
    <fill>
      <patternFill patternType="solid">
        <fgColor rgb="FFFFC8C8"/>
        <bgColor rgb="FFFFFFCC"/>
      </patternFill>
    </fill>
    <fill>
      <patternFill patternType="solid">
        <fgColor theme="0" tint="-0.249977111117893"/>
        <b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4" fillId="0" borderId="0"/>
    <xf numFmtId="43" fontId="14" fillId="0" borderId="0" applyFont="0" applyFill="0" applyBorder="0" applyAlignment="0" applyProtection="0"/>
  </cellStyleXfs>
  <cellXfs count="56">
    <xf numFmtId="0" fontId="0" fillId="0" borderId="0" xfId="0"/>
    <xf numFmtId="0" fontId="1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quotePrefix="1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10" fillId="0" borderId="0" xfId="0" applyFont="1"/>
    <xf numFmtId="0" fontId="11" fillId="2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4" fillId="2" borderId="0" xfId="0" quotePrefix="1" applyFont="1" applyFill="1" applyAlignment="1">
      <alignment horizontal="center" vertical="center"/>
    </xf>
    <xf numFmtId="0" fontId="15" fillId="0" borderId="0" xfId="0" applyFont="1"/>
    <xf numFmtId="49" fontId="0" fillId="0" borderId="0" xfId="0" applyNumberFormat="1"/>
    <xf numFmtId="0" fontId="18" fillId="0" borderId="0" xfId="0" applyFont="1" applyAlignment="1">
      <alignment horizontal="center" vertical="center"/>
    </xf>
    <xf numFmtId="0" fontId="1" fillId="5" borderId="0" xfId="0" applyFont="1" applyFill="1"/>
    <xf numFmtId="0" fontId="1" fillId="5" borderId="0" xfId="0" applyFont="1" applyFill="1" applyAlignment="1">
      <alignment vertical="top" wrapText="1"/>
    </xf>
    <xf numFmtId="0" fontId="1" fillId="5" borderId="0" xfId="0" applyFont="1" applyFill="1" applyAlignment="1">
      <alignment vertical="top"/>
    </xf>
    <xf numFmtId="0" fontId="8" fillId="5" borderId="0" xfId="0" applyFont="1" applyFill="1"/>
    <xf numFmtId="49" fontId="0" fillId="0" borderId="0" xfId="0" quotePrefix="1" applyNumberFormat="1"/>
    <xf numFmtId="0" fontId="10" fillId="5" borderId="0" xfId="0" applyFont="1" applyFill="1"/>
    <xf numFmtId="0" fontId="19" fillId="6" borderId="0" xfId="0" applyFont="1" applyFill="1" applyAlignment="1">
      <alignment horizontal="center" vertical="top" wrapText="1"/>
    </xf>
    <xf numFmtId="0" fontId="8" fillId="5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7" fillId="0" borderId="0" xfId="0" applyFont="1" applyAlignment="1">
      <alignment wrapText="1"/>
    </xf>
    <xf numFmtId="49" fontId="2" fillId="2" borderId="0" xfId="0" applyNumberFormat="1" applyFont="1" applyFill="1" applyAlignment="1">
      <alignment horizontal="center" vertical="center"/>
    </xf>
    <xf numFmtId="49" fontId="15" fillId="0" borderId="0" xfId="0" applyNumberFormat="1" applyFont="1"/>
    <xf numFmtId="49" fontId="8" fillId="0" borderId="0" xfId="0" applyNumberFormat="1" applyFont="1"/>
    <xf numFmtId="49" fontId="21" fillId="7" borderId="0" xfId="0" applyNumberFormat="1" applyFont="1" applyFill="1"/>
    <xf numFmtId="49" fontId="20" fillId="0" borderId="0" xfId="0" applyNumberFormat="1" applyFont="1"/>
    <xf numFmtId="49" fontId="16" fillId="8" borderId="0" xfId="0" applyNumberFormat="1" applyFont="1" applyFill="1" applyAlignment="1">
      <alignment wrapText="1"/>
    </xf>
    <xf numFmtId="49" fontId="0" fillId="7" borderId="0" xfId="0" applyNumberFormat="1" applyFill="1"/>
    <xf numFmtId="49" fontId="17" fillId="0" borderId="0" xfId="0" applyNumberFormat="1" applyFont="1"/>
    <xf numFmtId="0" fontId="2" fillId="9" borderId="0" xfId="0" quotePrefix="1" applyFont="1" applyFill="1" applyAlignment="1">
      <alignment horizontal="center" vertical="center" wrapText="1"/>
    </xf>
    <xf numFmtId="0" fontId="1" fillId="9" borderId="0" xfId="0" applyFont="1" applyFill="1" applyAlignment="1">
      <alignment vertical="top" wrapText="1"/>
    </xf>
    <xf numFmtId="0" fontId="12" fillId="9" borderId="0" xfId="0" quotePrefix="1" applyFont="1" applyFill="1" applyAlignment="1">
      <alignment vertical="top" wrapText="1"/>
    </xf>
    <xf numFmtId="0" fontId="12" fillId="9" borderId="0" xfId="0" applyFont="1" applyFill="1" applyAlignment="1">
      <alignment vertical="top" wrapText="1"/>
    </xf>
    <xf numFmtId="0" fontId="5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left" vertical="center" wrapText="1"/>
    </xf>
    <xf numFmtId="0" fontId="1" fillId="11" borderId="0" xfId="0" applyFont="1" applyFill="1" applyAlignment="1">
      <alignment horizontal="left" vertical="center"/>
    </xf>
    <xf numFmtId="0" fontId="8" fillId="12" borderId="0" xfId="0" applyFont="1" applyFill="1"/>
    <xf numFmtId="0" fontId="16" fillId="0" borderId="0" xfId="0" applyFont="1"/>
    <xf numFmtId="0" fontId="16" fillId="13" borderId="0" xfId="0" applyFont="1" applyFill="1"/>
    <xf numFmtId="0" fontId="11" fillId="13" borderId="0" xfId="0" applyFont="1" applyFill="1"/>
    <xf numFmtId="0" fontId="0" fillId="14" borderId="0" xfId="0" applyFill="1"/>
    <xf numFmtId="0" fontId="0" fillId="14" borderId="0" xfId="0" applyFill="1" applyAlignment="1">
      <alignment wrapText="1"/>
    </xf>
    <xf numFmtId="0" fontId="17" fillId="14" borderId="0" xfId="0" applyFont="1" applyFill="1"/>
  </cellXfs>
  <cellStyles count="3">
    <cellStyle name="Normal" xfId="0" builtinId="0"/>
    <cellStyle name="Normal 2" xfId="1" xr:uid="{B4A11B3F-0BFA-4200-B410-EA1C5DD646E8}"/>
    <cellStyle name="Vírgula 2" xfId="2" xr:uid="{0259E76C-00D7-47B8-8B38-B0DF1CC32A0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0"/>
  <sheetViews>
    <sheetView tabSelected="1" zoomScaleNormal="100" workbookViewId="0">
      <pane xSplit="1" ySplit="2" topLeftCell="L3" activePane="bottomRight" state="frozen"/>
      <selection pane="topRight" activeCell="B1" sqref="B1"/>
      <selection pane="bottomLeft" activeCell="A3" sqref="A3"/>
      <selection pane="bottomRight" activeCell="Q3" sqref="Q3"/>
    </sheetView>
  </sheetViews>
  <sheetFormatPr defaultColWidth="9.140625" defaultRowHeight="15" x14ac:dyDescent="0.25"/>
  <cols>
    <col min="1" max="1" width="12.5703125" style="34" bestFit="1" customWidth="1"/>
    <col min="2" max="2" width="14.7109375" style="9" bestFit="1" customWidth="1"/>
    <col min="3" max="3" width="20.85546875" style="9" bestFit="1" customWidth="1"/>
    <col min="4" max="4" width="16.140625" style="9" bestFit="1" customWidth="1"/>
    <col min="5" max="5" width="10.5703125" style="9" bestFit="1" customWidth="1"/>
    <col min="6" max="7" width="13.5703125" style="9" bestFit="1" customWidth="1"/>
    <col min="8" max="8" width="9.140625" style="9" customWidth="1"/>
    <col min="9" max="9" width="12" style="9" bestFit="1" customWidth="1"/>
    <col min="10" max="10" width="14.7109375" style="9" bestFit="1" customWidth="1"/>
    <col min="11" max="11" width="15.28515625" style="9" bestFit="1" customWidth="1"/>
    <col min="12" max="12" width="16.28515625" style="9" bestFit="1" customWidth="1"/>
    <col min="13" max="13" width="14.42578125" style="9" bestFit="1" customWidth="1"/>
    <col min="14" max="14" width="12.5703125" style="9" bestFit="1" customWidth="1"/>
    <col min="15" max="15" width="14.28515625" style="9" bestFit="1" customWidth="1"/>
    <col min="16" max="16" width="27" style="9" bestFit="1" customWidth="1"/>
    <col min="17" max="17" width="50.7109375" style="9" customWidth="1"/>
    <col min="18" max="18" width="50.7109375" style="49" customWidth="1"/>
    <col min="19" max="19" width="9.140625" customWidth="1"/>
    <col min="20" max="20" width="12.140625" style="25" bestFit="1" customWidth="1"/>
    <col min="21" max="21" width="7.5703125" style="22" bestFit="1" customWidth="1"/>
    <col min="22" max="22" width="20.7109375" style="25" customWidth="1"/>
    <col min="23" max="23" width="7.140625" style="27" bestFit="1" customWidth="1"/>
    <col min="24" max="25" width="20.7109375" style="25" customWidth="1"/>
    <col min="26" max="26" width="11.7109375" style="50" customWidth="1"/>
    <col min="27" max="27" width="7.42578125" style="50" bestFit="1" customWidth="1"/>
    <col min="28" max="28" width="9.140625" style="9" customWidth="1"/>
    <col min="29" max="29" width="9.140625" style="9" bestFit="1" customWidth="1"/>
    <col min="30" max="30" width="25.7109375" style="9" customWidth="1"/>
    <col min="31" max="31" width="9.140625" style="9" bestFit="1" customWidth="1"/>
    <col min="32" max="32" width="25.7109375" style="9" customWidth="1"/>
    <col min="33" max="33" width="8.85546875" style="9" bestFit="1" customWidth="1"/>
    <col min="34" max="34" width="25.7109375" style="9" customWidth="1"/>
    <col min="35" max="35" width="7" style="9" bestFit="1" customWidth="1"/>
    <col min="36" max="36" width="9.140625" style="9"/>
    <col min="45" max="16384" width="9.140625" style="9"/>
  </cols>
  <sheetData>
    <row r="1" spans="1:35" x14ac:dyDescent="0.25">
      <c r="A1" s="32" t="s">
        <v>0</v>
      </c>
      <c r="B1" s="2" t="s">
        <v>0</v>
      </c>
      <c r="C1" s="2" t="s">
        <v>0</v>
      </c>
      <c r="D1" s="2" t="s">
        <v>1</v>
      </c>
      <c r="E1" s="2" t="s">
        <v>0</v>
      </c>
      <c r="F1" s="2" t="s">
        <v>0</v>
      </c>
      <c r="G1" s="2" t="s">
        <v>0</v>
      </c>
      <c r="H1" s="2"/>
      <c r="I1" s="2" t="s">
        <v>2</v>
      </c>
      <c r="J1" s="2" t="s">
        <v>3</v>
      </c>
      <c r="K1" s="4" t="s">
        <v>4</v>
      </c>
      <c r="L1" s="3" t="s">
        <v>5</v>
      </c>
      <c r="M1" s="4" t="s">
        <v>6</v>
      </c>
      <c r="N1" s="4" t="s">
        <v>7</v>
      </c>
      <c r="O1" s="4" t="s">
        <v>8</v>
      </c>
      <c r="P1" s="18" t="s">
        <v>9</v>
      </c>
      <c r="Q1" s="2" t="s">
        <v>10</v>
      </c>
      <c r="R1" s="46" t="s">
        <v>11</v>
      </c>
      <c r="T1" s="21"/>
      <c r="V1" s="28" t="s">
        <v>12</v>
      </c>
      <c r="W1" s="15"/>
      <c r="X1" s="28" t="s">
        <v>13</v>
      </c>
      <c r="Y1" s="28" t="s">
        <v>207</v>
      </c>
      <c r="AC1" s="10"/>
      <c r="AD1" s="40" t="s">
        <v>14</v>
      </c>
      <c r="AE1" s="10"/>
      <c r="AF1" s="40" t="s">
        <v>15</v>
      </c>
      <c r="AG1" s="15"/>
      <c r="AH1" s="42" t="s">
        <v>16</v>
      </c>
    </row>
    <row r="2" spans="1:35" ht="225" x14ac:dyDescent="0.25">
      <c r="A2" s="33" t="s">
        <v>17</v>
      </c>
      <c r="B2" s="19" t="s">
        <v>18</v>
      </c>
      <c r="C2" s="19" t="s">
        <v>19</v>
      </c>
      <c r="D2" s="19" t="s">
        <v>20</v>
      </c>
      <c r="E2" s="19" t="s">
        <v>21</v>
      </c>
      <c r="F2" s="19" t="s">
        <v>22</v>
      </c>
      <c r="G2" s="19" t="s">
        <v>23</v>
      </c>
      <c r="I2" s="44">
        <v>5862</v>
      </c>
      <c r="J2" s="45">
        <v>0</v>
      </c>
      <c r="K2" s="5" t="str">
        <f t="shared" ref="K2:M2" si="0">A2</f>
        <v>Nr Vinculo</v>
      </c>
      <c r="L2" s="5" t="str">
        <f t="shared" si="0"/>
        <v>Dt. Alteração</v>
      </c>
      <c r="M2" s="5" t="str">
        <f t="shared" si="0"/>
        <v>Numero Ocorrencia</v>
      </c>
      <c r="N2" s="5" t="str">
        <f>E2</f>
        <v>Salário</v>
      </c>
      <c r="O2" s="5" t="str">
        <f t="shared" ref="O2:P2" si="1">F2</f>
        <v>Tipo Salário</v>
      </c>
      <c r="P2" s="5" t="str">
        <f t="shared" si="1"/>
        <v>Observação</v>
      </c>
      <c r="Q2" s="6" t="s">
        <v>209</v>
      </c>
      <c r="R2" s="47"/>
      <c r="T2" s="24" t="s">
        <v>24</v>
      </c>
      <c r="U2" s="23" t="s">
        <v>25</v>
      </c>
      <c r="V2" s="29" t="s">
        <v>26</v>
      </c>
      <c r="W2" s="23" t="s">
        <v>27</v>
      </c>
      <c r="X2" s="30" t="str">
        <f ca="1">"- Lista de vínculos não encontrados no sistema ou na planilha 04_Vinculo. " &amp; COUNTA(_xlfn.ANCHORARRAY( X3) ) - 1 &amp; " ocorrência(s)."</f>
        <v>- Lista de vínculos não encontrados no sistema ou na planilha 04_Vinculo. 0 ocorrência(s).</v>
      </c>
      <c r="Y2" s="30" t="str">
        <f ca="1">"- Lista de vínculos com salário vazio ou zerado. " &amp; COUNTA(_xlfn.ANCHORARRAY( Y3) ) &amp; " ocorrência(s):"</f>
        <v>- Lista de vínculos com salário vazio ou zerado. 1 ocorrência(s):</v>
      </c>
      <c r="AB2" s="31" t="s">
        <v>28</v>
      </c>
      <c r="AC2" s="10"/>
      <c r="AD2" s="41" t="str">
        <f ca="1">"/*"&amp;AD4&amp;"*/
SELECT A + 1 A, B - 1 B, B - A - 1 LENGHT, (SELECT TO_NUMBER(NRSEQUENCIAL) FROM NOVOCODIGO WHERE NRORG = "&amp;AD9&amp;" AND CDCONTADOR = '"&amp;AD4&amp;"') NOVOCODIGO FROM (SELECT 0 A, MIN("&amp;AD5&amp;") B FROM "&amp;AD4&amp;" WHERE NRORG = "&amp;AD9&amp;" UNION ALL SELECT "&amp;AD5&amp;", LEAD("&amp;AD5&amp;") OVER (ORDER BY "&amp;AD5&amp;") FROM "&amp;AD4&amp;" WHERE NRORG = "&amp;AD9&amp;" ) WHERE B - A &gt; "&amp;AD8&amp;" OR B IS NULL ORDER BY A;"</f>
        <v>/*GPE_ALTESALARIO*/
SELECT A + 1 A, B - 1 B, B - A - 1 LENGHT, (SELECT TO_NUMBER(NRSEQUENCIAL) FROM NOVOCODIGO WHERE NRORG = 5862 AND CDCONTADOR = 'GPE_ALTESALARIO') NOVOCODIGO FROM (SELECT 0 A, MIN(NRALTESALARIO) B FROM GPE_ALTESALARIO WHERE NRORG = 5862 UNION ALL SELECT NRALTESALARIO, LEAD(NRALTESALARIO) OVER (ORDER BY NRALTESALARIO) FROM GPE_ALTESALARIO WHERE NRORG = 5862 ) WHERE B - A &gt; 28 OR B IS NULL ORDER BY A;</v>
      </c>
      <c r="AE2" s="10"/>
      <c r="AF2" s="41" t="str">
        <f ca="1">"SELECT '--'||COUNT(1)||': "&amp;AF4&amp;"' STATUS FROM "&amp;AF4&amp;" WHERE NRORG = "&amp;AF9&amp;" AND "&amp;AF5&amp;" BETWEEN "&amp;AF6&amp;" AND "&amp;AF7&amp;"; /* UNION ALL*/ "</f>
        <v xml:space="preserve">SELECT '--'||COUNT(1)||': GPE_ALTESALARIO' STATUS FROM GPE_ALTESALARIO WHERE NRORG = 5862 AND NRALTESALARIO BETWEEN 1 AND 28; /* UNION ALL*/ </v>
      </c>
      <c r="AH2" s="43" t="str">
        <f ca="1">"MERGE INTO NOVOCODIGO NC
  USING ( SELECT LPAD( MAX( "&amp;AH5&amp;" ) + 1, 20, '0' ) NRSEQUENCIAL
          FROM "&amp;AH4&amp;"
          WHERE NRORG = "&amp;AH9&amp;"
        ) TABELA
  ON (     NC.NRORG      = "&amp;AH9&amp;"
       AND NC.CDCONTADOR = '"&amp;AH4&amp;"' )
  WHEN     MATCHED THEN
    UPDATE SET NC.NRSEQUENCIAL = TABELA.NRSEQUENCIAL
  WHEN NOT MATCHED THEN
    INSERT ( CDCONTADOR, NRSEQUENCIAL, NRORG, DTINCLUSAO )
    VALUES ( '"&amp;AH4&amp;"', TABELA.NRSEQUENCIAL, "&amp;AH9&amp;", SYSDATE );"</f>
        <v>MERGE INTO NOVOCODIGO NC
  USING ( SELECT LPAD( MAX( NRALTESALARIO ) + 1, 20, '0' ) NRSEQUENCIAL
          FROM GPE_ALTESALARIO
          WHERE NRORG = 5862
        ) TABELA
  ON (     NC.NRORG      = 5862
       AND NC.CDCONTADOR = 'GPE_ALTESALARIO' )
  WHEN     MATCHED THEN
    UPDATE SET NC.NRSEQUENCIAL = TABELA.NRSEQUENCIAL
  WHEN NOT MATCHED THEN
    INSERT ( CDCONTADOR, NRSEQUENCIAL, NRORG, DTINCLUSAO )
    VALUES ( 'GPE_ALTESALARIO', TABELA.NRSEQUENCIAL, 5862, SYSDATE );</v>
      </c>
      <c r="AI2" s="43" t="s">
        <v>29</v>
      </c>
    </row>
    <row r="3" spans="1:35" x14ac:dyDescent="0.25">
      <c r="A3" s="20" t="s">
        <v>49</v>
      </c>
      <c r="B3" s="20" t="s">
        <v>166</v>
      </c>
      <c r="C3" s="20" t="s">
        <v>48</v>
      </c>
      <c r="D3" cm="1">
        <f t="array" ref="D3">_xlfn.IFS(IFERROR(FIND("ADMISS",UPPER(P3)),0)&gt;0,1,
IFERROR(FIND("PROMO",UPPER(P3)),0)&gt;0,3,
IFERROR(FIND("SINDI",UPPER(P3)),0)&gt;0,7,
IFERROR(FIND("REAJUSTE",UPPER(P3)),0)&gt;0,22,
TRUE,50)</f>
        <v>1</v>
      </c>
      <c r="E3" s="20" t="s">
        <v>167</v>
      </c>
      <c r="F3" s="20" t="s">
        <v>201</v>
      </c>
      <c r="G3" s="20" t="s">
        <v>168</v>
      </c>
      <c r="I3" s="7"/>
      <c r="J3" s="7">
        <f ca="1">IF( AND( U3 = "insere", W3 = "existe", N3 &lt;&gt; "zerado" ), J2 + 1, J2 )</f>
        <v>1</v>
      </c>
      <c r="K3" s="7" t="str">
        <f>TRIM(A3)</f>
        <v>010000-0-00189</v>
      </c>
      <c r="L3" s="7" t="str">
        <f t="shared" ref="L3:L9" si="2">TEXT(B3,"DD/MM/AAAA")</f>
        <v>02/04/2007</v>
      </c>
      <c r="M3" s="7" t="str">
        <f>IF( TRIM( C3 ) = "", 1, TRIM( C3 ) )</f>
        <v>1</v>
      </c>
      <c r="N3" s="7" t="str" cm="1">
        <f t="array" ref="N3">_xlfn.IFS(E3=0,"zerado",TRIM(E3)="","zerado",TRIM(E3)="0","zerado",TRUE,SUBSTITUTE(E3,",","."))</f>
        <v>2300</v>
      </c>
      <c r="O3" s="7" t="str">
        <f>TRIM(UPPER(F3))</f>
        <v>MENSAL</v>
      </c>
      <c r="P3" s="7" t="str">
        <f xml:space="preserve"> TRIM( G3 )</f>
        <v>SALARIO DE ADMISSAO</v>
      </c>
      <c r="Q3" s="8" t="str">
        <f ca="1" xml:space="preserve"> SUBSTITUTE( SUBSTITUTE( SUBSTITUTE( SUBSTITUTE( SUBSTITUTE( SUBSTITUTE( SUBSTITUTE( SUBSTITUTE( SUBSTITUTE( $Q$2, "@NRORG@", $I$2 ), "@NRALTESALARIO@", $J3 ), "@CDMATRICULA@", $K3 ), "@DTALTESALARIO@", $L3 ), "@NROCORRENCIA@", $M3 ), "@NRTIPOALTERA@", $D3 ), "@VRSALARIO@", $N3 ), "@IDTPSALARIO@", $O3 ), "@DSOBSERVACAO@", $P3 )</f>
        <v>INSERT INTO GPE_ALTESALARIO ( NRALTESALARIO, NRORG, NRVINCULOM, DTALTESALARIO, NROCORRENCIA, NRTIPOALTERA, VRSALARIO, IDTPSALARIO, DSOBSERVACAO, NRTPMODALIDSAL, DTINCLUSAO, NRORGINCLUSAO, CDOPERINCLUSAO ) VALUES ( 1, 5862, ( SELECT /*MAX(*/ NRVINCULOM /*)*/ FROM GPE_VINCULOM WHERE NRORG = 5862 AND CDMATRICULA = '010000-0-00189' ), '02/04/2007', 1, '1', 2300, 'MENSAL', NVL( 'SALARIO DE ADMISSAO', 'Alteracao salarial importada via migracao ' || SYSDATE ), 1, SYSDATE, 5862, '000000099991' ); COMMIT;</v>
      </c>
      <c r="R3" s="48" t="str">
        <f ca="1">IF( ( U3 = "insere" ) * ( W3 = "existe" ) * ( N3 &lt;&gt; "zerado" ), Q3, "" )</f>
        <v>INSERT INTO GPE_ALTESALARIO ( NRALTESALARIO, NRORG, NRVINCULOM, DTALTESALARIO, NROCORRENCIA, NRTIPOALTERA, VRSALARIO, IDTPSALARIO, DSOBSERVACAO, NRTPMODALIDSAL, DTINCLUSAO, NRORGINCLUSAO, CDOPERINCLUSAO ) VALUES ( 1, 5862, ( SELECT /*MAX(*/ NRVINCULOM /*)*/ FROM GPE_VINCULOM WHERE NRORG = 5862 AND CDMATRICULA = '010000-0-00189' ), '02/04/2007', 1, '1', 2300, 'MENSAL', NVL( 'SALARIO DE ADMISSAO', 'Alteracao salarial importada via migracao ' || SYSDATE ), 1, SYSDATE, 5862, '000000099991' ); COMMIT;</v>
      </c>
      <c r="T3" s="22" t="str" cm="1">
        <f t="array" aca="1" ref="T3:T30" ca="1">INDIRECT( AA5 ) &amp;"-" &amp; TEXT( OFFSET( INDIRECT( AA5 ), 0, 1 ), "DDMMAAAA" ) &amp; OFFSET( INDIRECT( AA5 ), 0, 2 )</f>
        <v>010000-0-00189-020420071</v>
      </c>
      <c r="U3" s="22" t="str" cm="1">
        <f t="array" aca="1" ref="U3:U30" ca="1">IF( COUNTIF( Base!$A:$A,_xlfn.ANCHORARRAY( T3)  ) = 0, "insere", "não" )</f>
        <v>insere</v>
      </c>
      <c r="V3" s="25" t="str" cm="1">
        <f t="array" aca="1" ref="V3:V4" ca="1">_xlfn._xlws.SORT( _xlfn.UNIQUE( IF( COUNTIF( Base!$A:$A,_xlfn.ANCHORARRAY( T3) ) = 1, "Vínculo (matrícula): " &amp; A3:A2139 &amp; ", " &amp; TEXT( OFFSET( INDIRECT( AA5 ), 0, 1 ), "DD/MM/AAAA" ) &amp; ", Salario: " &amp; N3:N2139 &amp; ", ocorrência " &amp; OFFSET( INDIRECT( AA5 ), 0, 2 ), "" ) ) )</f>
        <v/>
      </c>
      <c r="W3" s="27" t="str" cm="1">
        <f t="array" aca="1" ref="W3:W30" ca="1">IF( COUNTIF( Base!$G:$G, INDIRECT( AA5 ) ) = 1, "existe", "não" )</f>
        <v>existe</v>
      </c>
      <c r="X3" s="25" t="str" cm="1">
        <f t="array" aca="1" ref="X3" ca="1">_xlfn._xlws.SORT( _xlfn.UNIQUE( IF( COUNTIF( Base!$G:$G, INDIRECT( AA5 ) ) = 0, INDIRECT( AA5 ), "" ) ) )</f>
        <v/>
      </c>
      <c r="Y3" s="25" t="e" cm="1" vm="1">
        <f t="array" aca="1" ref="Y3" ca="1">_xlfn._xlws.SORT( _xlfn._xlws.FILTER(
"  - " &amp; INDIRECT( $AA$5 ) &amp; ", Dt. Alteração " &amp; INDIRECT( $AA$6 ) &amp; ", obs. " &amp; INDIRECT( $AA$7 ),
INDIRECT( $AA$8 ) = "zerado" ) )</f>
        <v>#VALUE!</v>
      </c>
      <c r="Z3" s="52" t="s">
        <v>202</v>
      </c>
      <c r="AA3" s="51"/>
      <c r="AC3" s="11" t="s">
        <v>30</v>
      </c>
      <c r="AD3" s="13" t="s">
        <v>3</v>
      </c>
      <c r="AE3" s="11" t="s">
        <v>30</v>
      </c>
      <c r="AF3" s="14" t="str">
        <f>AD3</f>
        <v>@NRALTESALARIO@</v>
      </c>
      <c r="AG3" s="16"/>
      <c r="AH3" s="17"/>
    </row>
    <row r="4" spans="1:35" x14ac:dyDescent="0.25">
      <c r="A4" s="20" t="s">
        <v>49</v>
      </c>
      <c r="B4" s="20" t="s">
        <v>169</v>
      </c>
      <c r="C4" s="20" t="s">
        <v>48</v>
      </c>
      <c r="D4" cm="1">
        <f t="array" ref="D4">_xlfn.IFS(IFERROR(FIND("ADMISS",UPPER(P4)),0)&gt;0,1,
IFERROR(FIND("PROMO",UPPER(P4)),0)&gt;0,3,
IFERROR(FIND("SINDI",UPPER(P4)),0)&gt;0,7,
IFERROR(FIND("REAJUSTE",UPPER(P4)),0)&gt;0,22,
TRUE,50)</f>
        <v>22</v>
      </c>
      <c r="E4" s="20" t="s">
        <v>170</v>
      </c>
      <c r="F4" s="20" t="s">
        <v>201</v>
      </c>
      <c r="G4" s="20" t="s">
        <v>171</v>
      </c>
      <c r="I4" s="7"/>
      <c r="J4" s="7">
        <f t="shared" ref="J4:J30" ca="1" si="3">IF( AND( U4 = "insere", W4 = "existe", N4 &lt;&gt; "zerado" ), J3 + 1, J3 )</f>
        <v>2</v>
      </c>
      <c r="K4" s="7" t="str">
        <f t="shared" ref="K4:K9" si="4">TRIM(A4)</f>
        <v>010000-0-00189</v>
      </c>
      <c r="L4" s="7" t="str">
        <f t="shared" si="2"/>
        <v>01/11/2013</v>
      </c>
      <c r="M4" s="7" t="str">
        <f t="shared" ref="M4:M9" si="5">IF( TRIM( C4 ) = "", 1, TRIM( C4 ) )</f>
        <v>1</v>
      </c>
      <c r="N4" s="7" t="str" cm="1">
        <f t="array" ref="N4">_xlfn.IFS(E4=0,"zerado",TRIM(E4)="","zerado",TRIM(E4)="0","zerado",TRUE,SUBSTITUTE(E4,",","."))</f>
        <v>4400</v>
      </c>
      <c r="O4" s="7" t="str">
        <f t="shared" ref="O4:O9" si="6">TRIM(UPPER(F4))</f>
        <v>MENSAL</v>
      </c>
      <c r="P4" s="7" t="str">
        <f t="shared" ref="P4:P9" si="7" xml:space="preserve"> TRIM( G4 )</f>
        <v>Reajuste salarial</v>
      </c>
      <c r="Q4" s="8" t="str">
        <f t="shared" ref="Q4:Q30" ca="1" si="8" xml:space="preserve"> SUBSTITUTE( SUBSTITUTE( SUBSTITUTE( SUBSTITUTE( SUBSTITUTE( SUBSTITUTE( SUBSTITUTE( SUBSTITUTE( SUBSTITUTE( $Q$2, "@NRORG@", $I$2 ), "@NRALTESALARIO@", $J4 ), "@CDMATRICULA@", $K4 ), "@DTALTESALARIO@", $L4 ), "@NROCORRENCIA@", $M4 ), "@NRTIPOALTERA@", $D4 ), "@VRSALARIO@", $N4 ), "@IDTPSALARIO@", $O4 ), "@DSOBSERVACAO@", $P4 )</f>
        <v>INSERT INTO GPE_ALTESALARIO ( NRALTESALARIO, NRORG, NRVINCULOM, DTALTESALARIO, NROCORRENCIA, NRTIPOALTERA, VRSALARIO, IDTPSALARIO, DSOBSERVACAO, NRTPMODALIDSAL, DTINCLUSAO, NRORGINCLUSAO, CDOPERINCLUSAO ) VALUES ( 2, 5862, ( SELECT /*MAX(*/ NRVINCULOM /*)*/ FROM GPE_VINCULOM WHERE NRORG = 5862 AND CDMATRICULA = '010000-0-00189' ), '01/11/2013', 1, '22', 4400, 'MENSAL', NVL( 'Reajuste salarial', 'Alteracao salarial importada via migracao ' || SYSDATE ), 1, SYSDATE, 5862, '000000099991' ); COMMIT;</v>
      </c>
      <c r="R4" s="48" t="str">
        <f t="shared" ref="R4:R30" ca="1" si="9">IF( ( U4 = "insere" ) * ( W4 = "existe" ) * ( N4 &lt;&gt; "zerado" ), Q4, "" )</f>
        <v>INSERT INTO GPE_ALTESALARIO ( NRALTESALARIO, NRORG, NRVINCULOM, DTALTESALARIO, NROCORRENCIA, NRTIPOALTERA, VRSALARIO, IDTPSALARIO, DSOBSERVACAO, NRTPMODALIDSAL, DTINCLUSAO, NRORGINCLUSAO, CDOPERINCLUSAO ) VALUES ( 2, 5862, ( SELECT /*MAX(*/ NRVINCULOM /*)*/ FROM GPE_VINCULOM WHERE NRORG = 5862 AND CDMATRICULA = '010000-0-00189' ), '01/11/2013', 1, '22', 4400, 'MENSAL', NVL( 'Reajuste salarial', 'Alteracao salarial importada via migracao ' || SYSDATE ), 1, SYSDATE, 5862, '000000099991' ); COMMIT;</v>
      </c>
      <c r="T4" s="25" t="str">
        <f ca="1"/>
        <v>010000-0-00189-011120131</v>
      </c>
      <c r="U4" s="22" t="str">
        <f ca="1"/>
        <v>insere</v>
      </c>
      <c r="V4" s="25" t="e">
        <f ca="1"/>
        <v>#N/A</v>
      </c>
      <c r="W4" s="27" t="str">
        <f ca="1"/>
        <v>existe</v>
      </c>
      <c r="Z4" s="51" t="s">
        <v>203</v>
      </c>
      <c r="AA4" s="51">
        <f>COUNTA(A:A)</f>
        <v>30</v>
      </c>
      <c r="AC4" s="11" t="s">
        <v>31</v>
      </c>
      <c r="AD4" s="1" t="s">
        <v>32</v>
      </c>
      <c r="AE4" s="11" t="s">
        <v>31</v>
      </c>
      <c r="AF4" s="14" t="str">
        <f>AD4</f>
        <v>GPE_ALTESALARIO</v>
      </c>
      <c r="AG4" s="16" t="s">
        <v>31</v>
      </c>
      <c r="AH4" s="14" t="str">
        <f>AF4</f>
        <v>GPE_ALTESALARIO</v>
      </c>
    </row>
    <row r="5" spans="1:35" x14ac:dyDescent="0.25">
      <c r="A5" s="20" t="s">
        <v>53</v>
      </c>
      <c r="B5" s="20" t="s">
        <v>172</v>
      </c>
      <c r="C5" s="20" t="s">
        <v>48</v>
      </c>
      <c r="D5" cm="1">
        <f t="array" ref="D5">_xlfn.IFS(IFERROR(FIND("ADMISS",UPPER(P5)),0)&gt;0,1,
IFERROR(FIND("PROMO",UPPER(P5)),0)&gt;0,3,
IFERROR(FIND("SINDI",UPPER(P5)),0)&gt;0,7,
IFERROR(FIND("REAJUSTE",UPPER(P5)),0)&gt;0,22,
TRUE,50)</f>
        <v>1</v>
      </c>
      <c r="E5" s="20" t="s">
        <v>167</v>
      </c>
      <c r="F5" s="20" t="s">
        <v>201</v>
      </c>
      <c r="G5" s="20" t="s">
        <v>168</v>
      </c>
      <c r="I5" s="7"/>
      <c r="J5" s="7">
        <f t="shared" ca="1" si="3"/>
        <v>3</v>
      </c>
      <c r="K5" s="7" t="str">
        <f t="shared" si="4"/>
        <v>010000-0-00767</v>
      </c>
      <c r="L5" s="7" t="str">
        <f t="shared" si="2"/>
        <v>01/11/2012</v>
      </c>
      <c r="M5" s="7" t="str">
        <f t="shared" si="5"/>
        <v>1</v>
      </c>
      <c r="N5" s="7" t="str" cm="1">
        <f t="array" ref="N5">_xlfn.IFS(E5=0,"zerado",TRIM(E5)="","zerado",TRIM(E5)="0","zerado",TRUE,SUBSTITUTE(E5,",","."))</f>
        <v>2300</v>
      </c>
      <c r="O5" s="7" t="str">
        <f t="shared" si="6"/>
        <v>MENSAL</v>
      </c>
      <c r="P5" s="7" t="str">
        <f t="shared" si="7"/>
        <v>SALARIO DE ADMISSAO</v>
      </c>
      <c r="Q5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( 3, 5862, ( SELECT /*MAX(*/ NRVINCULOM /*)*/ FROM GPE_VINCULOM WHERE NRORG = 5862 AND CDMATRICULA = '010000-0-00767' ), '01/11/2012', 1, '1', 2300, 'MENSAL', NVL( 'SALARIO DE ADMISSAO', 'Alteracao salarial importada via migracao ' || SYSDATE ), 1, SYSDATE, 5862, '000000099991' ); COMMIT;</v>
      </c>
      <c r="R5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( 3, 5862, ( SELECT /*MAX(*/ NRVINCULOM /*)*/ FROM GPE_VINCULOM WHERE NRORG = 5862 AND CDMATRICULA = '010000-0-00767' ), '01/11/2012', 1, '1', 2300, 'MENSAL', NVL( 'SALARIO DE ADMISSAO', 'Alteracao salarial importada via migracao ' || SYSDATE ), 1, SYSDATE, 5862, '000000099991' ); COMMIT;</v>
      </c>
      <c r="T5" s="25" t="str">
        <f ca="1"/>
        <v>010000-0-00767-011120121</v>
      </c>
      <c r="U5" s="22" t="str">
        <f ca="1"/>
        <v>insere</v>
      </c>
      <c r="W5" s="27" t="str">
        <f ca="1"/>
        <v>existe</v>
      </c>
      <c r="Z5" s="51" t="s">
        <v>204</v>
      </c>
      <c r="AA5" s="51" t="str">
        <f>"A3:A"&amp;$AA$4</f>
        <v>A3:A30</v>
      </c>
      <c r="AC5" s="11" t="s">
        <v>33</v>
      </c>
      <c r="AD5" s="13" t="s">
        <v>34</v>
      </c>
      <c r="AE5" s="11" t="s">
        <v>33</v>
      </c>
      <c r="AF5" s="14" t="str">
        <f>AD5</f>
        <v>NRALTESALARIO</v>
      </c>
      <c r="AG5" s="16" t="s">
        <v>33</v>
      </c>
      <c r="AH5" s="14" t="str">
        <f>AF5</f>
        <v>NRALTESALARIO</v>
      </c>
    </row>
    <row r="6" spans="1:35" x14ac:dyDescent="0.25">
      <c r="A6" s="20" t="s">
        <v>53</v>
      </c>
      <c r="B6" s="20" t="s">
        <v>173</v>
      </c>
      <c r="C6" s="20" t="s">
        <v>48</v>
      </c>
      <c r="D6" cm="1">
        <f t="array" ref="D6">_xlfn.IFS(IFERROR(FIND("ADMISS",UPPER(P6)),0)&gt;0,1,
IFERROR(FIND("PROMO",UPPER(P6)),0)&gt;0,3,
IFERROR(FIND("SINDI",UPPER(P6)),0)&gt;0,7,
IFERROR(FIND("REAJUSTE",UPPER(P6)),0)&gt;0,22,
TRUE,50)</f>
        <v>22</v>
      </c>
      <c r="E6" s="20" t="s">
        <v>170</v>
      </c>
      <c r="F6" s="20" t="s">
        <v>201</v>
      </c>
      <c r="G6" s="20" t="s">
        <v>171</v>
      </c>
      <c r="I6" s="7"/>
      <c r="J6" s="7">
        <f t="shared" ca="1" si="3"/>
        <v>4</v>
      </c>
      <c r="K6" s="7" t="str">
        <f t="shared" si="4"/>
        <v>010000-0-00767</v>
      </c>
      <c r="L6" s="7" t="str">
        <f t="shared" si="2"/>
        <v>01/09/2014</v>
      </c>
      <c r="M6" s="7" t="str">
        <f t="shared" si="5"/>
        <v>1</v>
      </c>
      <c r="N6" s="7" t="str" cm="1">
        <f t="array" ref="N6">_xlfn.IFS(E6=0,"zerado",TRIM(E6)="","zerado",TRIM(E6)="0","zerado",TRUE,SUBSTITUTE(E6,",","."))</f>
        <v>4400</v>
      </c>
      <c r="O6" s="7" t="str">
        <f t="shared" si="6"/>
        <v>MENSAL</v>
      </c>
      <c r="P6" s="7" t="str">
        <f t="shared" si="7"/>
        <v>Reajuste salarial</v>
      </c>
      <c r="Q6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( 4, 5862, ( SELECT /*MAX(*/ NRVINCULOM /*)*/ FROM GPE_VINCULOM WHERE NRORG = 5862 AND CDMATRICULA = '010000-0-00767' ), '01/09/2014', 1, '22', 4400, 'MENSAL', NVL( 'Reajuste salarial', 'Alteracao salarial importada via migracao ' || SYSDATE ), 1, SYSDATE, 5862, '000000099991' ); COMMIT;</v>
      </c>
      <c r="R6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( 4, 5862, ( SELECT /*MAX(*/ NRVINCULOM /*)*/ FROM GPE_VINCULOM WHERE NRORG = 5862 AND CDMATRICULA = '010000-0-00767' ), '01/09/2014', 1, '22', 4400, 'MENSAL', NVL( 'Reajuste salarial', 'Alteracao salarial importada via migracao ' || SYSDATE ), 1, SYSDATE, 5862, '000000099991' ); COMMIT;</v>
      </c>
      <c r="T6" s="25" t="str">
        <f ca="1"/>
        <v>010000-0-00767-010920141</v>
      </c>
      <c r="U6" s="22" t="str">
        <f ca="1"/>
        <v>insere</v>
      </c>
      <c r="W6" s="27" t="str">
        <f ca="1"/>
        <v>existe</v>
      </c>
      <c r="Z6" s="51" t="s">
        <v>205</v>
      </c>
      <c r="AA6" s="51" t="str">
        <f>"L3:L"&amp;$AA$4</f>
        <v>L3:L30</v>
      </c>
      <c r="AC6" s="11" t="s">
        <v>35</v>
      </c>
      <c r="AD6" s="12">
        <f ca="1">MIN(OFFSET($A$1,2,MATCH(AD$3,$1:$1,0)-1,1048574,1))</f>
        <v>1</v>
      </c>
      <c r="AE6" s="11" t="s">
        <v>35</v>
      </c>
      <c r="AF6" s="14">
        <f ca="1">AD6</f>
        <v>1</v>
      </c>
      <c r="AG6" s="16"/>
      <c r="AH6" s="17"/>
    </row>
    <row r="7" spans="1:35" x14ac:dyDescent="0.25">
      <c r="A7" s="20" t="s">
        <v>53</v>
      </c>
      <c r="B7" s="20" t="s">
        <v>174</v>
      </c>
      <c r="C7" s="20" t="s">
        <v>48</v>
      </c>
      <c r="D7" cm="1">
        <f t="array" ref="D7">_xlfn.IFS(IFERROR(FIND("ADMISS",UPPER(P7)),0)&gt;0,1,
IFERROR(FIND("PROMO",UPPER(P7)),0)&gt;0,3,
IFERROR(FIND("SINDI",UPPER(P7)),0)&gt;0,7,
IFERROR(FIND("REAJUSTE",UPPER(P7)),0)&gt;0,22,
TRUE,50)</f>
        <v>22</v>
      </c>
      <c r="E7" s="20" t="s">
        <v>175</v>
      </c>
      <c r="F7" s="20" t="s">
        <v>201</v>
      </c>
      <c r="G7" s="20" t="s">
        <v>171</v>
      </c>
      <c r="I7" s="7"/>
      <c r="J7" s="7">
        <f t="shared" ca="1" si="3"/>
        <v>5</v>
      </c>
      <c r="K7" s="7" t="str">
        <f t="shared" si="4"/>
        <v>010000-0-00767</v>
      </c>
      <c r="L7" s="7" t="str">
        <f t="shared" si="2"/>
        <v>01/01/2015</v>
      </c>
      <c r="M7" s="7" t="str">
        <f t="shared" si="5"/>
        <v>1</v>
      </c>
      <c r="N7" s="7" t="str" cm="1">
        <f t="array" ref="N7">_xlfn.IFS(E7=0,"zerado",TRIM(E7)="","zerado",TRIM(E7)="0","zerado",TRUE,SUBSTITUTE(E7,",","."))</f>
        <v>4678.96</v>
      </c>
      <c r="O7" s="7" t="str">
        <f t="shared" si="6"/>
        <v>MENSAL</v>
      </c>
      <c r="P7" s="7" t="str">
        <f t="shared" si="7"/>
        <v>Reajuste salarial</v>
      </c>
      <c r="Q7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( 5, 5862, ( SELECT /*MAX(*/ NRVINCULOM /*)*/ FROM GPE_VINCULOM WHERE NRORG = 5862 AND CDMATRICULA = '010000-0-00767' ), '01/01/2015', 1, '22', 4678.96, 'MENSAL', NVL( 'Reajuste salarial', 'Alteracao salarial importada via migracao ' || SYSDATE ), 1, SYSDATE, 5862, '000000099991' ); COMMIT;</v>
      </c>
      <c r="R7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( 5, 5862, ( SELECT /*MAX(*/ NRVINCULOM /*)*/ FROM GPE_VINCULOM WHERE NRORG = 5862 AND CDMATRICULA = '010000-0-00767' ), '01/01/2015', 1, '22', 4678.96, 'MENSAL', NVL( 'Reajuste salarial', 'Alteracao salarial importada via migracao ' || SYSDATE ), 1, SYSDATE, 5862, '000000099991' ); COMMIT;</v>
      </c>
      <c r="T7" s="25" t="str">
        <f ca="1"/>
        <v>010000-0-00767-010120151</v>
      </c>
      <c r="U7" s="22" t="str">
        <f ca="1"/>
        <v>insere</v>
      </c>
      <c r="W7" s="27" t="str">
        <f ca="1"/>
        <v>existe</v>
      </c>
      <c r="Z7" s="51" t="s">
        <v>23</v>
      </c>
      <c r="AA7" s="51" t="str">
        <f>"P3:P"&amp;$AA$4</f>
        <v>P3:P30</v>
      </c>
      <c r="AC7" s="11" t="s">
        <v>36</v>
      </c>
      <c r="AD7" s="12">
        <f ca="1">MAX(OFFSET($A$1,2,MATCH(AD$3,$1:$1,0)-1,1048574,1))</f>
        <v>28</v>
      </c>
      <c r="AE7" s="11" t="s">
        <v>36</v>
      </c>
      <c r="AF7" s="14">
        <f ca="1">AD7</f>
        <v>28</v>
      </c>
      <c r="AG7" s="16"/>
      <c r="AH7" s="17"/>
    </row>
    <row r="8" spans="1:35" x14ac:dyDescent="0.25">
      <c r="A8" s="20" t="s">
        <v>53</v>
      </c>
      <c r="B8" s="20" t="s">
        <v>176</v>
      </c>
      <c r="C8" s="20" t="s">
        <v>48</v>
      </c>
      <c r="D8" cm="1">
        <f t="array" ref="D8">_xlfn.IFS(IFERROR(FIND("ADMISS",UPPER(P8)),0)&gt;0,1,
IFERROR(FIND("PROMO",UPPER(P8)),0)&gt;0,3,
IFERROR(FIND("SINDI",UPPER(P8)),0)&gt;0,7,
IFERROR(FIND("REAJUSTE",UPPER(P8)),0)&gt;0,22,
TRUE,50)</f>
        <v>22</v>
      </c>
      <c r="E8" s="20" t="s">
        <v>177</v>
      </c>
      <c r="F8" s="20" t="s">
        <v>201</v>
      </c>
      <c r="G8" s="20" t="s">
        <v>171</v>
      </c>
      <c r="I8" s="7"/>
      <c r="J8" s="7">
        <f t="shared" ca="1" si="3"/>
        <v>6</v>
      </c>
      <c r="K8" s="7" t="str">
        <f t="shared" si="4"/>
        <v>010000-0-00767</v>
      </c>
      <c r="L8" s="7" t="str">
        <f t="shared" si="2"/>
        <v>01/09/2015</v>
      </c>
      <c r="M8" s="7" t="str">
        <f t="shared" si="5"/>
        <v>1</v>
      </c>
      <c r="N8" s="7" t="str" cm="1">
        <f t="array" ref="N8">_xlfn.IFS(E8=0,"zerado",TRIM(E8)="","zerado",TRIM(E8)="0","zerado",TRUE,SUBSTITUTE(E8,",","."))</f>
        <v>5141.24</v>
      </c>
      <c r="O8" s="7" t="str">
        <f t="shared" si="6"/>
        <v>MENSAL</v>
      </c>
      <c r="P8" s="7" t="str">
        <f t="shared" si="7"/>
        <v>Reajuste salarial</v>
      </c>
      <c r="Q8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( 6, 5862, ( SELECT /*MAX(*/ NRVINCULOM /*)*/ FROM GPE_VINCULOM WHERE NRORG = 5862 AND CDMATRICULA = '010000-0-00767' ), '01/09/2015', 1, '22', 5141.24, 'MENSAL', NVL( 'Reajuste salarial', 'Alteracao salarial importada via migracao ' || SYSDATE ), 1, SYSDATE, 5862, '000000099991' ); COMMIT;</v>
      </c>
      <c r="R8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( 6, 5862, ( SELECT /*MAX(*/ NRVINCULOM /*)*/ FROM GPE_VINCULOM WHERE NRORG = 5862 AND CDMATRICULA = '010000-0-00767' ), '01/09/2015', 1, '22', 5141.24, 'MENSAL', NVL( 'Reajuste salarial', 'Alteracao salarial importada via migracao ' || SYSDATE ), 1, SYSDATE, 5862, '000000099991' ); COMMIT;</v>
      </c>
      <c r="T8" s="25" t="str">
        <f ca="1"/>
        <v>010000-0-00767-010920151</v>
      </c>
      <c r="U8" s="22" t="str">
        <f ca="1"/>
        <v>insere</v>
      </c>
      <c r="W8" s="27" t="str">
        <f ca="1"/>
        <v>existe</v>
      </c>
      <c r="Z8" s="51" t="s">
        <v>206</v>
      </c>
      <c r="AA8" s="51" t="str">
        <f>"N3:N"&amp;$AA$4</f>
        <v>N3:N30</v>
      </c>
      <c r="AC8" s="11" t="s">
        <v>37</v>
      </c>
      <c r="AD8" s="12">
        <f ca="1">AD7-AD6+1</f>
        <v>28</v>
      </c>
      <c r="AE8" s="11"/>
      <c r="AF8" s="14"/>
      <c r="AG8" s="16"/>
      <c r="AH8" s="17"/>
    </row>
    <row r="9" spans="1:35" x14ac:dyDescent="0.25">
      <c r="A9" s="20" t="s">
        <v>57</v>
      </c>
      <c r="B9" s="20" t="s">
        <v>178</v>
      </c>
      <c r="C9" s="20" t="s">
        <v>48</v>
      </c>
      <c r="D9" cm="1">
        <f t="array" ref="D9">_xlfn.IFS(IFERROR(FIND("ADMISS",UPPER(P9)),0)&gt;0,1,
IFERROR(FIND("PROMO",UPPER(P9)),0)&gt;0,3,
IFERROR(FIND("SINDI",UPPER(P9)),0)&gt;0,7,
IFERROR(FIND("REAJUSTE",UPPER(P9)),0)&gt;0,22,
TRUE,50)</f>
        <v>1</v>
      </c>
      <c r="E9" s="20" t="s">
        <v>170</v>
      </c>
      <c r="F9" s="20" t="s">
        <v>201</v>
      </c>
      <c r="G9" s="20" t="s">
        <v>168</v>
      </c>
      <c r="I9" s="7"/>
      <c r="J9" s="7">
        <f t="shared" ca="1" si="3"/>
        <v>7</v>
      </c>
      <c r="K9" s="7" t="str">
        <f t="shared" si="4"/>
        <v>010000-0-00809</v>
      </c>
      <c r="L9" s="7" t="str">
        <f t="shared" si="2"/>
        <v>01/04/2013</v>
      </c>
      <c r="M9" s="7" t="str">
        <f t="shared" si="5"/>
        <v>1</v>
      </c>
      <c r="N9" s="7" t="str" cm="1">
        <f t="array" ref="N9">_xlfn.IFS(E9=0,"zerado",TRIM(E9)="","zerado",TRIM(E9)="0","zerado",TRUE,SUBSTITUTE(E9,",","."))</f>
        <v>4400</v>
      </c>
      <c r="O9" s="7" t="str">
        <f t="shared" si="6"/>
        <v>MENSAL</v>
      </c>
      <c r="P9" s="7" t="str">
        <f t="shared" si="7"/>
        <v>SALARIO DE ADMISSAO</v>
      </c>
      <c r="Q9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( 7, 5862, ( SELECT /*MAX(*/ NRVINCULOM /*)*/ FROM GPE_VINCULOM WHERE NRORG = 5862 AND CDMATRICULA = '010000-0-00809' ), '01/04/2013', 1, '1', 4400, 'MENSAL', NVL( 'SALARIO DE ADMISSAO', 'Alteracao salarial importada via migracao ' || SYSDATE ), 1, SYSDATE, 5862, '000000099991' ); COMMIT;</v>
      </c>
      <c r="R9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( 7, 5862, ( SELECT /*MAX(*/ NRVINCULOM /*)*/ FROM GPE_VINCULOM WHERE NRORG = 5862 AND CDMATRICULA = '010000-0-00809' ), '01/04/2013', 1, '1', 4400, 'MENSAL', NVL( 'SALARIO DE ADMISSAO', 'Alteracao salarial importada via migracao ' || SYSDATE ), 1, SYSDATE, 5862, '000000099991' ); COMMIT;</v>
      </c>
      <c r="T9" s="25" t="str">
        <f ca="1"/>
        <v>010000-0-00809-010420131</v>
      </c>
      <c r="U9" s="22" t="str">
        <f ca="1"/>
        <v>insere</v>
      </c>
      <c r="W9" s="27" t="str">
        <f ca="1"/>
        <v>existe</v>
      </c>
      <c r="AC9" s="11" t="s">
        <v>38</v>
      </c>
      <c r="AD9" s="12">
        <f ca="1">OFFSET($A$1,1,MATCH(AC9,$1:$1,0)-1)</f>
        <v>5862</v>
      </c>
      <c r="AE9" s="11" t="s">
        <v>38</v>
      </c>
      <c r="AF9" s="14">
        <f ca="1">AD9</f>
        <v>5862</v>
      </c>
      <c r="AG9" s="16" t="s">
        <v>38</v>
      </c>
      <c r="AH9" s="14">
        <f ca="1">AF9</f>
        <v>5862</v>
      </c>
    </row>
    <row r="10" spans="1:35" x14ac:dyDescent="0.25">
      <c r="A10" s="20" t="s">
        <v>57</v>
      </c>
      <c r="B10" s="20" t="s">
        <v>174</v>
      </c>
      <c r="C10" s="20" t="s">
        <v>48</v>
      </c>
      <c r="D10" cm="1">
        <f t="array" ref="D10">_xlfn.IFS(IFERROR(FIND("ADMISS",UPPER(P10)),0)&gt;0,1,
IFERROR(FIND("PROMO",UPPER(P10)),0)&gt;0,3,
IFERROR(FIND("SINDI",UPPER(P10)),0)&gt;0,7,
IFERROR(FIND("REAJUSTE",UPPER(P10)),0)&gt;0,22,
TRUE,50)</f>
        <v>22</v>
      </c>
      <c r="E10" s="20" t="s">
        <v>175</v>
      </c>
      <c r="F10" s="20" t="s">
        <v>201</v>
      </c>
      <c r="G10" s="20" t="s">
        <v>171</v>
      </c>
      <c r="I10" s="7"/>
      <c r="J10" s="7">
        <f t="shared" ca="1" si="3"/>
        <v>8</v>
      </c>
      <c r="K10" s="7" t="str">
        <f t="shared" ref="K10:K30" si="10">TRIM(A10)</f>
        <v>010000-0-00809</v>
      </c>
      <c r="L10" s="7" t="str">
        <f t="shared" ref="L10:L30" si="11">TEXT(B10,"DD/MM/AAAA")</f>
        <v>01/01/2015</v>
      </c>
      <c r="M10" s="7" t="str">
        <f t="shared" ref="M10:M30" si="12">IF( TRIM( C10 ) = "", 1, TRIM( C10 ) )</f>
        <v>1</v>
      </c>
      <c r="N10" s="7" t="str" cm="1">
        <f t="array" ref="N10">_xlfn.IFS(E10=0,"zerado",TRIM(E10)="","zerado",TRIM(E10)="0","zerado",TRUE,SUBSTITUTE(E10,",","."))</f>
        <v>4678.96</v>
      </c>
      <c r="O10" s="7" t="str">
        <f t="shared" ref="O10:O30" si="13">TRIM(UPPER(F10))</f>
        <v>MENSAL</v>
      </c>
      <c r="P10" s="7" t="str">
        <f t="shared" ref="P10:P30" si="14" xml:space="preserve"> TRIM( G10 )</f>
        <v>Reajuste salarial</v>
      </c>
      <c r="Q10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( 8, 5862, ( SELECT /*MAX(*/ NRVINCULOM /*)*/ FROM GPE_VINCULOM WHERE NRORG = 5862 AND CDMATRICULA = '010000-0-00809' ), '01/01/2015', 1, '22', 4678.96, 'MENSAL', NVL( 'Reajuste salarial', 'Alteracao salarial importada via migracao ' || SYSDATE ), 1, SYSDATE, 5862, '000000099991' ); COMMIT;</v>
      </c>
      <c r="R10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( 8, 5862, ( SELECT /*MAX(*/ NRVINCULOM /*)*/ FROM GPE_VINCULOM WHERE NRORG = 5862 AND CDMATRICULA = '010000-0-00809' ), '01/01/2015', 1, '22', 4678.96, 'MENSAL', NVL( 'Reajuste salarial', 'Alteracao salarial importada via migracao ' || SYSDATE ), 1, SYSDATE, 5862, '000000099991' ); COMMIT;</v>
      </c>
      <c r="T10" s="25" t="str">
        <f ca="1"/>
        <v>010000-0-00809-010120151</v>
      </c>
      <c r="U10" s="22" t="str">
        <f ca="1"/>
        <v>insere</v>
      </c>
      <c r="W10" s="27" t="str">
        <f ca="1"/>
        <v>existe</v>
      </c>
    </row>
    <row r="11" spans="1:35" x14ac:dyDescent="0.25">
      <c r="A11" s="20" t="s">
        <v>57</v>
      </c>
      <c r="B11" s="20" t="s">
        <v>176</v>
      </c>
      <c r="C11" s="20" t="s">
        <v>48</v>
      </c>
      <c r="D11" cm="1">
        <f t="array" ref="D11">_xlfn.IFS(IFERROR(FIND("ADMISS",UPPER(P11)),0)&gt;0,1,
IFERROR(FIND("PROMO",UPPER(P11)),0)&gt;0,3,
IFERROR(FIND("SINDI",UPPER(P11)),0)&gt;0,7,
IFERROR(FIND("REAJUSTE",UPPER(P11)),0)&gt;0,22,
TRUE,50)</f>
        <v>22</v>
      </c>
      <c r="E11" s="20" t="s">
        <v>177</v>
      </c>
      <c r="F11" s="20" t="s">
        <v>201</v>
      </c>
      <c r="G11" s="20" t="s">
        <v>171</v>
      </c>
      <c r="I11" s="7"/>
      <c r="J11" s="7">
        <f t="shared" ca="1" si="3"/>
        <v>9</v>
      </c>
      <c r="K11" s="7" t="str">
        <f t="shared" si="10"/>
        <v>010000-0-00809</v>
      </c>
      <c r="L11" s="7" t="str">
        <f t="shared" si="11"/>
        <v>01/09/2015</v>
      </c>
      <c r="M11" s="7" t="str">
        <f t="shared" si="12"/>
        <v>1</v>
      </c>
      <c r="N11" s="7" t="str" cm="1">
        <f t="array" ref="N11">_xlfn.IFS(E11=0,"zerado",TRIM(E11)="","zerado",TRIM(E11)="0","zerado",TRUE,SUBSTITUTE(E11,",","."))</f>
        <v>5141.24</v>
      </c>
      <c r="O11" s="7" t="str">
        <f t="shared" si="13"/>
        <v>MENSAL</v>
      </c>
      <c r="P11" s="7" t="str">
        <f t="shared" si="14"/>
        <v>Reajuste salarial</v>
      </c>
      <c r="Q11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( 9, 5862, ( SELECT /*MAX(*/ NRVINCULOM /*)*/ FROM GPE_VINCULOM WHERE NRORG = 5862 AND CDMATRICULA = '010000-0-00809' ), '01/09/2015', 1, '22', 5141.24, 'MENSAL', NVL( 'Reajuste salarial', 'Alteracao salarial importada via migracao ' || SYSDATE ), 1, SYSDATE, 5862, '000000099991' ); COMMIT;</v>
      </c>
      <c r="R11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( 9, 5862, ( SELECT /*MAX(*/ NRVINCULOM /*)*/ FROM GPE_VINCULOM WHERE NRORG = 5862 AND CDMATRICULA = '010000-0-00809' ), '01/09/2015', 1, '22', 5141.24, 'MENSAL', NVL( 'Reajuste salarial', 'Alteracao salarial importada via migracao ' || SYSDATE ), 1, SYSDATE, 5862, '000000099991' ); COMMIT;</v>
      </c>
      <c r="T11" s="25" t="str">
        <f ca="1"/>
        <v>010000-0-00809-010920151</v>
      </c>
      <c r="U11" s="22" t="str">
        <f ca="1"/>
        <v>insere</v>
      </c>
      <c r="W11" s="27" t="str">
        <f ca="1"/>
        <v>existe</v>
      </c>
    </row>
    <row r="12" spans="1:35" x14ac:dyDescent="0.25">
      <c r="A12" s="20" t="s">
        <v>57</v>
      </c>
      <c r="B12" s="20" t="s">
        <v>179</v>
      </c>
      <c r="C12" s="20" t="s">
        <v>48</v>
      </c>
      <c r="D12" cm="1">
        <f t="array" ref="D12">_xlfn.IFS(IFERROR(FIND("ADMISS",UPPER(P12)),0)&gt;0,1,
IFERROR(FIND("PROMO",UPPER(P12)),0)&gt;0,3,
IFERROR(FIND("SINDI",UPPER(P12)),0)&gt;0,7,
IFERROR(FIND("REAJUSTE",UPPER(P12)),0)&gt;0,22,
TRUE,50)</f>
        <v>22</v>
      </c>
      <c r="E12" s="20" t="s">
        <v>180</v>
      </c>
      <c r="F12" s="20" t="s">
        <v>201</v>
      </c>
      <c r="G12" s="20" t="s">
        <v>171</v>
      </c>
      <c r="I12" s="7"/>
      <c r="J12" s="7">
        <f t="shared" ca="1" si="3"/>
        <v>10</v>
      </c>
      <c r="K12" s="7" t="str">
        <f t="shared" si="10"/>
        <v>010000-0-00809</v>
      </c>
      <c r="L12" s="7" t="str">
        <f t="shared" si="11"/>
        <v>01/01/2017</v>
      </c>
      <c r="M12" s="7" t="str">
        <f t="shared" si="12"/>
        <v>1</v>
      </c>
      <c r="N12" s="7" t="str" cm="1">
        <f t="array" ref="N12">_xlfn.IFS(E12=0,"zerado",TRIM(E12)="","zerado",TRIM(E12)="0","zerado",TRUE,SUBSTITUTE(E12,",","."))</f>
        <v>5552.54</v>
      </c>
      <c r="O12" s="7" t="str">
        <f t="shared" si="13"/>
        <v>MENSAL</v>
      </c>
      <c r="P12" s="7" t="str">
        <f t="shared" si="14"/>
        <v>Reajuste salarial</v>
      </c>
      <c r="Q12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( 10, 5862, ( SELECT /*MAX(*/ NRVINCULOM /*)*/ FROM GPE_VINCULOM WHERE NRORG = 5862 AND CDMATRICULA = '010000-0-00809' ), '01/01/2017', 1, '22', 5552.54, 'MENSAL', NVL( 'Reajuste salarial', 'Alteracao salarial importada via migracao ' || SYSDATE ), 1, SYSDATE, 5862, '000000099991' ); COMMIT;</v>
      </c>
      <c r="R12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( 10, 5862, ( SELECT /*MAX(*/ NRVINCULOM /*)*/ FROM GPE_VINCULOM WHERE NRORG = 5862 AND CDMATRICULA = '010000-0-00809' ), '01/01/2017', 1, '22', 5552.54, 'MENSAL', NVL( 'Reajuste salarial', 'Alteracao salarial importada via migracao ' || SYSDATE ), 1, SYSDATE, 5862, '000000099991' ); COMMIT;</v>
      </c>
      <c r="T12" s="25" t="str">
        <f ca="1"/>
        <v>010000-0-00809-010120171</v>
      </c>
      <c r="U12" s="22" t="str">
        <f ca="1"/>
        <v>insere</v>
      </c>
      <c r="W12" s="27" t="str">
        <f ca="1"/>
        <v>existe</v>
      </c>
    </row>
    <row r="13" spans="1:35" x14ac:dyDescent="0.25">
      <c r="A13" s="20" t="s">
        <v>57</v>
      </c>
      <c r="B13" s="20" t="s">
        <v>181</v>
      </c>
      <c r="C13" s="20" t="s">
        <v>48</v>
      </c>
      <c r="D13" cm="1">
        <f t="array" ref="D13">_xlfn.IFS(IFERROR(FIND("ADMISS",UPPER(P13)),0)&gt;0,1,
IFERROR(FIND("PROMO",UPPER(P13)),0)&gt;0,3,
IFERROR(FIND("SINDI",UPPER(P13)),0)&gt;0,7,
IFERROR(FIND("REAJUSTE",UPPER(P13)),0)&gt;0,22,
TRUE,50)</f>
        <v>22</v>
      </c>
      <c r="E13" s="20" t="s">
        <v>182</v>
      </c>
      <c r="F13" s="20" t="s">
        <v>201</v>
      </c>
      <c r="G13" s="20" t="s">
        <v>171</v>
      </c>
      <c r="I13" s="7"/>
      <c r="J13" s="7">
        <f t="shared" ca="1" si="3"/>
        <v>11</v>
      </c>
      <c r="K13" s="7" t="str">
        <f t="shared" si="10"/>
        <v>010000-0-00809</v>
      </c>
      <c r="L13" s="7" t="str">
        <f t="shared" si="11"/>
        <v>01/05/2017</v>
      </c>
      <c r="M13" s="7" t="str">
        <f t="shared" si="12"/>
        <v>1</v>
      </c>
      <c r="N13" s="7" t="str" cm="1">
        <f t="array" ref="N13">_xlfn.IFS(E13=0,"zerado",TRIM(E13)="","zerado",TRIM(E13)="0","zerado",TRUE,SUBSTITUTE(E13,",","."))</f>
        <v>5560.77</v>
      </c>
      <c r="O13" s="7" t="str">
        <f t="shared" si="13"/>
        <v>MENSAL</v>
      </c>
      <c r="P13" s="7" t="str">
        <f t="shared" si="14"/>
        <v>Reajuste salarial</v>
      </c>
      <c r="Q13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( 11, 5862, ( SELECT /*MAX(*/ NRVINCULOM /*)*/ FROM GPE_VINCULOM WHERE NRORG = 5862 AND CDMATRICULA = '010000-0-00809' ), '01/05/2017', 1, '22', 5560.77, 'MENSAL', NVL( 'Reajuste salarial', 'Alteracao salarial importada via migracao ' || SYSDATE ), 1, SYSDATE, 5862, '000000099991' ); COMMIT;</v>
      </c>
      <c r="R13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( 11, 5862, ( SELECT /*MAX(*/ NRVINCULOM /*)*/ FROM GPE_VINCULOM WHERE NRORG = 5862 AND CDMATRICULA = '010000-0-00809' ), '01/05/2017', 1, '22', 5560.77, 'MENSAL', NVL( 'Reajuste salarial', 'Alteracao salarial importada via migracao ' || SYSDATE ), 1, SYSDATE, 5862, '000000099991' ); COMMIT;</v>
      </c>
      <c r="T13" s="25" t="str">
        <f ca="1"/>
        <v>010000-0-00809-010520171</v>
      </c>
      <c r="U13" s="22" t="str">
        <f ca="1"/>
        <v>insere</v>
      </c>
      <c r="W13" s="27" t="str">
        <f ca="1"/>
        <v>existe</v>
      </c>
    </row>
    <row r="14" spans="1:35" x14ac:dyDescent="0.25">
      <c r="A14" s="20" t="s">
        <v>61</v>
      </c>
      <c r="B14" s="20" t="s">
        <v>183</v>
      </c>
      <c r="C14" s="20" t="s">
        <v>48</v>
      </c>
      <c r="D14" cm="1">
        <f t="array" ref="D14">_xlfn.IFS(IFERROR(FIND("ADMISS",UPPER(P14)),0)&gt;0,1,
IFERROR(FIND("PROMO",UPPER(P14)),0)&gt;0,3,
IFERROR(FIND("SINDI",UPPER(P14)),0)&gt;0,7,
IFERROR(FIND("REAJUSTE",UPPER(P14)),0)&gt;0,22,
TRUE,50)</f>
        <v>1</v>
      </c>
      <c r="E14" s="20" t="s">
        <v>184</v>
      </c>
      <c r="F14" s="20" t="s">
        <v>201</v>
      </c>
      <c r="G14" s="20" t="s">
        <v>168</v>
      </c>
      <c r="I14" s="7"/>
      <c r="J14" s="7">
        <f t="shared" ca="1" si="3"/>
        <v>12</v>
      </c>
      <c r="K14" s="7" t="str">
        <f t="shared" si="10"/>
        <v>010000-0-00829</v>
      </c>
      <c r="L14" s="7" t="str">
        <f t="shared" si="11"/>
        <v>20/05/2013</v>
      </c>
      <c r="M14" s="7" t="str">
        <f t="shared" si="12"/>
        <v>1</v>
      </c>
      <c r="N14" s="7" t="str" cm="1">
        <f t="array" ref="N14">_xlfn.IFS(E14=0,"zerado",TRIM(E14)="","zerado",TRIM(E14)="0","zerado",TRUE,SUBSTITUTE(E14,",","."))</f>
        <v>928.03</v>
      </c>
      <c r="O14" s="7" t="str">
        <f t="shared" si="13"/>
        <v>MENSAL</v>
      </c>
      <c r="P14" s="7" t="str">
        <f t="shared" si="14"/>
        <v>SALARIO DE ADMISSAO</v>
      </c>
      <c r="Q14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( 12, 5862, ( SELECT /*MAX(*/ NRVINCULOM /*)*/ FROM GPE_VINCULOM WHERE NRORG = 5862 AND CDMATRICULA = '010000-0-00829' ), '20/05/2013', 1, '1', 928.03, 'MENSAL', NVL( 'SALARIO DE ADMISSAO', 'Alteracao salarial importada via migracao ' || SYSDATE ), 1, SYSDATE, 5862, '000000099991' ); COMMIT;</v>
      </c>
      <c r="R14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( 12, 5862, ( SELECT /*MAX(*/ NRVINCULOM /*)*/ FROM GPE_VINCULOM WHERE NRORG = 5862 AND CDMATRICULA = '010000-0-00829' ), '20/05/2013', 1, '1', 928.03, 'MENSAL', NVL( 'SALARIO DE ADMISSAO', 'Alteracao salarial importada via migracao ' || SYSDATE ), 1, SYSDATE, 5862, '000000099991' ); COMMIT;</v>
      </c>
      <c r="T14" s="25" t="str">
        <f ca="1"/>
        <v>010000-0-00829-200520131</v>
      </c>
      <c r="U14" s="22" t="str">
        <f ca="1"/>
        <v>insere</v>
      </c>
      <c r="W14" s="27" t="str">
        <f ca="1"/>
        <v>existe</v>
      </c>
    </row>
    <row r="15" spans="1:35" x14ac:dyDescent="0.25">
      <c r="A15" s="20" t="s">
        <v>61</v>
      </c>
      <c r="B15" s="20" t="s">
        <v>185</v>
      </c>
      <c r="C15" s="20" t="s">
        <v>48</v>
      </c>
      <c r="D15" cm="1">
        <f t="array" ref="D15">_xlfn.IFS(IFERROR(FIND("ADMISS",UPPER(P15)),0)&gt;0,1,
IFERROR(FIND("PROMO",UPPER(P15)),0)&gt;0,3,
IFERROR(FIND("SINDI",UPPER(P15)),0)&gt;0,7,
IFERROR(FIND("REAJUSTE",UPPER(P15)),0)&gt;0,22,
TRUE,50)</f>
        <v>22</v>
      </c>
      <c r="E15" s="20" t="s">
        <v>186</v>
      </c>
      <c r="F15" s="20" t="s">
        <v>201</v>
      </c>
      <c r="G15" s="20" t="s">
        <v>171</v>
      </c>
      <c r="I15" s="7"/>
      <c r="J15" s="7">
        <f t="shared" ca="1" si="3"/>
        <v>13</v>
      </c>
      <c r="K15" s="7" t="str">
        <f t="shared" si="10"/>
        <v>010000-0-00829</v>
      </c>
      <c r="L15" s="7" t="str">
        <f t="shared" si="11"/>
        <v>01/01/2014</v>
      </c>
      <c r="M15" s="7" t="str">
        <f t="shared" si="12"/>
        <v>1</v>
      </c>
      <c r="N15" s="7" t="str" cm="1">
        <f t="array" ref="N15">_xlfn.IFS(E15=0,"zerado",TRIM(E15)="","zerado",TRIM(E15)="0","zerado",TRUE,SUBSTITUTE(E15,",","."))</f>
        <v>1233.67</v>
      </c>
      <c r="O15" s="7" t="str">
        <f t="shared" si="13"/>
        <v>MENSAL</v>
      </c>
      <c r="P15" s="7" t="str">
        <f t="shared" si="14"/>
        <v>Reajuste salarial</v>
      </c>
      <c r="Q15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( 13, 5862, ( SELECT /*MAX(*/ NRVINCULOM /*)*/ FROM GPE_VINCULOM WHERE NRORG = 5862 AND CDMATRICULA = '010000-0-00829' ), '01/01/2014', 1, '22', 1233.67, 'MENSAL', NVL( 'Reajuste salarial', 'Alteracao salarial importada via migracao ' || SYSDATE ), 1, SYSDATE, 5862, '000000099991' ); COMMIT;</v>
      </c>
      <c r="R15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( 13, 5862, ( SELECT /*MAX(*/ NRVINCULOM /*)*/ FROM GPE_VINCULOM WHERE NRORG = 5862 AND CDMATRICULA = '010000-0-00829' ), '01/01/2014', 1, '22', 1233.67, 'MENSAL', NVL( 'Reajuste salarial', 'Alteracao salarial importada via migracao ' || SYSDATE ), 1, SYSDATE, 5862, '000000099991' ); COMMIT;</v>
      </c>
      <c r="T15" s="25" t="str">
        <f ca="1"/>
        <v>010000-0-00829-010120141</v>
      </c>
      <c r="U15" s="22" t="str">
        <f ca="1"/>
        <v>insere</v>
      </c>
      <c r="W15" s="27" t="str">
        <f ca="1"/>
        <v>existe</v>
      </c>
    </row>
    <row r="16" spans="1:35" x14ac:dyDescent="0.25">
      <c r="A16" s="20" t="s">
        <v>65</v>
      </c>
      <c r="B16" s="20" t="s">
        <v>187</v>
      </c>
      <c r="C16" s="20" t="s">
        <v>48</v>
      </c>
      <c r="D16" cm="1">
        <f t="array" ref="D16">_xlfn.IFS(IFERROR(FIND("ADMISS",UPPER(P16)),0)&gt;0,1,
IFERROR(FIND("PROMO",UPPER(P16)),0)&gt;0,3,
IFERROR(FIND("SINDI",UPPER(P16)),0)&gt;0,7,
IFERROR(FIND("REAJUSTE",UPPER(P16)),0)&gt;0,22,
TRUE,50)</f>
        <v>1</v>
      </c>
      <c r="E16" s="20" t="s">
        <v>164</v>
      </c>
      <c r="F16" s="20" t="s">
        <v>201</v>
      </c>
      <c r="G16" s="20" t="s">
        <v>168</v>
      </c>
      <c r="I16" s="7"/>
      <c r="J16" s="7">
        <f t="shared" ca="1" si="3"/>
        <v>14</v>
      </c>
      <c r="K16" s="7" t="str">
        <f t="shared" si="10"/>
        <v>010000-2-E1030</v>
      </c>
      <c r="L16" s="7" t="str">
        <f t="shared" si="11"/>
        <v>26/05/2025</v>
      </c>
      <c r="M16" s="7" t="str">
        <f t="shared" si="12"/>
        <v>1</v>
      </c>
      <c r="N16" s="7" t="str" cm="1">
        <f t="array" ref="N16">_xlfn.IFS(E16=0,"zerado",TRIM(E16)="","zerado",TRIM(E16)="0","zerado",TRUE,SUBSTITUTE(E16,",","."))</f>
        <v>500</v>
      </c>
      <c r="O16" s="7" t="str">
        <f t="shared" si="13"/>
        <v>MENSAL</v>
      </c>
      <c r="P16" s="7" t="str">
        <f t="shared" si="14"/>
        <v>SALARIO DE ADMISSAO</v>
      </c>
      <c r="Q16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( 14, 5862, ( SELECT /*MAX(*/ NRVINCULOM /*)*/ FROM GPE_VINCULOM WHERE NRORG = 5862 AND CDMATRICULA = '010000-2-E1030' ), '26/05/2025', 1, '1', 500, 'MENSAL', NVL( 'SALARIO DE ADMISSAO', 'Alteracao salarial importada via migracao ' || SYSDATE ), 1, SYSDATE, 5862, '000000099991' ); COMMIT;</v>
      </c>
      <c r="R16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( 14, 5862, ( SELECT /*MAX(*/ NRVINCULOM /*)*/ FROM GPE_VINCULOM WHERE NRORG = 5862 AND CDMATRICULA = '010000-2-E1030' ), '26/05/2025', 1, '1', 500, 'MENSAL', NVL( 'SALARIO DE ADMISSAO', 'Alteracao salarial importada via migracao ' || SYSDATE ), 1, SYSDATE, 5862, '000000099991' ); COMMIT;</v>
      </c>
      <c r="T16" s="25" t="str">
        <f ca="1"/>
        <v>010000-2-E1030-260520251</v>
      </c>
      <c r="U16" s="22" t="str">
        <f ca="1"/>
        <v>insere</v>
      </c>
      <c r="W16" s="27" t="str">
        <f ca="1"/>
        <v>existe</v>
      </c>
    </row>
    <row r="17" spans="1:23" x14ac:dyDescent="0.25">
      <c r="A17" s="20" t="s">
        <v>69</v>
      </c>
      <c r="B17" s="20" t="s">
        <v>188</v>
      </c>
      <c r="C17" s="20" t="s">
        <v>48</v>
      </c>
      <c r="D17" cm="1">
        <f t="array" ref="D17">_xlfn.IFS(IFERROR(FIND("ADMISS",UPPER(P17)),0)&gt;0,1,
IFERROR(FIND("PROMO",UPPER(P17)),0)&gt;0,3,
IFERROR(FIND("SINDI",UPPER(P17)),0)&gt;0,7,
IFERROR(FIND("REAJUSTE",UPPER(P17)),0)&gt;0,22,
TRUE,50)</f>
        <v>1</v>
      </c>
      <c r="E17" s="20" t="s">
        <v>186</v>
      </c>
      <c r="F17" s="20" t="s">
        <v>201</v>
      </c>
      <c r="G17" s="20" t="s">
        <v>168</v>
      </c>
      <c r="I17" s="7"/>
      <c r="J17" s="7">
        <f t="shared" ca="1" si="3"/>
        <v>15</v>
      </c>
      <c r="K17" s="7" t="str">
        <f t="shared" si="10"/>
        <v>020000-0-00921</v>
      </c>
      <c r="L17" s="7" t="str">
        <f t="shared" si="11"/>
        <v>03/02/2014</v>
      </c>
      <c r="M17" s="7" t="str">
        <f t="shared" si="12"/>
        <v>1</v>
      </c>
      <c r="N17" s="7" t="str" cm="1">
        <f t="array" ref="N17">_xlfn.IFS(E17=0,"zerado",TRIM(E17)="","zerado",TRIM(E17)="0","zerado",TRUE,SUBSTITUTE(E17,",","."))</f>
        <v>1233.67</v>
      </c>
      <c r="O17" s="7" t="str">
        <f t="shared" si="13"/>
        <v>MENSAL</v>
      </c>
      <c r="P17" s="7" t="str">
        <f t="shared" si="14"/>
        <v>SALARIO DE ADMISSAO</v>
      </c>
      <c r="Q17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( 15, 5862, ( SELECT /*MAX(*/ NRVINCULOM /*)*/ FROM GPE_VINCULOM WHERE NRORG = 5862 AND CDMATRICULA = '020000-0-00921' ), '03/02/2014', 1, '1', 1233.67, 'MENSAL', NVL( 'SALARIO DE ADMISSAO', 'Alteracao salarial importada via migracao ' || SYSDATE ), 1, SYSDATE, 5862, '000000099991' ); COMMIT;</v>
      </c>
      <c r="R17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( 15, 5862, ( SELECT /*MAX(*/ NRVINCULOM /*)*/ FROM GPE_VINCULOM WHERE NRORG = 5862 AND CDMATRICULA = '020000-0-00921' ), '03/02/2014', 1, '1', 1233.67, 'MENSAL', NVL( 'SALARIO DE ADMISSAO', 'Alteracao salarial importada via migracao ' || SYSDATE ), 1, SYSDATE, 5862, '000000099991' ); COMMIT;</v>
      </c>
      <c r="T17" s="25" t="str">
        <f ca="1"/>
        <v>020000-0-00921-030220141</v>
      </c>
      <c r="U17" s="22" t="str">
        <f ca="1"/>
        <v>insere</v>
      </c>
      <c r="W17" s="27" t="str">
        <f ca="1"/>
        <v>existe</v>
      </c>
    </row>
    <row r="18" spans="1:23" x14ac:dyDescent="0.25">
      <c r="A18" s="20" t="s">
        <v>69</v>
      </c>
      <c r="B18" s="20" t="s">
        <v>174</v>
      </c>
      <c r="C18" s="20" t="s">
        <v>48</v>
      </c>
      <c r="D18" cm="1">
        <f t="array" ref="D18">_xlfn.IFS(IFERROR(FIND("ADMISS",UPPER(P18)),0)&gt;0,1,
IFERROR(FIND("PROMO",UPPER(P18)),0)&gt;0,3,
IFERROR(FIND("SINDI",UPPER(P18)),0)&gt;0,7,
IFERROR(FIND("REAJUSTE",UPPER(P18)),0)&gt;0,22,
TRUE,50)</f>
        <v>22</v>
      </c>
      <c r="E18" s="20" t="s">
        <v>189</v>
      </c>
      <c r="F18" s="20" t="s">
        <v>201</v>
      </c>
      <c r="G18" s="20" t="s">
        <v>171</v>
      </c>
      <c r="I18" s="7"/>
      <c r="J18" s="7">
        <f t="shared" ca="1" si="3"/>
        <v>16</v>
      </c>
      <c r="K18" s="7" t="str">
        <f t="shared" si="10"/>
        <v>020000-0-00921</v>
      </c>
      <c r="L18" s="7" t="str">
        <f t="shared" si="11"/>
        <v>01/01/2015</v>
      </c>
      <c r="M18" s="7" t="str">
        <f t="shared" si="12"/>
        <v>1</v>
      </c>
      <c r="N18" s="7" t="str" cm="1">
        <f t="array" ref="N18">_xlfn.IFS(E18=0,"zerado",TRIM(E18)="","zerado",TRIM(E18)="0","zerado",TRUE,SUBSTITUTE(E18,",","."))</f>
        <v>1311.88</v>
      </c>
      <c r="O18" s="7" t="str">
        <f t="shared" si="13"/>
        <v>MENSAL</v>
      </c>
      <c r="P18" s="7" t="str">
        <f t="shared" si="14"/>
        <v>Reajuste salarial</v>
      </c>
      <c r="Q18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( 16, 5862, ( SELECT /*MAX(*/ NRVINCULOM /*)*/ FROM GPE_VINCULOM WHERE NRORG = 5862 AND CDMATRICULA = '020000-0-00921' ), '01/01/2015', 1, '22', 1311.88, 'MENSAL', NVL( 'Reajuste salarial', 'Alteracao salarial importada via migracao ' || SYSDATE ), 1, SYSDATE, 5862, '000000099991' ); COMMIT;</v>
      </c>
      <c r="R18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( 16, 5862, ( SELECT /*MAX(*/ NRVINCULOM /*)*/ FROM GPE_VINCULOM WHERE NRORG = 5862 AND CDMATRICULA = '020000-0-00921' ), '01/01/2015', 1, '22', 1311.88, 'MENSAL', NVL( 'Reajuste salarial', 'Alteracao salarial importada via migracao ' || SYSDATE ), 1, SYSDATE, 5862, '000000099991' ); COMMIT;</v>
      </c>
      <c r="T18" s="25" t="str">
        <f ca="1"/>
        <v>020000-0-00921-010120151</v>
      </c>
      <c r="U18" s="22" t="str">
        <f ca="1"/>
        <v>insere</v>
      </c>
      <c r="W18" s="27" t="str">
        <f ca="1"/>
        <v>existe</v>
      </c>
    </row>
    <row r="19" spans="1:23" x14ac:dyDescent="0.25">
      <c r="A19" s="20" t="s">
        <v>69</v>
      </c>
      <c r="B19" s="20" t="s">
        <v>176</v>
      </c>
      <c r="C19" s="20" t="s">
        <v>48</v>
      </c>
      <c r="D19" cm="1">
        <f t="array" ref="D19">_xlfn.IFS(IFERROR(FIND("ADMISS",UPPER(P19)),0)&gt;0,1,
IFERROR(FIND("PROMO",UPPER(P19)),0)&gt;0,3,
IFERROR(FIND("SINDI",UPPER(P19)),0)&gt;0,7,
IFERROR(FIND("REAJUSTE",UPPER(P19)),0)&gt;0,22,
TRUE,50)</f>
        <v>22</v>
      </c>
      <c r="E19" s="20" t="s">
        <v>190</v>
      </c>
      <c r="F19" s="20" t="s">
        <v>201</v>
      </c>
      <c r="G19" s="20" t="s">
        <v>171</v>
      </c>
      <c r="I19" s="7"/>
      <c r="J19" s="7">
        <f t="shared" ca="1" si="3"/>
        <v>17</v>
      </c>
      <c r="K19" s="7" t="str">
        <f t="shared" si="10"/>
        <v>020000-0-00921</v>
      </c>
      <c r="L19" s="7" t="str">
        <f t="shared" si="11"/>
        <v>01/09/2015</v>
      </c>
      <c r="M19" s="7" t="str">
        <f t="shared" si="12"/>
        <v>1</v>
      </c>
      <c r="N19" s="7" t="str" cm="1">
        <f t="array" ref="N19">_xlfn.IFS(E19=0,"zerado",TRIM(E19)="","zerado",TRIM(E19)="0","zerado",TRUE,SUBSTITUTE(E19,",","."))</f>
        <v>1441.49</v>
      </c>
      <c r="O19" s="7" t="str">
        <f t="shared" si="13"/>
        <v>MENSAL</v>
      </c>
      <c r="P19" s="7" t="str">
        <f t="shared" si="14"/>
        <v>Reajuste salarial</v>
      </c>
      <c r="Q19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( 17, 5862, ( SELECT /*MAX(*/ NRVINCULOM /*)*/ FROM GPE_VINCULOM WHERE NRORG = 5862 AND CDMATRICULA = '020000-0-00921' ), '01/09/2015', 1, '22', 1441.49, 'MENSAL', NVL( 'Reajuste salarial', 'Alteracao salarial importada via migracao ' || SYSDATE ), 1, SYSDATE, 5862, '000000099991' ); COMMIT;</v>
      </c>
      <c r="R19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( 17, 5862, ( SELECT /*MAX(*/ NRVINCULOM /*)*/ FROM GPE_VINCULOM WHERE NRORG = 5862 AND CDMATRICULA = '020000-0-00921' ), '01/09/2015', 1, '22', 1441.49, 'MENSAL', NVL( 'Reajuste salarial', 'Alteracao salarial importada via migracao ' || SYSDATE ), 1, SYSDATE, 5862, '000000099991' ); COMMIT;</v>
      </c>
      <c r="T19" s="25" t="str">
        <f ca="1"/>
        <v>020000-0-00921-010920151</v>
      </c>
      <c r="U19" s="22" t="str">
        <f ca="1"/>
        <v>insere</v>
      </c>
      <c r="W19" s="27" t="str">
        <f ca="1"/>
        <v>existe</v>
      </c>
    </row>
    <row r="20" spans="1:23" x14ac:dyDescent="0.25">
      <c r="A20" s="20" t="s">
        <v>73</v>
      </c>
      <c r="B20" s="20" t="s">
        <v>191</v>
      </c>
      <c r="C20" s="20" t="s">
        <v>48</v>
      </c>
      <c r="D20" cm="1">
        <f t="array" ref="D20">_xlfn.IFS(IFERROR(FIND("ADMISS",UPPER(P20)),0)&gt;0,1,
IFERROR(FIND("PROMO",UPPER(P20)),0)&gt;0,3,
IFERROR(FIND("SINDI",UPPER(P20)),0)&gt;0,7,
IFERROR(FIND("REAJUSTE",UPPER(P20)),0)&gt;0,22,
TRUE,50)</f>
        <v>1</v>
      </c>
      <c r="E20" s="20" t="s">
        <v>190</v>
      </c>
      <c r="F20" s="20" t="s">
        <v>201</v>
      </c>
      <c r="G20" s="20" t="s">
        <v>168</v>
      </c>
      <c r="I20" s="7"/>
      <c r="J20" s="7">
        <f t="shared" ca="1" si="3"/>
        <v>18</v>
      </c>
      <c r="K20" s="7" t="str">
        <f t="shared" si="10"/>
        <v>020000-0-01124</v>
      </c>
      <c r="L20" s="7" t="str">
        <f t="shared" si="11"/>
        <v>23/11/2015</v>
      </c>
      <c r="M20" s="7" t="str">
        <f t="shared" si="12"/>
        <v>1</v>
      </c>
      <c r="N20" s="7" t="str" cm="1">
        <f t="array" ref="N20">_xlfn.IFS(E20=0,"zerado",TRIM(E20)="","zerado",TRIM(E20)="0","zerado",TRUE,SUBSTITUTE(E20,",","."))</f>
        <v>1441.49</v>
      </c>
      <c r="O20" s="7" t="str">
        <f t="shared" si="13"/>
        <v>MENSAL</v>
      </c>
      <c r="P20" s="7" t="str">
        <f t="shared" si="14"/>
        <v>SALARIO DE ADMISSAO</v>
      </c>
      <c r="Q20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( 18, 5862, ( SELECT /*MAX(*/ NRVINCULOM /*)*/ FROM GPE_VINCULOM WHERE NRORG = 5862 AND CDMATRICULA = '020000-0-01124' ), '23/11/2015', 1, '1', 1441.49, 'MENSAL', NVL( 'SALARIO DE ADMISSAO', 'Alteracao salarial importada via migracao ' || SYSDATE ), 1, SYSDATE, 5862, '000000099991' ); COMMIT;</v>
      </c>
      <c r="R20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( 18, 5862, ( SELECT /*MAX(*/ NRVINCULOM /*)*/ FROM GPE_VINCULOM WHERE NRORG = 5862 AND CDMATRICULA = '020000-0-01124' ), '23/11/2015', 1, '1', 1441.49, 'MENSAL', NVL( 'SALARIO DE ADMISSAO', 'Alteracao salarial importada via migracao ' || SYSDATE ), 1, SYSDATE, 5862, '000000099991' ); COMMIT;</v>
      </c>
      <c r="T20" s="25" t="str">
        <f ca="1"/>
        <v>020000-0-01124-231120151</v>
      </c>
      <c r="U20" s="22" t="str">
        <f ca="1"/>
        <v>insere</v>
      </c>
      <c r="W20" s="27" t="str">
        <f ca="1"/>
        <v>existe</v>
      </c>
    </row>
    <row r="21" spans="1:23" x14ac:dyDescent="0.25">
      <c r="A21" s="20" t="s">
        <v>77</v>
      </c>
      <c r="B21" s="20" t="s">
        <v>192</v>
      </c>
      <c r="C21" s="20" t="s">
        <v>48</v>
      </c>
      <c r="D21" cm="1">
        <f t="array" ref="D21">_xlfn.IFS(IFERROR(FIND("ADMISS",UPPER(P21)),0)&gt;0,1,
IFERROR(FIND("PROMO",UPPER(P21)),0)&gt;0,3,
IFERROR(FIND("SINDI",UPPER(P21)),0)&gt;0,7,
IFERROR(FIND("REAJUSTE",UPPER(P21)),0)&gt;0,22,
TRUE,50)</f>
        <v>1</v>
      </c>
      <c r="E21" s="20" t="s">
        <v>165</v>
      </c>
      <c r="F21" s="20" t="s">
        <v>201</v>
      </c>
      <c r="G21" s="20" t="s">
        <v>168</v>
      </c>
      <c r="I21" s="7"/>
      <c r="J21" s="7">
        <f t="shared" ca="1" si="3"/>
        <v>19</v>
      </c>
      <c r="K21" s="7" t="str">
        <f t="shared" si="10"/>
        <v>020000-2-00025</v>
      </c>
      <c r="L21" s="7" t="str">
        <f t="shared" si="11"/>
        <v>01/06/2014</v>
      </c>
      <c r="M21" s="7" t="str">
        <f t="shared" si="12"/>
        <v>1</v>
      </c>
      <c r="N21" s="7" t="str" cm="1">
        <f t="array" ref="N21">_xlfn.IFS(E21=0,"zerado",TRIM(E21)="","zerado",TRIM(E21)="0","zerado",TRUE,SUBSTITUTE(E21,",","."))</f>
        <v>200</v>
      </c>
      <c r="O21" s="7" t="str">
        <f t="shared" si="13"/>
        <v>MENSAL</v>
      </c>
      <c r="P21" s="7" t="str">
        <f t="shared" si="14"/>
        <v>SALARIO DE ADMISSAO</v>
      </c>
      <c r="Q21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( 19, 5862, ( SELECT /*MAX(*/ NRVINCULOM /*)*/ FROM GPE_VINCULOM WHERE NRORG = 5862 AND CDMATRICULA = '020000-2-00025' ), '01/06/2014', 1, '1', 200, 'MENSAL', NVL( 'SALARIO DE ADMISSAO', 'Alteracao salarial importada via migracao ' || SYSDATE ), 1, SYSDATE, 5862, '000000099991' ); COMMIT;</v>
      </c>
      <c r="R21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( 19, 5862, ( SELECT /*MAX(*/ NRVINCULOM /*)*/ FROM GPE_VINCULOM WHERE NRORG = 5862 AND CDMATRICULA = '020000-2-00025' ), '01/06/2014', 1, '1', 200, 'MENSAL', NVL( 'SALARIO DE ADMISSAO', 'Alteracao salarial importada via migracao ' || SYSDATE ), 1, SYSDATE, 5862, '000000099991' ); COMMIT;</v>
      </c>
      <c r="T21" s="25" t="str">
        <f ca="1"/>
        <v>020000-2-00025-010620141</v>
      </c>
      <c r="U21" s="22" t="str">
        <f ca="1"/>
        <v>insere</v>
      </c>
      <c r="W21" s="27" t="str">
        <f ca="1"/>
        <v>existe</v>
      </c>
    </row>
    <row r="22" spans="1:23" x14ac:dyDescent="0.25">
      <c r="A22" s="20" t="s">
        <v>81</v>
      </c>
      <c r="B22" s="20" t="s">
        <v>192</v>
      </c>
      <c r="C22" s="20" t="s">
        <v>48</v>
      </c>
      <c r="D22" cm="1">
        <f t="array" ref="D22">_xlfn.IFS(IFERROR(FIND("ADMISS",UPPER(P22)),0)&gt;0,1,
IFERROR(FIND("PROMO",UPPER(P22)),0)&gt;0,3,
IFERROR(FIND("SINDI",UPPER(P22)),0)&gt;0,7,
IFERROR(FIND("REAJUSTE",UPPER(P22)),0)&gt;0,22,
TRUE,50)</f>
        <v>1</v>
      </c>
      <c r="E22" s="20" t="s">
        <v>165</v>
      </c>
      <c r="F22" s="20" t="s">
        <v>201</v>
      </c>
      <c r="G22" s="20" t="s">
        <v>168</v>
      </c>
      <c r="I22" s="7"/>
      <c r="J22" s="7">
        <f t="shared" ca="1" si="3"/>
        <v>20</v>
      </c>
      <c r="K22" s="7" t="str">
        <f t="shared" si="10"/>
        <v>020000-2-00026</v>
      </c>
      <c r="L22" s="7" t="str">
        <f t="shared" si="11"/>
        <v>01/06/2014</v>
      </c>
      <c r="M22" s="7" t="str">
        <f t="shared" si="12"/>
        <v>1</v>
      </c>
      <c r="N22" s="7" t="str" cm="1">
        <f t="array" ref="N22">_xlfn.IFS(E22=0,"zerado",TRIM(E22)="","zerado",TRIM(E22)="0","zerado",TRUE,SUBSTITUTE(E22,",","."))</f>
        <v>200</v>
      </c>
      <c r="O22" s="7" t="str">
        <f t="shared" si="13"/>
        <v>MENSAL</v>
      </c>
      <c r="P22" s="7" t="str">
        <f t="shared" si="14"/>
        <v>SALARIO DE ADMISSAO</v>
      </c>
      <c r="Q22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( 20, 5862, ( SELECT /*MAX(*/ NRVINCULOM /*)*/ FROM GPE_VINCULOM WHERE NRORG = 5862 AND CDMATRICULA = '020000-2-00026' ), '01/06/2014', 1, '1', 200, 'MENSAL', NVL( 'SALARIO DE ADMISSAO', 'Alteracao salarial importada via migracao ' || SYSDATE ), 1, SYSDATE, 5862, '000000099991' ); COMMIT;</v>
      </c>
      <c r="R22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( 20, 5862, ( SELECT /*MAX(*/ NRVINCULOM /*)*/ FROM GPE_VINCULOM WHERE NRORG = 5862 AND CDMATRICULA = '020000-2-00026' ), '01/06/2014', 1, '1', 200, 'MENSAL', NVL( 'SALARIO DE ADMISSAO', 'Alteracao salarial importada via migracao ' || SYSDATE ), 1, SYSDATE, 5862, '000000099991' ); COMMIT;</v>
      </c>
      <c r="T22" s="25" t="str">
        <f ca="1"/>
        <v>020000-2-00026-010620141</v>
      </c>
      <c r="U22" s="22" t="str">
        <f ca="1"/>
        <v>insere</v>
      </c>
      <c r="W22" s="27" t="str">
        <f ca="1"/>
        <v>existe</v>
      </c>
    </row>
    <row r="23" spans="1:23" x14ac:dyDescent="0.25">
      <c r="A23" s="20" t="s">
        <v>84</v>
      </c>
      <c r="B23" s="20" t="s">
        <v>193</v>
      </c>
      <c r="C23" s="20" t="s">
        <v>48</v>
      </c>
      <c r="D23" cm="1">
        <f t="array" ref="D23">_xlfn.IFS(IFERROR(FIND("ADMISS",UPPER(P23)),0)&gt;0,1,
IFERROR(FIND("PROMO",UPPER(P23)),0)&gt;0,3,
IFERROR(FIND("SINDI",UPPER(P23)),0)&gt;0,7,
IFERROR(FIND("REAJUSTE",UPPER(P23)),0)&gt;0,22,
TRUE,50)</f>
        <v>1</v>
      </c>
      <c r="E23" s="20" t="s">
        <v>165</v>
      </c>
      <c r="F23" s="20" t="s">
        <v>201</v>
      </c>
      <c r="G23" s="20" t="s">
        <v>168</v>
      </c>
      <c r="I23" s="7"/>
      <c r="J23" s="7">
        <f t="shared" ca="1" si="3"/>
        <v>21</v>
      </c>
      <c r="K23" s="7" t="str">
        <f t="shared" si="10"/>
        <v>020000-2-00037</v>
      </c>
      <c r="L23" s="7" t="str">
        <f t="shared" si="11"/>
        <v>02/02/2015</v>
      </c>
      <c r="M23" s="7" t="str">
        <f t="shared" si="12"/>
        <v>1</v>
      </c>
      <c r="N23" s="7" t="str" cm="1">
        <f t="array" ref="N23">_xlfn.IFS(E23=0,"zerado",TRIM(E23)="","zerado",TRIM(E23)="0","zerado",TRUE,SUBSTITUTE(E23,",","."))</f>
        <v>200</v>
      </c>
      <c r="O23" s="7" t="str">
        <f t="shared" si="13"/>
        <v>MENSAL</v>
      </c>
      <c r="P23" s="7" t="str">
        <f t="shared" si="14"/>
        <v>SALARIO DE ADMISSAO</v>
      </c>
      <c r="Q23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( 21, 5862, ( SELECT /*MAX(*/ NRVINCULOM /*)*/ FROM GPE_VINCULOM WHERE NRORG = 5862 AND CDMATRICULA = '020000-2-00037' ), '02/02/2015', 1, '1', 200, 'MENSAL', NVL( 'SALARIO DE ADMISSAO', 'Alteracao salarial importada via migracao ' || SYSDATE ), 1, SYSDATE, 5862, '000000099991' ); COMMIT;</v>
      </c>
      <c r="R23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( 21, 5862, ( SELECT /*MAX(*/ NRVINCULOM /*)*/ FROM GPE_VINCULOM WHERE NRORG = 5862 AND CDMATRICULA = '020000-2-00037' ), '02/02/2015', 1, '1', 200, 'MENSAL', NVL( 'SALARIO DE ADMISSAO', 'Alteracao salarial importada via migracao ' || SYSDATE ), 1, SYSDATE, 5862, '000000099991' ); COMMIT;</v>
      </c>
      <c r="T23" s="25" t="str">
        <f ca="1"/>
        <v>020000-2-00037-020220151</v>
      </c>
      <c r="U23" s="22" t="str">
        <f ca="1"/>
        <v>insere</v>
      </c>
      <c r="W23" s="27" t="str">
        <f ca="1"/>
        <v>existe</v>
      </c>
    </row>
    <row r="24" spans="1:23" x14ac:dyDescent="0.25">
      <c r="A24" s="20" t="s">
        <v>88</v>
      </c>
      <c r="B24" s="20" t="s">
        <v>194</v>
      </c>
      <c r="C24" s="20" t="s">
        <v>48</v>
      </c>
      <c r="D24" cm="1">
        <f t="array" ref="D24">_xlfn.IFS(IFERROR(FIND("ADMISS",UPPER(P24)),0)&gt;0,1,
IFERROR(FIND("PROMO",UPPER(P24)),0)&gt;0,3,
IFERROR(FIND("SINDI",UPPER(P24)),0)&gt;0,7,
IFERROR(FIND("REAJUSTE",UPPER(P24)),0)&gt;0,22,
TRUE,50)</f>
        <v>1</v>
      </c>
      <c r="E24" s="20" t="s">
        <v>165</v>
      </c>
      <c r="F24" s="20" t="s">
        <v>201</v>
      </c>
      <c r="G24" s="20" t="s">
        <v>168</v>
      </c>
      <c r="I24" s="7"/>
      <c r="J24" s="7">
        <f t="shared" ca="1" si="3"/>
        <v>22</v>
      </c>
      <c r="K24" s="7" t="str">
        <f t="shared" si="10"/>
        <v>020000-2-00050</v>
      </c>
      <c r="L24" s="7" t="str">
        <f t="shared" si="11"/>
        <v>17/08/2015</v>
      </c>
      <c r="M24" s="7" t="str">
        <f t="shared" si="12"/>
        <v>1</v>
      </c>
      <c r="N24" s="7" t="str" cm="1">
        <f t="array" ref="N24">_xlfn.IFS(E24=0,"zerado",TRIM(E24)="","zerado",TRIM(E24)="0","zerado",TRUE,SUBSTITUTE(E24,",","."))</f>
        <v>200</v>
      </c>
      <c r="O24" s="7" t="str">
        <f t="shared" si="13"/>
        <v>MENSAL</v>
      </c>
      <c r="P24" s="7" t="str">
        <f t="shared" si="14"/>
        <v>SALARIO DE ADMISSAO</v>
      </c>
      <c r="Q24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( 22, 5862, ( SELECT /*MAX(*/ NRVINCULOM /*)*/ FROM GPE_VINCULOM WHERE NRORG = 5862 AND CDMATRICULA = '020000-2-00050' ), '17/08/2015', 1, '1', 200, 'MENSAL', NVL( 'SALARIO DE ADMISSAO', 'Alteracao salarial importada via migracao ' || SYSDATE ), 1, SYSDATE, 5862, '000000099991' ); COMMIT;</v>
      </c>
      <c r="R24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( 22, 5862, ( SELECT /*MAX(*/ NRVINCULOM /*)*/ FROM GPE_VINCULOM WHERE NRORG = 5862 AND CDMATRICULA = '020000-2-00050' ), '17/08/2015', 1, '1', 200, 'MENSAL', NVL( 'SALARIO DE ADMISSAO', 'Alteracao salarial importada via migracao ' || SYSDATE ), 1, SYSDATE, 5862, '000000099991' ); COMMIT;</v>
      </c>
      <c r="T24" s="25" t="str">
        <f ca="1"/>
        <v>020000-2-00050-170820151</v>
      </c>
      <c r="U24" s="22" t="str">
        <f ca="1"/>
        <v>insere</v>
      </c>
      <c r="W24" s="27" t="str">
        <f ca="1"/>
        <v>existe</v>
      </c>
    </row>
    <row r="25" spans="1:23" x14ac:dyDescent="0.25">
      <c r="A25" s="20" t="s">
        <v>92</v>
      </c>
      <c r="B25" s="20" t="s">
        <v>195</v>
      </c>
      <c r="C25" s="20" t="s">
        <v>48</v>
      </c>
      <c r="D25" cm="1">
        <f t="array" ref="D25">_xlfn.IFS(IFERROR(FIND("ADMISS",UPPER(P25)),0)&gt;0,1,
IFERROR(FIND("PROMO",UPPER(P25)),0)&gt;0,3,
IFERROR(FIND("SINDI",UPPER(P25)),0)&gt;0,7,
IFERROR(FIND("REAJUSTE",UPPER(P25)),0)&gt;0,22,
TRUE,50)</f>
        <v>1</v>
      </c>
      <c r="E25" s="20" t="s">
        <v>165</v>
      </c>
      <c r="F25" s="20" t="s">
        <v>201</v>
      </c>
      <c r="G25" s="20" t="s">
        <v>168</v>
      </c>
      <c r="I25" s="7"/>
      <c r="J25" s="7">
        <f t="shared" ca="1" si="3"/>
        <v>23</v>
      </c>
      <c r="K25" s="7" t="str">
        <f t="shared" si="10"/>
        <v>020000-2-00056</v>
      </c>
      <c r="L25" s="7" t="str">
        <f t="shared" si="11"/>
        <v>15/02/2016</v>
      </c>
      <c r="M25" s="7" t="str">
        <f t="shared" si="12"/>
        <v>1</v>
      </c>
      <c r="N25" s="7" t="str" cm="1">
        <f t="array" ref="N25">_xlfn.IFS(E25=0,"zerado",TRIM(E25)="","zerado",TRIM(E25)="0","zerado",TRUE,SUBSTITUTE(E25,",","."))</f>
        <v>200</v>
      </c>
      <c r="O25" s="7" t="str">
        <f t="shared" si="13"/>
        <v>MENSAL</v>
      </c>
      <c r="P25" s="7" t="str">
        <f t="shared" si="14"/>
        <v>SALARIO DE ADMISSAO</v>
      </c>
      <c r="Q25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( 23, 5862, ( SELECT /*MAX(*/ NRVINCULOM /*)*/ FROM GPE_VINCULOM WHERE NRORG = 5862 AND CDMATRICULA = '020000-2-00056' ), '15/02/2016', 1, '1', 200, 'MENSAL', NVL( 'SALARIO DE ADMISSAO', 'Alteracao salarial importada via migracao ' || SYSDATE ), 1, SYSDATE, 5862, '000000099991' ); COMMIT;</v>
      </c>
      <c r="R25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( 23, 5862, ( SELECT /*MAX(*/ NRVINCULOM /*)*/ FROM GPE_VINCULOM WHERE NRORG = 5862 AND CDMATRICULA = '020000-2-00056' ), '15/02/2016', 1, '1', 200, 'MENSAL', NVL( 'SALARIO DE ADMISSAO', 'Alteracao salarial importada via migracao ' || SYSDATE ), 1, SYSDATE, 5862, '000000099991' ); COMMIT;</v>
      </c>
      <c r="T25" s="25" t="str">
        <f ca="1"/>
        <v>020000-2-00056-150220161</v>
      </c>
      <c r="U25" s="22" t="str">
        <f ca="1"/>
        <v>insere</v>
      </c>
      <c r="W25" s="27" t="str">
        <f ca="1"/>
        <v>existe</v>
      </c>
    </row>
    <row r="26" spans="1:23" x14ac:dyDescent="0.25">
      <c r="A26" s="20" t="s">
        <v>96</v>
      </c>
      <c r="B26" s="20" t="s">
        <v>196</v>
      </c>
      <c r="C26" s="20" t="s">
        <v>48</v>
      </c>
      <c r="D26" cm="1">
        <f t="array" ref="D26">_xlfn.IFS(IFERROR(FIND("ADMISS",UPPER(P26)),0)&gt;0,1,
IFERROR(FIND("PROMO",UPPER(P26)),0)&gt;0,3,
IFERROR(FIND("SINDI",UPPER(P26)),0)&gt;0,7,
IFERROR(FIND("REAJUSTE",UPPER(P26)),0)&gt;0,22,
TRUE,50)</f>
        <v>1</v>
      </c>
      <c r="E26" s="20" t="s">
        <v>165</v>
      </c>
      <c r="F26" s="20" t="s">
        <v>201</v>
      </c>
      <c r="G26" s="20" t="s">
        <v>168</v>
      </c>
      <c r="I26" s="7"/>
      <c r="J26" s="7">
        <f t="shared" ca="1" si="3"/>
        <v>24</v>
      </c>
      <c r="K26" s="7" t="str">
        <f t="shared" si="10"/>
        <v>020000-2-00058</v>
      </c>
      <c r="L26" s="7" t="str">
        <f t="shared" si="11"/>
        <v>02/05/2016</v>
      </c>
      <c r="M26" s="7" t="str">
        <f t="shared" si="12"/>
        <v>1</v>
      </c>
      <c r="N26" s="7" t="str" cm="1">
        <f t="array" ref="N26">_xlfn.IFS(E26=0,"zerado",TRIM(E26)="","zerado",TRIM(E26)="0","zerado",TRUE,SUBSTITUTE(E26,",","."))</f>
        <v>200</v>
      </c>
      <c r="O26" s="7" t="str">
        <f t="shared" si="13"/>
        <v>MENSAL</v>
      </c>
      <c r="P26" s="7" t="str">
        <f t="shared" si="14"/>
        <v>SALARIO DE ADMISSAO</v>
      </c>
      <c r="Q26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( 24, 5862, ( SELECT /*MAX(*/ NRVINCULOM /*)*/ FROM GPE_VINCULOM WHERE NRORG = 5862 AND CDMATRICULA = '020000-2-00058' ), '02/05/2016', 1, '1', 200, 'MENSAL', NVL( 'SALARIO DE ADMISSAO', 'Alteracao salarial importada via migracao ' || SYSDATE ), 1, SYSDATE, 5862, '000000099991' ); COMMIT;</v>
      </c>
      <c r="R26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( 24, 5862, ( SELECT /*MAX(*/ NRVINCULOM /*)*/ FROM GPE_VINCULOM WHERE NRORG = 5862 AND CDMATRICULA = '020000-2-00058' ), '02/05/2016', 1, '1', 200, 'MENSAL', NVL( 'SALARIO DE ADMISSAO', 'Alteracao salarial importada via migracao ' || SYSDATE ), 1, SYSDATE, 5862, '000000099991' ); COMMIT;</v>
      </c>
      <c r="T26" s="25" t="str">
        <f ca="1"/>
        <v>020000-2-00058-020520161</v>
      </c>
      <c r="U26" s="22" t="str">
        <f ca="1"/>
        <v>insere</v>
      </c>
      <c r="W26" s="27" t="str">
        <f ca="1"/>
        <v>existe</v>
      </c>
    </row>
    <row r="27" spans="1:23" x14ac:dyDescent="0.25">
      <c r="A27" s="20" t="s">
        <v>100</v>
      </c>
      <c r="B27" s="20" t="s">
        <v>197</v>
      </c>
      <c r="C27" s="20" t="s">
        <v>48</v>
      </c>
      <c r="D27" cm="1">
        <f t="array" ref="D27">_xlfn.IFS(IFERROR(FIND("ADMISS",UPPER(P27)),0)&gt;0,1,
IFERROR(FIND("PROMO",UPPER(P27)),0)&gt;0,3,
IFERROR(FIND("SINDI",UPPER(P27)),0)&gt;0,7,
IFERROR(FIND("REAJUSTE",UPPER(P27)),0)&gt;0,22,
TRUE,50)</f>
        <v>1</v>
      </c>
      <c r="E27" s="20" t="s">
        <v>165</v>
      </c>
      <c r="F27" s="20" t="s">
        <v>201</v>
      </c>
      <c r="G27" s="20" t="s">
        <v>168</v>
      </c>
      <c r="I27" s="7"/>
      <c r="J27" s="7">
        <f t="shared" ca="1" si="3"/>
        <v>25</v>
      </c>
      <c r="K27" s="7" t="str">
        <f t="shared" si="10"/>
        <v>020000-2-00063</v>
      </c>
      <c r="L27" s="7" t="str">
        <f t="shared" si="11"/>
        <v>03/08/2016</v>
      </c>
      <c r="M27" s="7" t="str">
        <f t="shared" si="12"/>
        <v>1</v>
      </c>
      <c r="N27" s="7" t="str" cm="1">
        <f t="array" ref="N27">_xlfn.IFS(E27=0,"zerado",TRIM(E27)="","zerado",TRIM(E27)="0","zerado",TRUE,SUBSTITUTE(E27,",","."))</f>
        <v>200</v>
      </c>
      <c r="O27" s="7" t="str">
        <f t="shared" si="13"/>
        <v>MENSAL</v>
      </c>
      <c r="P27" s="7" t="str">
        <f t="shared" si="14"/>
        <v>SALARIO DE ADMISSAO</v>
      </c>
      <c r="Q27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( 25, 5862, ( SELECT /*MAX(*/ NRVINCULOM /*)*/ FROM GPE_VINCULOM WHERE NRORG = 5862 AND CDMATRICULA = '020000-2-00063' ), '03/08/2016', 1, '1', 200, 'MENSAL', NVL( 'SALARIO DE ADMISSAO', 'Alteracao salarial importada via migracao ' || SYSDATE ), 1, SYSDATE, 5862, '000000099991' ); COMMIT;</v>
      </c>
      <c r="R27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( 25, 5862, ( SELECT /*MAX(*/ NRVINCULOM /*)*/ FROM GPE_VINCULOM WHERE NRORG = 5862 AND CDMATRICULA = '020000-2-00063' ), '03/08/2016', 1, '1', 200, 'MENSAL', NVL( 'SALARIO DE ADMISSAO', 'Alteracao salarial importada via migracao ' || SYSDATE ), 1, SYSDATE, 5862, '000000099991' ); COMMIT;</v>
      </c>
      <c r="T27" s="25" t="str">
        <f ca="1"/>
        <v>020000-2-00063-030820161</v>
      </c>
      <c r="U27" s="22" t="str">
        <f ca="1"/>
        <v>insere</v>
      </c>
      <c r="W27" s="27" t="str">
        <f ca="1"/>
        <v>existe</v>
      </c>
    </row>
    <row r="28" spans="1:23" x14ac:dyDescent="0.25">
      <c r="A28" s="20" t="s">
        <v>104</v>
      </c>
      <c r="B28" s="20" t="s">
        <v>198</v>
      </c>
      <c r="C28" s="20" t="s">
        <v>48</v>
      </c>
      <c r="D28" cm="1">
        <f t="array" ref="D28">_xlfn.IFS(IFERROR(FIND("ADMISS",UPPER(P28)),0)&gt;0,1,
IFERROR(FIND("PROMO",UPPER(P28)),0)&gt;0,3,
IFERROR(FIND("SINDI",UPPER(P28)),0)&gt;0,7,
IFERROR(FIND("REAJUSTE",UPPER(P28)),0)&gt;0,22,
TRUE,50)</f>
        <v>1</v>
      </c>
      <c r="E28" s="20" t="s">
        <v>165</v>
      </c>
      <c r="F28" s="20" t="s">
        <v>201</v>
      </c>
      <c r="G28" s="20" t="s">
        <v>168</v>
      </c>
      <c r="I28" s="7"/>
      <c r="J28" s="7">
        <f t="shared" ca="1" si="3"/>
        <v>26</v>
      </c>
      <c r="K28" s="7" t="str">
        <f t="shared" si="10"/>
        <v>020000-2-00067</v>
      </c>
      <c r="L28" s="7" t="str">
        <f t="shared" si="11"/>
        <v>01/09/2016</v>
      </c>
      <c r="M28" s="7" t="str">
        <f t="shared" si="12"/>
        <v>1</v>
      </c>
      <c r="N28" s="7" t="str" cm="1">
        <f t="array" ref="N28">_xlfn.IFS(E28=0,"zerado",TRIM(E28)="","zerado",TRIM(E28)="0","zerado",TRUE,SUBSTITUTE(E28,",","."))</f>
        <v>200</v>
      </c>
      <c r="O28" s="7" t="str">
        <f t="shared" si="13"/>
        <v>MENSAL</v>
      </c>
      <c r="P28" s="7" t="str">
        <f t="shared" si="14"/>
        <v>SALARIO DE ADMISSAO</v>
      </c>
      <c r="Q28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( 26, 5862, ( SELECT /*MAX(*/ NRVINCULOM /*)*/ FROM GPE_VINCULOM WHERE NRORG = 5862 AND CDMATRICULA = '020000-2-00067' ), '01/09/2016', 1, '1', 200, 'MENSAL', NVL( 'SALARIO DE ADMISSAO', 'Alteracao salarial importada via migracao ' || SYSDATE ), 1, SYSDATE, 5862, '000000099991' ); COMMIT;</v>
      </c>
      <c r="R28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( 26, 5862, ( SELECT /*MAX(*/ NRVINCULOM /*)*/ FROM GPE_VINCULOM WHERE NRORG = 5862 AND CDMATRICULA = '020000-2-00067' ), '01/09/2016', 1, '1', 200, 'MENSAL', NVL( 'SALARIO DE ADMISSAO', 'Alteracao salarial importada via migracao ' || SYSDATE ), 1, SYSDATE, 5862, '000000099991' ); COMMIT;</v>
      </c>
      <c r="T28" s="25" t="str">
        <f ca="1"/>
        <v>020000-2-00067-010920161</v>
      </c>
      <c r="U28" s="22" t="str">
        <f ca="1"/>
        <v>insere</v>
      </c>
      <c r="W28" s="27" t="str">
        <f ca="1"/>
        <v>existe</v>
      </c>
    </row>
    <row r="29" spans="1:23" x14ac:dyDescent="0.25">
      <c r="A29" s="20" t="s">
        <v>108</v>
      </c>
      <c r="B29" s="20" t="s">
        <v>199</v>
      </c>
      <c r="C29" s="20" t="s">
        <v>48</v>
      </c>
      <c r="D29" cm="1">
        <f t="array" ref="D29">_xlfn.IFS(IFERROR(FIND("ADMISS",UPPER(P29)),0)&gt;0,1,
IFERROR(FIND("PROMO",UPPER(P29)),0)&gt;0,3,
IFERROR(FIND("SINDI",UPPER(P29)),0)&gt;0,7,
IFERROR(FIND("REAJUSTE",UPPER(P29)),0)&gt;0,22,
TRUE,50)</f>
        <v>1</v>
      </c>
      <c r="E29" s="20" t="s">
        <v>165</v>
      </c>
      <c r="F29" s="20" t="s">
        <v>201</v>
      </c>
      <c r="G29" s="20" t="s">
        <v>168</v>
      </c>
      <c r="I29" s="7"/>
      <c r="J29" s="7">
        <f t="shared" ca="1" si="3"/>
        <v>27</v>
      </c>
      <c r="K29" s="7" t="str">
        <f t="shared" si="10"/>
        <v>020000-2-00074</v>
      </c>
      <c r="L29" s="7" t="str">
        <f t="shared" si="11"/>
        <v>09/01/2017</v>
      </c>
      <c r="M29" s="7" t="str">
        <f t="shared" si="12"/>
        <v>1</v>
      </c>
      <c r="N29" s="7" t="str" cm="1">
        <f t="array" ref="N29">_xlfn.IFS(E29=0,"zerado",TRIM(E29)="","zerado",TRIM(E29)="0","zerado",TRUE,SUBSTITUTE(E29,",","."))</f>
        <v>200</v>
      </c>
      <c r="O29" s="7" t="str">
        <f t="shared" si="13"/>
        <v>MENSAL</v>
      </c>
      <c r="P29" s="7" t="str">
        <f t="shared" si="14"/>
        <v>SALARIO DE ADMISSAO</v>
      </c>
      <c r="Q29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( 27, 5862, ( SELECT /*MAX(*/ NRVINCULOM /*)*/ FROM GPE_VINCULOM WHERE NRORG = 5862 AND CDMATRICULA = '020000-2-00074' ), '09/01/2017', 1, '1', 200, 'MENSAL', NVL( 'SALARIO DE ADMISSAO', 'Alteracao salarial importada via migracao ' || SYSDATE ), 1, SYSDATE, 5862, '000000099991' ); COMMIT;</v>
      </c>
      <c r="R29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( 27, 5862, ( SELECT /*MAX(*/ NRVINCULOM /*)*/ FROM GPE_VINCULOM WHERE NRORG = 5862 AND CDMATRICULA = '020000-2-00074' ), '09/01/2017', 1, '1', 200, 'MENSAL', NVL( 'SALARIO DE ADMISSAO', 'Alteracao salarial importada via migracao ' || SYSDATE ), 1, SYSDATE, 5862, '000000099991' ); COMMIT;</v>
      </c>
      <c r="T29" s="25" t="str">
        <f ca="1"/>
        <v>020000-2-00074-090120171</v>
      </c>
      <c r="U29" s="22" t="str">
        <f ca="1"/>
        <v>insere</v>
      </c>
      <c r="W29" s="27" t="str">
        <f ca="1"/>
        <v>existe</v>
      </c>
    </row>
    <row r="30" spans="1:23" x14ac:dyDescent="0.25">
      <c r="A30" s="20" t="s">
        <v>112</v>
      </c>
      <c r="B30" s="20" t="s">
        <v>200</v>
      </c>
      <c r="C30" s="20" t="s">
        <v>48</v>
      </c>
      <c r="D30" cm="1">
        <f t="array" ref="D30">_xlfn.IFS(IFERROR(FIND("ADMISS",UPPER(P30)),0)&gt;0,1,
IFERROR(FIND("PROMO",UPPER(P30)),0)&gt;0,3,
IFERROR(FIND("SINDI",UPPER(P30)),0)&gt;0,7,
IFERROR(FIND("REAJUSTE",UPPER(P30)),0)&gt;0,22,
TRUE,50)</f>
        <v>1</v>
      </c>
      <c r="E30" s="20" t="s">
        <v>165</v>
      </c>
      <c r="F30" s="20" t="s">
        <v>201</v>
      </c>
      <c r="G30" s="20" t="s">
        <v>168</v>
      </c>
      <c r="I30" s="7"/>
      <c r="J30" s="7">
        <f t="shared" ca="1" si="3"/>
        <v>28</v>
      </c>
      <c r="K30" s="7" t="str">
        <f t="shared" si="10"/>
        <v>020000-2-00090</v>
      </c>
      <c r="L30" s="7" t="str">
        <f t="shared" si="11"/>
        <v>19/06/2017</v>
      </c>
      <c r="M30" s="7" t="str">
        <f t="shared" si="12"/>
        <v>1</v>
      </c>
      <c r="N30" s="7" t="str" cm="1">
        <f t="array" ref="N30">_xlfn.IFS(E30=0,"zerado",TRIM(E30)="","zerado",TRIM(E30)="0","zerado",TRUE,SUBSTITUTE(E30,",","."))</f>
        <v>200</v>
      </c>
      <c r="O30" s="7" t="str">
        <f t="shared" si="13"/>
        <v>MENSAL</v>
      </c>
      <c r="P30" s="7" t="str">
        <f t="shared" si="14"/>
        <v>SALARIO DE ADMISSAO</v>
      </c>
      <c r="Q30" s="8" t="str">
        <f t="shared" ca="1" si="8"/>
        <v>INSERT INTO GPE_ALTESALARIO ( NRALTESALARIO, NRORG, NRVINCULOM, DTALTESALARIO, NROCORRENCIA, NRTIPOALTERA, VRSALARIO, IDTPSALARIO, DSOBSERVACAO, NRTPMODALIDSAL, DTINCLUSAO, NRORGINCLUSAO, CDOPERINCLUSAO ) VALUES ( 28, 5862, ( SELECT /*MAX(*/ NRVINCULOM /*)*/ FROM GPE_VINCULOM WHERE NRORG = 5862 AND CDMATRICULA = '020000-2-00090' ), '19/06/2017', 1, '1', 200, 'MENSAL', NVL( 'SALARIO DE ADMISSAO', 'Alteracao salarial importada via migracao ' || SYSDATE ), 1, SYSDATE, 5862, '000000099991' ); COMMIT;</v>
      </c>
      <c r="R30" s="48" t="str">
        <f t="shared" ca="1" si="9"/>
        <v>INSERT INTO GPE_ALTESALARIO ( NRALTESALARIO, NRORG, NRVINCULOM, DTALTESALARIO, NROCORRENCIA, NRTIPOALTERA, VRSALARIO, IDTPSALARIO, DSOBSERVACAO, NRTPMODALIDSAL, DTINCLUSAO, NRORGINCLUSAO, CDOPERINCLUSAO ) VALUES ( 28, 5862, ( SELECT /*MAX(*/ NRVINCULOM /*)*/ FROM GPE_VINCULOM WHERE NRORG = 5862 AND CDMATRICULA = '020000-2-00090' ), '19/06/2017', 1, '1', 200, 'MENSAL', NVL( 'SALARIO DE ADMISSAO', 'Alteracao salarial importada via migracao ' || SYSDATE ), 1, SYSDATE, 5862, '000000099991' ); COMMIT;</v>
      </c>
      <c r="T30" s="25" t="str">
        <f ca="1"/>
        <v>020000-2-00090-190620171</v>
      </c>
      <c r="U30" s="22" t="str">
        <f ca="1"/>
        <v>insere</v>
      </c>
      <c r="W30" s="27" t="str">
        <f ca="1"/>
        <v>existe</v>
      </c>
    </row>
  </sheetData>
  <autoFilter ref="A2:G6851" xr:uid="{00000000-0001-0000-0000-000000000000}"/>
  <conditionalFormatting sqref="A3:A9">
    <cfRule type="duplicateValues" dxfId="0" priority="4"/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Roman,Normal"&amp;12&amp;Kffffff&amp;A</oddHeader>
    <oddFooter>&amp;C&amp;"Times New Roman,Normal"&amp;12&amp;KffffffPágina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8637-A2AF-4FD3-8F80-183560D121D0}">
  <dimension ref="A1:L30"/>
  <sheetViews>
    <sheetView topLeftCell="G1" workbookViewId="0">
      <pane ySplit="1" topLeftCell="A2" activePane="bottomLeft" state="frozen"/>
      <selection pane="bottomLeft" activeCell="L8" sqref="L8"/>
    </sheetView>
  </sheetViews>
  <sheetFormatPr defaultRowHeight="15" x14ac:dyDescent="0.25"/>
  <cols>
    <col min="1" max="1" width="18.85546875" style="35" bestFit="1" customWidth="1"/>
    <col min="2" max="2" width="14.140625" style="35" bestFit="1" customWidth="1"/>
    <col min="3" max="3" width="13.7109375" style="35" bestFit="1" customWidth="1"/>
    <col min="4" max="4" width="18.5703125" style="35" bestFit="1" customWidth="1"/>
    <col min="5" max="5" width="15.42578125" style="35" bestFit="1" customWidth="1"/>
    <col min="6" max="6" width="90.42578125" style="20" bestFit="1" customWidth="1"/>
    <col min="7" max="7" width="14.140625" style="38" bestFit="1" customWidth="1"/>
    <col min="8" max="8" width="13.7109375" style="38" bestFit="1" customWidth="1"/>
    <col min="9" max="10" width="18.5703125" style="38" bestFit="1" customWidth="1"/>
    <col min="11" max="11" width="64" style="20" bestFit="1" customWidth="1"/>
    <col min="12" max="12" width="33.140625" style="53" customWidth="1"/>
    <col min="13" max="16384" width="9.140625" style="20"/>
  </cols>
  <sheetData>
    <row r="1" spans="1:12" ht="180.75" x14ac:dyDescent="0.25">
      <c r="A1" s="36" t="s">
        <v>39</v>
      </c>
      <c r="B1" s="36" t="s">
        <v>40</v>
      </c>
      <c r="C1" s="36" t="s">
        <v>41</v>
      </c>
      <c r="D1" s="36" t="s">
        <v>42</v>
      </c>
      <c r="E1" s="36" t="s">
        <v>43</v>
      </c>
      <c r="F1" s="37" t="s">
        <v>44</v>
      </c>
      <c r="G1" s="39" t="s">
        <v>40</v>
      </c>
      <c r="H1" s="39" t="s">
        <v>41</v>
      </c>
      <c r="I1" s="39" t="s">
        <v>45</v>
      </c>
      <c r="J1" s="39" t="s">
        <v>46</v>
      </c>
      <c r="K1" s="37" t="s">
        <v>47</v>
      </c>
      <c r="L1" s="55" t="s">
        <v>208</v>
      </c>
    </row>
    <row r="2" spans="1:12" x14ac:dyDescent="0.25">
      <c r="F2" s="26"/>
      <c r="G2" s="38" t="s">
        <v>49</v>
      </c>
      <c r="H2" s="38" t="s">
        <v>50</v>
      </c>
      <c r="I2" s="38" t="s">
        <v>51</v>
      </c>
      <c r="J2" s="38" t="s">
        <v>52</v>
      </c>
      <c r="L2" s="54" cm="1">
        <f t="array" aca="1" ref="L2:L30" ca="1">_xlfn.LET(
_xlpm.linhas, COUNTA(H:H),
_xlpm.array_matr, INDIRECT("G2:G" &amp; _xlpm.linhas),
_xlpm.array_qde, COUNTIF(_xlpm.array_matr, _xlpm.array_matr),
_xlpm.filtrado, _xlfn._xlws.FILTER(_xlpm.array_matr, _xlpm.array_qde&gt;1),
_xlpm.array_qde
)</f>
        <v>1</v>
      </c>
    </row>
    <row r="3" spans="1:12" x14ac:dyDescent="0.25">
      <c r="G3" s="38" t="s">
        <v>53</v>
      </c>
      <c r="H3" s="38" t="s">
        <v>54</v>
      </c>
      <c r="I3" s="38" t="s">
        <v>55</v>
      </c>
      <c r="J3" s="38" t="s">
        <v>56</v>
      </c>
      <c r="L3" s="53">
        <f ca="1"/>
        <v>1</v>
      </c>
    </row>
    <row r="4" spans="1:12" x14ac:dyDescent="0.25">
      <c r="G4" s="38" t="s">
        <v>57</v>
      </c>
      <c r="H4" s="38" t="s">
        <v>58</v>
      </c>
      <c r="I4" s="38" t="s">
        <v>59</v>
      </c>
      <c r="J4" s="38" t="s">
        <v>60</v>
      </c>
      <c r="L4" s="53">
        <f ca="1"/>
        <v>1</v>
      </c>
    </row>
    <row r="5" spans="1:12" x14ac:dyDescent="0.25">
      <c r="G5" s="38" t="s">
        <v>61</v>
      </c>
      <c r="H5" s="38" t="s">
        <v>62</v>
      </c>
      <c r="I5" s="38" t="s">
        <v>63</v>
      </c>
      <c r="J5" s="38" t="s">
        <v>64</v>
      </c>
      <c r="L5" s="53">
        <f ca="1"/>
        <v>1</v>
      </c>
    </row>
    <row r="6" spans="1:12" x14ac:dyDescent="0.25">
      <c r="G6" s="38" t="s">
        <v>65</v>
      </c>
      <c r="H6" s="38" t="s">
        <v>66</v>
      </c>
      <c r="I6" s="38" t="s">
        <v>67</v>
      </c>
      <c r="J6" s="38" t="s">
        <v>68</v>
      </c>
      <c r="L6" s="53">
        <f ca="1"/>
        <v>1</v>
      </c>
    </row>
    <row r="7" spans="1:12" x14ac:dyDescent="0.25">
      <c r="G7" s="38" t="s">
        <v>69</v>
      </c>
      <c r="H7" s="38" t="s">
        <v>70</v>
      </c>
      <c r="I7" s="38" t="s">
        <v>71</v>
      </c>
      <c r="J7" s="38" t="s">
        <v>72</v>
      </c>
      <c r="L7" s="53">
        <f ca="1"/>
        <v>1</v>
      </c>
    </row>
    <row r="8" spans="1:12" x14ac:dyDescent="0.25">
      <c r="G8" s="38" t="s">
        <v>73</v>
      </c>
      <c r="H8" s="38" t="s">
        <v>74</v>
      </c>
      <c r="I8" s="38" t="s">
        <v>75</v>
      </c>
      <c r="J8" s="38" t="s">
        <v>76</v>
      </c>
      <c r="L8" s="53">
        <f ca="1"/>
        <v>1</v>
      </c>
    </row>
    <row r="9" spans="1:12" x14ac:dyDescent="0.25">
      <c r="G9" s="38" t="s">
        <v>77</v>
      </c>
      <c r="H9" s="38" t="s">
        <v>78</v>
      </c>
      <c r="I9" s="38" t="s">
        <v>79</v>
      </c>
      <c r="J9" s="38" t="s">
        <v>80</v>
      </c>
      <c r="L9" s="53">
        <f ca="1"/>
        <v>1</v>
      </c>
    </row>
    <row r="10" spans="1:12" x14ac:dyDescent="0.25">
      <c r="G10" s="38" t="s">
        <v>81</v>
      </c>
      <c r="H10" s="38" t="s">
        <v>82</v>
      </c>
      <c r="I10" s="38" t="s">
        <v>79</v>
      </c>
      <c r="J10" s="38" t="s">
        <v>83</v>
      </c>
      <c r="L10" s="53">
        <f ca="1"/>
        <v>1</v>
      </c>
    </row>
    <row r="11" spans="1:12" x14ac:dyDescent="0.25">
      <c r="G11" s="38" t="s">
        <v>84</v>
      </c>
      <c r="H11" s="38" t="s">
        <v>85</v>
      </c>
      <c r="I11" s="38" t="s">
        <v>86</v>
      </c>
      <c r="J11" s="38" t="s">
        <v>87</v>
      </c>
      <c r="L11" s="53">
        <f ca="1"/>
        <v>1</v>
      </c>
    </row>
    <row r="12" spans="1:12" x14ac:dyDescent="0.25">
      <c r="G12" s="38" t="s">
        <v>88</v>
      </c>
      <c r="H12" s="38" t="s">
        <v>89</v>
      </c>
      <c r="I12" s="38" t="s">
        <v>90</v>
      </c>
      <c r="J12" s="38" t="s">
        <v>91</v>
      </c>
      <c r="L12" s="53">
        <f ca="1"/>
        <v>1</v>
      </c>
    </row>
    <row r="13" spans="1:12" x14ac:dyDescent="0.25">
      <c r="G13" s="38" t="s">
        <v>92</v>
      </c>
      <c r="H13" s="38" t="s">
        <v>93</v>
      </c>
      <c r="I13" s="38" t="s">
        <v>94</v>
      </c>
      <c r="J13" s="38" t="s">
        <v>95</v>
      </c>
      <c r="L13" s="53">
        <f ca="1"/>
        <v>1</v>
      </c>
    </row>
    <row r="14" spans="1:12" x14ac:dyDescent="0.25">
      <c r="G14" s="38" t="s">
        <v>96</v>
      </c>
      <c r="H14" s="38" t="s">
        <v>97</v>
      </c>
      <c r="I14" s="38" t="s">
        <v>98</v>
      </c>
      <c r="J14" s="38" t="s">
        <v>99</v>
      </c>
      <c r="L14" s="53">
        <f ca="1"/>
        <v>1</v>
      </c>
    </row>
    <row r="15" spans="1:12" x14ac:dyDescent="0.25">
      <c r="G15" s="38" t="s">
        <v>100</v>
      </c>
      <c r="H15" s="38" t="s">
        <v>101</v>
      </c>
      <c r="I15" s="38" t="s">
        <v>102</v>
      </c>
      <c r="J15" s="38" t="s">
        <v>103</v>
      </c>
      <c r="L15" s="53">
        <f ca="1"/>
        <v>1</v>
      </c>
    </row>
    <row r="16" spans="1:12" x14ac:dyDescent="0.25">
      <c r="G16" s="38" t="s">
        <v>104</v>
      </c>
      <c r="H16" s="38" t="s">
        <v>105</v>
      </c>
      <c r="I16" s="38" t="s">
        <v>106</v>
      </c>
      <c r="J16" s="38" t="s">
        <v>107</v>
      </c>
      <c r="L16" s="53">
        <f ca="1"/>
        <v>1</v>
      </c>
    </row>
    <row r="17" spans="7:12" x14ac:dyDescent="0.25">
      <c r="G17" s="38" t="s">
        <v>108</v>
      </c>
      <c r="H17" s="38" t="s">
        <v>109</v>
      </c>
      <c r="I17" s="38" t="s">
        <v>110</v>
      </c>
      <c r="J17" s="38" t="s">
        <v>111</v>
      </c>
      <c r="L17" s="53">
        <f ca="1"/>
        <v>1</v>
      </c>
    </row>
    <row r="18" spans="7:12" x14ac:dyDescent="0.25">
      <c r="G18" s="38" t="s">
        <v>112</v>
      </c>
      <c r="H18" s="38" t="s">
        <v>113</v>
      </c>
      <c r="I18" s="38" t="s">
        <v>114</v>
      </c>
      <c r="J18" s="38" t="s">
        <v>115</v>
      </c>
      <c r="L18" s="53">
        <f ca="1"/>
        <v>1</v>
      </c>
    </row>
    <row r="19" spans="7:12" x14ac:dyDescent="0.25">
      <c r="G19" s="38" t="s">
        <v>116</v>
      </c>
      <c r="H19" s="38" t="s">
        <v>117</v>
      </c>
      <c r="I19" s="38" t="s">
        <v>118</v>
      </c>
      <c r="J19" s="38" t="s">
        <v>119</v>
      </c>
      <c r="L19" s="53">
        <f ca="1"/>
        <v>1</v>
      </c>
    </row>
    <row r="20" spans="7:12" x14ac:dyDescent="0.25">
      <c r="G20" s="38" t="s">
        <v>120</v>
      </c>
      <c r="H20" s="38" t="s">
        <v>121</v>
      </c>
      <c r="I20" s="38" t="s">
        <v>122</v>
      </c>
      <c r="J20" s="38" t="s">
        <v>123</v>
      </c>
      <c r="L20" s="53">
        <f ca="1"/>
        <v>1</v>
      </c>
    </row>
    <row r="21" spans="7:12" x14ac:dyDescent="0.25">
      <c r="G21" s="38" t="s">
        <v>124</v>
      </c>
      <c r="H21" s="38" t="s">
        <v>125</v>
      </c>
      <c r="I21" s="38" t="s">
        <v>126</v>
      </c>
      <c r="J21" s="38" t="s">
        <v>127</v>
      </c>
      <c r="L21" s="53">
        <f ca="1"/>
        <v>1</v>
      </c>
    </row>
    <row r="22" spans="7:12" x14ac:dyDescent="0.25">
      <c r="G22" s="38" t="s">
        <v>128</v>
      </c>
      <c r="H22" s="38" t="s">
        <v>129</v>
      </c>
      <c r="I22" s="38" t="s">
        <v>130</v>
      </c>
      <c r="J22" s="38" t="s">
        <v>131</v>
      </c>
      <c r="L22" s="53">
        <f ca="1"/>
        <v>1</v>
      </c>
    </row>
    <row r="23" spans="7:12" x14ac:dyDescent="0.25">
      <c r="G23" s="38" t="s">
        <v>132</v>
      </c>
      <c r="H23" s="38" t="s">
        <v>133</v>
      </c>
      <c r="I23" s="38" t="s">
        <v>134</v>
      </c>
      <c r="J23" s="38" t="s">
        <v>135</v>
      </c>
      <c r="L23" s="53">
        <f ca="1"/>
        <v>1</v>
      </c>
    </row>
    <row r="24" spans="7:12" x14ac:dyDescent="0.25">
      <c r="G24" s="38" t="s">
        <v>136</v>
      </c>
      <c r="H24" s="38" t="s">
        <v>137</v>
      </c>
      <c r="I24" s="38" t="s">
        <v>138</v>
      </c>
      <c r="J24" s="38" t="s">
        <v>139</v>
      </c>
      <c r="L24" s="53">
        <f ca="1"/>
        <v>1</v>
      </c>
    </row>
    <row r="25" spans="7:12" x14ac:dyDescent="0.25">
      <c r="G25" s="38" t="s">
        <v>140</v>
      </c>
      <c r="H25" s="38" t="s">
        <v>141</v>
      </c>
      <c r="I25" s="38" t="s">
        <v>142</v>
      </c>
      <c r="J25" s="38" t="s">
        <v>143</v>
      </c>
      <c r="L25" s="53">
        <f ca="1"/>
        <v>1</v>
      </c>
    </row>
    <row r="26" spans="7:12" x14ac:dyDescent="0.25">
      <c r="G26" s="38" t="s">
        <v>144</v>
      </c>
      <c r="H26" s="38" t="s">
        <v>145</v>
      </c>
      <c r="I26" s="38" t="s">
        <v>146</v>
      </c>
      <c r="J26" s="38" t="s">
        <v>147</v>
      </c>
      <c r="L26" s="53">
        <f ca="1"/>
        <v>1</v>
      </c>
    </row>
    <row r="27" spans="7:12" x14ac:dyDescent="0.25">
      <c r="G27" s="38" t="s">
        <v>148</v>
      </c>
      <c r="H27" s="38" t="s">
        <v>149</v>
      </c>
      <c r="I27" s="38" t="s">
        <v>150</v>
      </c>
      <c r="J27" s="38" t="s">
        <v>151</v>
      </c>
      <c r="L27" s="53">
        <f ca="1"/>
        <v>1</v>
      </c>
    </row>
    <row r="28" spans="7:12" x14ac:dyDescent="0.25">
      <c r="G28" s="38" t="s">
        <v>152</v>
      </c>
      <c r="H28" s="38" t="s">
        <v>153</v>
      </c>
      <c r="I28" s="38" t="s">
        <v>154</v>
      </c>
      <c r="J28" s="38" t="s">
        <v>155</v>
      </c>
      <c r="L28" s="53">
        <f ca="1"/>
        <v>1</v>
      </c>
    </row>
    <row r="29" spans="7:12" x14ac:dyDescent="0.25">
      <c r="G29" s="38" t="s">
        <v>156</v>
      </c>
      <c r="H29" s="38" t="s">
        <v>157</v>
      </c>
      <c r="I29" s="38" t="s">
        <v>158</v>
      </c>
      <c r="J29" s="38" t="s">
        <v>159</v>
      </c>
      <c r="L29" s="53">
        <f ca="1"/>
        <v>1</v>
      </c>
    </row>
    <row r="30" spans="7:12" x14ac:dyDescent="0.25">
      <c r="G30" s="38" t="s">
        <v>160</v>
      </c>
      <c r="H30" s="38" t="s">
        <v>161</v>
      </c>
      <c r="I30" s="38" t="s">
        <v>162</v>
      </c>
      <c r="J30" s="38" t="s">
        <v>163</v>
      </c>
      <c r="L30" s="53">
        <f ca="1"/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Jaqueline Cardoso Silva Rosini</dc:creator>
  <cp:keywords/>
  <dc:description/>
  <cp:lastModifiedBy>Rafael Pickbrenner</cp:lastModifiedBy>
  <cp:revision>5</cp:revision>
  <dcterms:created xsi:type="dcterms:W3CDTF">2021-03-19T21:02:44Z</dcterms:created>
  <dcterms:modified xsi:type="dcterms:W3CDTF">2026-07-07T17:42:26Z</dcterms:modified>
  <cp:category/>
  <cp:contentStatus/>
</cp:coreProperties>
</file>