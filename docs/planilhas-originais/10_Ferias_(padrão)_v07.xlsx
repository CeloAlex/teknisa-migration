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1095" documentId="8_{E2A40BDA-695B-49D0-8772-8ADB3A7EF280}" xr6:coauthVersionLast="47" xr6:coauthVersionMax="47" xr10:uidLastSave="{C910168C-927F-49A9-8B9E-9661BD419ED1}"/>
  <bookViews>
    <workbookView xWindow="22635" yWindow="0" windowWidth="26010" windowHeight="20880" tabRatio="500" xr2:uid="{00000000-000D-0000-FFFF-FFFF00000000}"/>
  </bookViews>
  <sheets>
    <sheet name="Dados" sheetId="1" r:id="rId1"/>
    <sheet name="Base" sheetId="2" r:id="rId2"/>
  </sheets>
  <definedNames>
    <definedName name="_xlnm._FilterDatabase" localSheetId="0" hidden="1">Dados!$M$1:$AX$1444</definedName>
    <definedName name="BaseIdIniAquisicao">Dados!$AJ$16</definedName>
    <definedName name="BaseIdIniAquisiçãoIniGozo">Dados!$AJ$18</definedName>
    <definedName name="BaseIdVinculo">Dados!$AJ$15</definedName>
    <definedName name="BaseLinhas">Dados!$AJ$14</definedName>
    <definedName name="BaseNrferias">Dados!$AJ$17</definedName>
    <definedName name="BaseNrgozo">Dados!$AJ$19</definedName>
    <definedName name="BaseReport">Dados!$AJ$20</definedName>
    <definedName name="DadosFimAquisição">Dados!$AJ$7</definedName>
    <definedName name="DadosGozoExistente">Dados!$AJ$11</definedName>
    <definedName name="DadosHashGozo">Dados!$AJ$10</definedName>
    <definedName name="DadosIniAquisição">Dados!$AJ$6</definedName>
    <definedName name="DadosLinhas">Dados!$AJ$4</definedName>
    <definedName name="DadosVinculo">Dados!$AJ$5</definedName>
    <definedName name="ID">Dados!$M$4</definedName>
    <definedName name="MIG_APENAS.NÚM">_xlfn.LAMBDA(_xlpm.texto, _xlfn.CONCAT( IFERROR( -- MID( _xlpm.texto, _xlfn.SEQUENCE(LEN( _xlpm.texto ) ), 1 ), "" ) ) )</definedName>
    <definedName name="MIG_GERA.SCRIPT">_xlfn.LAMBDA(_xlpm.script,_xlpm.chaves,_xlpm.valores, _xlfn.LET( _xlpm.saida, _xlfn.REDUCE( _xlpm.script, _xlpm.chaves, _xlfn.LAMBDA(_xlpm.A,_xlpm.B, SUBSTITUTE( _xlpm.A, _xlpm.B, _xlfn.XLOOKUP( _xlpm.B, _xlpm.chaves, _xlpm.valores ) ) ) ), _xlpm.saida ) )</definedName>
    <definedName name="MIG_INDIRETO">_xlfn.LAMBDA(_xlpm.CelulaRef,_xlpm.LinhaFim, _xlfn.LET( _xlpm.LinhaIni, CELL( "lin", _xlpm.CelulaRef ), OFFSET( _xlpm.CelulaRef, 0, 0, _xlpm.LinhaFim - _xlpm.LinhaIni + 1 ) ) )</definedName>
    <definedName name="MIG_REMOVER.ESPECIAL">_xlfn.LAMBDA(_xlpm.texto, TRIM( MIG_TROCAR.CARACTERES( _xlpm.texto, "áàâãäÁÀÂÃÄéèêëÉÈÊËíìîïÍÌÎÏóòôöÓÒÔÖúùûüÚÙÛÜçÇ&amp;'`´", "aaaaaAAAAAeeeeEEEEiiiiIIIIooooOOOOuuuuUUUUcC    " ) ) )</definedName>
    <definedName name="MIG_TROCAR.CARACTERES">_xlfn.LAMBDA(_xlpm.texto,_xlpm.de,_xlpm.para, IF( _xlpm.de = "", _xlpm.texto, [0]!MIG_TROCAR.CARACTERES( SUBSTITUTE( _xlpm.texto, LEFT( _xlpm.de ), LEFT( _xlpm.para ) ), RIGHT( _xlpm.de, LEN( _xlpm.de ) - 1), RIGHT( _xlpm.para, LEN( _xlpm.para ) - 1 ) ) ) 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 a="1"/>
  <c r="N27" i="1"/>
  <c r="Y27" i="1"/>
  <c r="Z27" i="1"/>
  <c r="AA27" i="1"/>
  <c r="AB27" i="1"/>
  <c r="AC27" i="1"/>
  <c r="AD27" i="1"/>
  <c r="AE27" i="1"/>
  <c r="N28" i="1"/>
  <c r="Y28" i="1"/>
  <c r="Z28" i="1"/>
  <c r="O28" i="1" s="1"/>
  <c r="AA28" i="1"/>
  <c r="AB28" i="1"/>
  <c r="AC28" i="1"/>
  <c r="AD28" i="1"/>
  <c r="AE28" i="1"/>
  <c r="N29" i="1"/>
  <c r="O29" i="1"/>
  <c r="Y29" i="1"/>
  <c r="Z29" i="1"/>
  <c r="AA29" i="1"/>
  <c r="AB29" i="1"/>
  <c r="AC29" i="1"/>
  <c r="U29" i="1" s="1"/>
  <c r="AD29" i="1"/>
  <c r="AE29" i="1"/>
  <c r="N30" i="1"/>
  <c r="Y30" i="1"/>
  <c r="Z30" i="1"/>
  <c r="AA30" i="1"/>
  <c r="AB30" i="1"/>
  <c r="AC30" i="1"/>
  <c r="AD30" i="1"/>
  <c r="AE30" i="1"/>
  <c r="AE26" i="1"/>
  <c r="AD26" i="1"/>
  <c r="AC26" i="1"/>
  <c r="AB26" i="1"/>
  <c r="AA26" i="1"/>
  <c r="Z26" i="1"/>
  <c r="Y26" i="1"/>
  <c r="N26" i="1"/>
  <c r="AE25" i="1"/>
  <c r="AD25" i="1"/>
  <c r="AC25" i="1"/>
  <c r="AB25" i="1"/>
  <c r="AA25" i="1"/>
  <c r="Z25" i="1"/>
  <c r="Y25" i="1"/>
  <c r="N25" i="1"/>
  <c r="AE24" i="1"/>
  <c r="AD24" i="1"/>
  <c r="AC24" i="1"/>
  <c r="AB24" i="1"/>
  <c r="AA24" i="1"/>
  <c r="Z24" i="1"/>
  <c r="Y24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O30" i="1" l="1"/>
  <c r="U30" i="1"/>
  <c r="P30" i="1"/>
  <c r="P28" i="1"/>
  <c r="O27" i="1"/>
  <c r="U27" i="1"/>
  <c r="U28" i="1"/>
  <c r="O26" i="1"/>
  <c r="O24" i="1"/>
  <c r="O25" i="1"/>
  <c r="U25" i="1"/>
  <c r="U24" i="1"/>
  <c r="U26" i="1"/>
  <c r="AJ14" i="1"/>
  <c r="AJ20" i="1" s="1"/>
  <c r="K3" i="2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K2" i="2"/>
  <c r="K4" i="2"/>
  <c r="K7" i="2" s="1"/>
  <c r="P27" i="1" l="1"/>
  <c r="P29" i="1"/>
  <c r="K6" i="2"/>
  <c r="K5" i="2" a="1"/>
  <c r="AJ19" i="1"/>
  <c r="AJ15" i="1" a="1"/>
  <c r="AJ17" i="1"/>
  <c r="AJ18" i="1"/>
  <c r="AJ16" i="1"/>
  <c r="AE23" i="1"/>
  <c r="AD23" i="1"/>
  <c r="AC23" i="1"/>
  <c r="AA23" i="1"/>
  <c r="Z23" i="1"/>
  <c r="Y23" i="1"/>
  <c r="AE22" i="1"/>
  <c r="AD22" i="1"/>
  <c r="AC22" i="1"/>
  <c r="AA22" i="1"/>
  <c r="Z22" i="1"/>
  <c r="Y22" i="1"/>
  <c r="AE21" i="1"/>
  <c r="AD21" i="1"/>
  <c r="AC21" i="1"/>
  <c r="AA21" i="1"/>
  <c r="Z21" i="1"/>
  <c r="Y21" i="1"/>
  <c r="AE20" i="1"/>
  <c r="AD20" i="1"/>
  <c r="AC20" i="1"/>
  <c r="AA20" i="1"/>
  <c r="Z20" i="1"/>
  <c r="Y20" i="1"/>
  <c r="AE19" i="1"/>
  <c r="AD19" i="1"/>
  <c r="AC19" i="1"/>
  <c r="AA19" i="1"/>
  <c r="Z19" i="1"/>
  <c r="Y19" i="1"/>
  <c r="AE18" i="1"/>
  <c r="AD18" i="1"/>
  <c r="AC18" i="1"/>
  <c r="AA18" i="1"/>
  <c r="Z18" i="1"/>
  <c r="Y18" i="1"/>
  <c r="AE17" i="1"/>
  <c r="AD17" i="1"/>
  <c r="AC17" i="1"/>
  <c r="AA17" i="1"/>
  <c r="Z17" i="1"/>
  <c r="Y17" i="1"/>
  <c r="AE16" i="1"/>
  <c r="AD16" i="1"/>
  <c r="AC16" i="1"/>
  <c r="AA16" i="1"/>
  <c r="Z16" i="1"/>
  <c r="Y16" i="1"/>
  <c r="AE15" i="1"/>
  <c r="AD15" i="1"/>
  <c r="AC15" i="1"/>
  <c r="AA15" i="1"/>
  <c r="Z15" i="1"/>
  <c r="Y15" i="1"/>
  <c r="AE14" i="1"/>
  <c r="AD14" i="1"/>
  <c r="AC14" i="1"/>
  <c r="AA14" i="1"/>
  <c r="Z14" i="1"/>
  <c r="Y14" i="1"/>
  <c r="AE13" i="1"/>
  <c r="AD13" i="1"/>
  <c r="AC13" i="1"/>
  <c r="AA13" i="1"/>
  <c r="Z13" i="1"/>
  <c r="Y13" i="1"/>
  <c r="AE12" i="1"/>
  <c r="AD12" i="1"/>
  <c r="AC12" i="1"/>
  <c r="AA12" i="1"/>
  <c r="Z12" i="1"/>
  <c r="Y12" i="1"/>
  <c r="AE11" i="1"/>
  <c r="AD11" i="1"/>
  <c r="AC11" i="1"/>
  <c r="AA11" i="1"/>
  <c r="Z11" i="1"/>
  <c r="Y11" i="1"/>
  <c r="AE10" i="1"/>
  <c r="AD10" i="1"/>
  <c r="AC10" i="1"/>
  <c r="AA10" i="1"/>
  <c r="Z10" i="1"/>
  <c r="Y10" i="1"/>
  <c r="AE9" i="1"/>
  <c r="AD9" i="1"/>
  <c r="AC9" i="1"/>
  <c r="AA9" i="1"/>
  <c r="Z9" i="1"/>
  <c r="Y9" i="1"/>
  <c r="AE8" i="1"/>
  <c r="AD8" i="1"/>
  <c r="AC8" i="1"/>
  <c r="AA8" i="1"/>
  <c r="Z8" i="1"/>
  <c r="Y8" i="1"/>
  <c r="AE7" i="1"/>
  <c r="AD7" i="1"/>
  <c r="AC7" i="1"/>
  <c r="AA7" i="1"/>
  <c r="Z7" i="1"/>
  <c r="Y7" i="1"/>
  <c r="AE6" i="1"/>
  <c r="AD6" i="1"/>
  <c r="AC6" i="1"/>
  <c r="AA6" i="1"/>
  <c r="Z6" i="1"/>
  <c r="Y6" i="1"/>
  <c r="AE5" i="1"/>
  <c r="AD5" i="1"/>
  <c r="AC5" i="1"/>
  <c r="AA5" i="1"/>
  <c r="Z5" i="1"/>
  <c r="Y5" i="1"/>
  <c r="AE4" i="1"/>
  <c r="AE3" i="1"/>
  <c r="AJ4" i="1"/>
  <c r="Y4" i="1"/>
  <c r="Y3" i="1"/>
  <c r="AT5" i="1"/>
  <c r="AW5" i="1" s="1"/>
  <c r="AT4" i="1"/>
  <c r="AW4" i="1" s="1"/>
  <c r="AT3" i="1"/>
  <c r="AP9" i="1"/>
  <c r="AS9" i="1" s="1"/>
  <c r="AS5" i="1"/>
  <c r="AV5" i="1" s="1"/>
  <c r="AS4" i="1"/>
  <c r="AV4" i="1" s="1"/>
  <c r="AS3" i="1"/>
  <c r="I2" i="2" a="1"/>
  <c r="H2" i="2" a="1"/>
  <c r="U12" i="1" l="1"/>
  <c r="U20" i="1"/>
  <c r="U22" i="1"/>
  <c r="U13" i="1"/>
  <c r="U21" i="1"/>
  <c r="U5" i="1"/>
  <c r="AJ5" i="1"/>
  <c r="AJ6" i="1"/>
  <c r="AJ10" i="1"/>
  <c r="AJ7" i="1"/>
  <c r="AJ8" i="1"/>
  <c r="AJ11" i="1"/>
  <c r="O5" i="1"/>
  <c r="O9" i="1"/>
  <c r="O13" i="1"/>
  <c r="O17" i="1"/>
  <c r="O22" i="1"/>
  <c r="U23" i="1"/>
  <c r="O20" i="1"/>
  <c r="U8" i="1"/>
  <c r="O14" i="1"/>
  <c r="O18" i="1"/>
  <c r="U9" i="1"/>
  <c r="U17" i="1"/>
  <c r="U16" i="1"/>
  <c r="U6" i="1"/>
  <c r="U10" i="1"/>
  <c r="O7" i="1"/>
  <c r="O11" i="1"/>
  <c r="U18" i="1"/>
  <c r="O15" i="1"/>
  <c r="O19" i="1"/>
  <c r="U14" i="1"/>
  <c r="U7" i="1"/>
  <c r="U11" i="1"/>
  <c r="U15" i="1"/>
  <c r="U19" i="1"/>
  <c r="O21" i="1"/>
  <c r="O10" i="1"/>
  <c r="O23" i="1"/>
  <c r="O12" i="1"/>
  <c r="O6" i="1"/>
  <c r="O8" i="1"/>
  <c r="O16" i="1"/>
  <c r="AQ9" i="1"/>
  <c r="AT9" i="1" s="1"/>
  <c r="AW9" i="1" s="1"/>
  <c r="AW2" i="1" s="1"/>
  <c r="AV9" i="1"/>
  <c r="AV2" i="1" s="1"/>
  <c r="Q27" i="1" a="1"/>
  <c r="Q30" i="1" a="1"/>
  <c r="Q29" i="1" a="1"/>
  <c r="Q28" i="1" a="1"/>
  <c r="V28" i="1"/>
  <c r="V27" i="1"/>
  <c r="V29" i="1"/>
  <c r="V30" i="1"/>
  <c r="W30" i="1" l="1" a="1"/>
  <c r="W29" i="1" a="1"/>
  <c r="W27" i="1" a="1"/>
  <c r="W28" i="1" a="1"/>
  <c r="R28" i="1"/>
  <c r="R29" i="1" s="1"/>
  <c r="R30" i="1" s="1"/>
  <c r="R27" i="1" s="1"/>
  <c r="AD4" i="1"/>
  <c r="AC4" i="1"/>
  <c r="AA4" i="1"/>
  <c r="Z4" i="1"/>
  <c r="O4" i="1" s="1"/>
  <c r="AD3" i="1"/>
  <c r="AC3" i="1"/>
  <c r="AA3" i="1"/>
  <c r="Z3" i="1"/>
  <c r="O3" i="1" s="1"/>
  <c r="P24" i="1" l="1"/>
  <c r="P26" i="1"/>
  <c r="P25" i="1"/>
  <c r="U3" i="1"/>
  <c r="U4" i="1"/>
  <c r="P3" i="1"/>
  <c r="P4" i="1"/>
  <c r="P16" i="1"/>
  <c r="P8" i="1"/>
  <c r="P19" i="1"/>
  <c r="P20" i="1"/>
  <c r="P7" i="1"/>
  <c r="P6" i="1"/>
  <c r="P22" i="1"/>
  <c r="P5" i="1"/>
  <c r="P13" i="1"/>
  <c r="P18" i="1"/>
  <c r="P14" i="1"/>
  <c r="P17" i="1"/>
  <c r="P15" i="1"/>
  <c r="P10" i="1"/>
  <c r="P9" i="1"/>
  <c r="P21" i="1"/>
  <c r="P11" i="1"/>
  <c r="P23" i="1"/>
  <c r="P12" i="1"/>
  <c r="V4" i="1"/>
  <c r="V22" i="1"/>
  <c r="V6" i="1"/>
  <c r="V17" i="1"/>
  <c r="V21" i="1"/>
  <c r="V12" i="1"/>
  <c r="Q21" i="1" a="1"/>
  <c r="V10" i="1"/>
  <c r="Q8" i="1" a="1"/>
  <c r="AK3" i="1" a="1"/>
  <c r="Q19" i="1" a="1"/>
  <c r="Q17" i="1" a="1"/>
  <c r="V18" i="1"/>
  <c r="V3" i="1"/>
  <c r="V13" i="1"/>
  <c r="Q3" i="1" a="1"/>
  <c r="V23" i="1"/>
  <c r="V5" i="1"/>
  <c r="Q10" i="1" a="1"/>
  <c r="V14" i="1"/>
  <c r="Q23" i="1" a="1"/>
  <c r="V11" i="1"/>
  <c r="Q5" i="1" a="1"/>
  <c r="V24" i="1"/>
  <c r="Q20" i="1" a="1"/>
  <c r="Q25" i="1" a="1"/>
  <c r="V25" i="1"/>
  <c r="Q14" i="1" a="1"/>
  <c r="Q15" i="1" a="1"/>
  <c r="V8" i="1"/>
  <c r="V26" i="1"/>
  <c r="Q22" i="1" a="1"/>
  <c r="V19" i="1"/>
  <c r="V16" i="1"/>
  <c r="Q6" i="1" a="1"/>
  <c r="Q4" i="1" a="1"/>
  <c r="V7" i="1"/>
  <c r="V15" i="1"/>
  <c r="Q16" i="1" a="1"/>
  <c r="Q9" i="1" a="1"/>
  <c r="V9" i="1"/>
  <c r="Q13" i="1" a="1"/>
  <c r="Q11" i="1" a="1"/>
  <c r="Q26" i="1" a="1"/>
  <c r="Q24" i="1" a="1"/>
  <c r="Q7" i="1" a="1"/>
  <c r="Q12" i="1" a="1"/>
  <c r="Q18" i="1" a="1"/>
  <c r="V20" i="1"/>
  <c r="AH28" i="1" l="1"/>
  <c r="AH30" i="1"/>
  <c r="AH29" i="1"/>
  <c r="AH27" i="1"/>
  <c r="R6" i="1"/>
  <c r="W15" i="1" a="1"/>
  <c r="W17" i="1" a="1"/>
  <c r="R17" i="1" s="1"/>
  <c r="R7" i="1" s="1"/>
  <c r="R9" i="1" s="1"/>
  <c r="R19" i="1" s="1"/>
  <c r="W10" i="1" a="1"/>
  <c r="W16" i="1" a="1"/>
  <c r="R16" i="1" s="1"/>
  <c r="W26" i="1" a="1"/>
  <c r="R14" i="1" s="1"/>
  <c r="W14" i="1" a="1"/>
  <c r="W22" i="1" a="1"/>
  <c r="W12" i="1" a="1"/>
  <c r="R12" i="1" s="1"/>
  <c r="W18" i="1" a="1"/>
  <c r="R15" i="1" s="1"/>
  <c r="AL3" i="1" s="1" a="1"/>
  <c r="W11" i="1" a="1"/>
  <c r="R20" i="1" s="1"/>
  <c r="W9" i="1" a="1"/>
  <c r="W24" i="1" a="1"/>
  <c r="R13" i="1" s="1"/>
  <c r="W13" i="1" a="1"/>
  <c r="W7" i="1" a="1"/>
  <c r="R10" i="1" s="1"/>
  <c r="W20" i="1" a="1"/>
  <c r="W6" i="1" a="1"/>
  <c r="R4" i="1" s="1"/>
  <c r="W8" i="1" a="1"/>
  <c r="W21" i="1" a="1"/>
  <c r="R5" i="1" s="1"/>
  <c r="W5" i="1" a="1"/>
  <c r="W19" i="1" a="1"/>
  <c r="R11" i="1" s="1"/>
  <c r="R18" i="1" s="1"/>
  <c r="W23" i="1" a="1"/>
  <c r="W25" i="1" a="1"/>
  <c r="R26" i="1" s="1"/>
  <c r="R24" i="1" s="1"/>
  <c r="R25" i="1" s="1"/>
  <c r="W4" i="1" a="1"/>
  <c r="X3" i="1" a="1"/>
  <c r="X4" i="1" s="1" a="1"/>
  <c r="X5" i="1" s="1" a="1"/>
  <c r="X6" i="1" s="1" a="1"/>
  <c r="X7" i="1" s="1" a="1"/>
  <c r="X8" i="1" s="1" a="1"/>
  <c r="X9" i="1" s="1" a="1"/>
  <c r="X10" i="1" s="1" a="1"/>
  <c r="X11" i="1" s="1" a="1"/>
  <c r="X12" i="1" s="1" a="1"/>
  <c r="X13" i="1" s="1" a="1"/>
  <c r="X14" i="1" s="1" a="1"/>
  <c r="X15" i="1" s="1" a="1"/>
  <c r="X16" i="1" s="1" a="1"/>
  <c r="X17" i="1" s="1" a="1"/>
  <c r="X18" i="1" s="1" a="1"/>
  <c r="X19" i="1" s="1" a="1"/>
  <c r="X20" i="1" s="1" a="1"/>
  <c r="X21" i="1" s="1" a="1"/>
  <c r="X22" i="1" s="1" a="1"/>
  <c r="X23" i="1" s="1" a="1"/>
  <c r="X24" i="1" s="1" a="1"/>
  <c r="X25" i="1" s="1" a="1"/>
  <c r="X26" i="1" s="1" a="1"/>
  <c r="X27" i="1" s="1" a="1"/>
  <c r="X28" i="1" s="1" a="1"/>
  <c r="X29" i="1" s="1" a="1"/>
  <c r="X30" i="1" s="1" a="1"/>
  <c r="W3" i="1" a="1"/>
  <c r="AM3" i="1" a="1"/>
  <c r="AL2" i="1" l="1"/>
  <c r="R23" i="1" s="1"/>
  <c r="AH24" i="1"/>
  <c r="AH7" i="1"/>
  <c r="AH10" i="1"/>
  <c r="AH17" i="1"/>
  <c r="AH14" i="1"/>
  <c r="AH9" i="1"/>
  <c r="AH15" i="1"/>
  <c r="AH13" i="1"/>
  <c r="AH19" i="1"/>
  <c r="AH16" i="1"/>
  <c r="AH18" i="1"/>
  <c r="AH5" i="1"/>
  <c r="AH26" i="1"/>
  <c r="AH25" i="1"/>
  <c r="AN3" i="1" a="1"/>
  <c r="R22" i="1" l="1"/>
  <c r="AH23" i="1"/>
  <c r="R8" i="1"/>
  <c r="AH22" i="1" l="1"/>
  <c r="R3" i="1"/>
  <c r="R21" i="1"/>
  <c r="AH8" i="1"/>
  <c r="AH3" i="1" l="1"/>
  <c r="S3" i="1"/>
  <c r="AF3" i="1" l="1" a="1"/>
  <c r="T3" i="1"/>
  <c r="AG3" i="1" a="1"/>
  <c r="S4" i="1"/>
  <c r="AG4" i="1" l="1" a="1"/>
  <c r="AF4" i="1" a="1"/>
  <c r="AH4" i="1" s="1"/>
  <c r="T4" i="1"/>
  <c r="AN2" i="1" s="1"/>
  <c r="S5" i="1"/>
  <c r="AF5" i="1" l="1" a="1"/>
  <c r="AG5" i="1" a="1"/>
  <c r="T5" i="1"/>
  <c r="S6" i="1"/>
  <c r="AG6" i="1" l="1" a="1"/>
  <c r="AH6" i="1" s="1"/>
  <c r="AF6" i="1" a="1"/>
  <c r="S7" i="1"/>
  <c r="T6" i="1"/>
  <c r="AG7" i="1" l="1" a="1"/>
  <c r="AF7" i="1" a="1"/>
  <c r="S8" i="1"/>
  <c r="T7" i="1"/>
  <c r="AF8" i="1" l="1" a="1"/>
  <c r="AG8" i="1" a="1"/>
  <c r="T8" i="1"/>
  <c r="S9" i="1"/>
  <c r="AH11" i="1"/>
  <c r="AG9" i="1" l="1" a="1"/>
  <c r="AF9" i="1" a="1"/>
  <c r="S10" i="1"/>
  <c r="T9" i="1"/>
  <c r="AH12" i="1"/>
  <c r="AF10" i="1" l="1" a="1"/>
  <c r="AG10" i="1" a="1"/>
  <c r="S11" i="1"/>
  <c r="T10" i="1"/>
  <c r="AF11" i="1" l="1" a="1"/>
  <c r="AG11" i="1" a="1"/>
  <c r="S12" i="1"/>
  <c r="T11" i="1"/>
  <c r="AF12" i="1" l="1" a="1"/>
  <c r="AG12" i="1" a="1"/>
  <c r="S13" i="1"/>
  <c r="T12" i="1"/>
  <c r="AG13" i="1" l="1" a="1"/>
  <c r="AF13" i="1" a="1"/>
  <c r="S14" i="1"/>
  <c r="T13" i="1"/>
  <c r="AF14" i="1" l="1" a="1"/>
  <c r="AG14" i="1" a="1"/>
  <c r="T14" i="1"/>
  <c r="S15" i="1"/>
  <c r="AF15" i="1" l="1" a="1"/>
  <c r="AG15" i="1" a="1"/>
  <c r="T15" i="1"/>
  <c r="S16" i="1"/>
  <c r="AF16" i="1" l="1" a="1"/>
  <c r="AG16" i="1" a="1"/>
  <c r="S17" i="1"/>
  <c r="T16" i="1"/>
  <c r="AF17" i="1" l="1" a="1"/>
  <c r="AG17" i="1" a="1"/>
  <c r="S18" i="1"/>
  <c r="T17" i="1"/>
  <c r="AF18" i="1" l="1" a="1"/>
  <c r="AG18" i="1" a="1"/>
  <c r="S19" i="1"/>
  <c r="T18" i="1"/>
  <c r="AH21" i="1"/>
  <c r="AG19" i="1" l="1" a="1"/>
  <c r="AF19" i="1" a="1"/>
  <c r="S20" i="1"/>
  <c r="T19" i="1"/>
  <c r="AG20" i="1" l="1" a="1"/>
  <c r="AH20" i="1" s="1"/>
  <c r="AF20" i="1" a="1"/>
  <c r="T20" i="1"/>
  <c r="S21" i="1"/>
  <c r="AQ7" i="1"/>
  <c r="AQ6" i="1"/>
  <c r="AT6" i="1" s="1"/>
  <c r="AG21" i="1" l="1" a="1"/>
  <c r="AF21" i="1" a="1"/>
  <c r="T21" i="1"/>
  <c r="S22" i="1"/>
  <c r="AT7" i="1"/>
  <c r="AT2" i="1" s="1"/>
  <c r="AQ8" i="1"/>
  <c r="AQ2" i="1" s="1"/>
  <c r="AF22" i="1" l="1" a="1"/>
  <c r="AG22" i="1" a="1"/>
  <c r="S23" i="1"/>
  <c r="T22" i="1"/>
  <c r="AG23" i="1" l="1" a="1"/>
  <c r="AF23" i="1" a="1"/>
  <c r="S24" i="1"/>
  <c r="T23" i="1"/>
  <c r="AF24" i="1" l="1" a="1"/>
  <c r="AG24" i="1" a="1"/>
  <c r="S25" i="1"/>
  <c r="T24" i="1"/>
  <c r="AG25" i="1" l="1" a="1"/>
  <c r="AF25" i="1" a="1"/>
  <c r="T25" i="1"/>
  <c r="S26" i="1"/>
  <c r="AF26" i="1" l="1" a="1"/>
  <c r="AG26" i="1" a="1"/>
  <c r="S27" i="1"/>
  <c r="T26" i="1"/>
  <c r="AF27" i="1" l="1" a="1"/>
  <c r="AG27" i="1" a="1"/>
  <c r="T27" i="1"/>
  <c r="S28" i="1"/>
  <c r="S29" i="1" l="1"/>
  <c r="T28" i="1"/>
  <c r="AG28" i="1" a="1"/>
  <c r="AF28" i="1" a="1"/>
  <c r="AG29" i="1" l="1" a="1"/>
  <c r="AF29" i="1" a="1"/>
  <c r="T29" i="1"/>
  <c r="S30" i="1"/>
  <c r="AP7" i="1" l="1"/>
  <c r="AG30" i="1" a="1"/>
  <c r="T30" i="1"/>
  <c r="AF30" i="1" l="1" a="1"/>
  <c r="AP6" i="1"/>
  <c r="AS7" i="1"/>
  <c r="AS6" i="1" l="1"/>
  <c r="AS2" i="1" s="1"/>
  <c r="AP8" i="1"/>
  <c r="AP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<sst xmlns="http://schemas.openxmlformats.org/spreadsheetml/2006/main" count="190" uniqueCount="96">
  <si>
    <t>→</t>
  </si>
  <si>
    <t>@QTMESAFASTAMENT@</t>
  </si>
  <si>
    <t>@IDCONTROLFERIAS@</t>
  </si>
  <si>
    <t>@QTDIASABONOFERI@</t>
  </si>
  <si>
    <t>@QTFALTASPERIODO@</t>
  </si>
  <si>
    <t>ORGANIZAÇÃO</t>
  </si>
  <si>
    <t>ID</t>
  </si>
  <si>
    <t>@NRFERIAS@</t>
  </si>
  <si>
    <t>@NRGOZOFERIAS@</t>
  </si>
  <si>
    <t>@NRVINCULOM@</t>
  </si>
  <si>
    <t>@DTINIAQUISICAO@</t>
  </si>
  <si>
    <t>@DTFIMAQUISICAO@</t>
  </si>
  <si>
    <t>@DTINIGOZOFERIAS@</t>
  </si>
  <si>
    <t>@DTFIMGOZOFERIAS@</t>
  </si>
  <si>
    <t>@DTRETORNOFERIAS@</t>
  </si>
  <si>
    <t>Ferias</t>
  </si>
  <si>
    <t>Gozo</t>
  </si>
  <si>
    <t>Script</t>
  </si>
  <si>
    <t>VÍNCULO</t>
  </si>
  <si>
    <t>INÍCIO AQUISIÇÃO</t>
  </si>
  <si>
    <t>FIM AQUISIÇÃO</t>
  </si>
  <si>
    <t>MÊS AFASTAMENTO</t>
  </si>
  <si>
    <t>STATUS FÉRIAS</t>
  </si>
  <si>
    <t>DIAS AFASTAMENTO</t>
  </si>
  <si>
    <t>INICIO GOZO</t>
  </si>
  <si>
    <t>FIM GOZO</t>
  </si>
  <si>
    <t>DT RETORNO FÉRIAS</t>
  </si>
  <si>
    <t>DIAS ABONO</t>
  </si>
  <si>
    <t>DIAS FALTAS MÊS</t>
  </si>
  <si>
    <t xml:space="preserve">INSERT INTO FPA_GOZOFERIAS ( NRGOZOFERIAS, NRFERIAS, NRORG, DTINIGOZOFERIAS, DTFIMGOZOFERIAS, QTDIASABONOFERI, DTRETORNOFERIAS, DTINCLUSAO, NRORGINCLUSAO, CDOPERINCLUSAO, DSGOZOFERIAS ) VALUES ( @NRGOZOFERIAS@, @NRFERIAS@, @NRORG@, '@DTINIGOZOFERIAS@', '@DTFIMGOZOFERIAS@', '@QTDIASABONOFERI@', '@DTRETORNOFERIAS@', SYSDATE, @NRORG@, '000000099991', 'Migrado' ); </t>
  </si>
  <si>
    <t>/*Autaliza ou cria o novo codigo*/</t>
  </si>
  <si>
    <t>COMMIT;</t>
  </si>
  <si>
    <t>Mnemônico</t>
  </si>
  <si>
    <t>Tabela</t>
  </si>
  <si>
    <t>PK</t>
  </si>
  <si>
    <t>Inicio PK</t>
  </si>
  <si>
    <t>Fim PK</t>
  </si>
  <si>
    <t>Quantidade</t>
  </si>
  <si>
    <t>Organização</t>
  </si>
  <si>
    <t>FPA_FERIAS</t>
  </si>
  <si>
    <t>NRFERIAS</t>
  </si>
  <si>
    <t>FPA_GOZOFERIAS</t>
  </si>
  <si>
    <t>NRGOZOFERIAS</t>
  </si>
  <si>
    <t>CDMATRICULA</t>
  </si>
  <si>
    <t>NRVINCULOM</t>
  </si>
  <si>
    <t>DTINIAQUISICAO</t>
  </si>
  <si>
    <t>Ini. Aquisicao</t>
  </si>
  <si>
    <t>Linhas</t>
  </si>
  <si>
    <t>Base</t>
  </si>
  <si>
    <t xml:space="preserve"> </t>
  </si>
  <si>
    <t>nrferias</t>
  </si>
  <si>
    <t>Fim Aquisição</t>
  </si>
  <si>
    <t>PK_NRFERIAS_NEW</t>
  </si>
  <si>
    <t>--Busca de PK’s livres</t>
  </si>
  <si>
    <t>--Validações de PK</t>
  </si>
  <si>
    <t>DTINIGOZOFERIAS</t>
  </si>
  <si>
    <t>REPORT</t>
  </si>
  <si>
    <t>ID-DTINIAQUISICAO</t>
  </si>
  <si>
    <t>ID-DTINIAQUISICAO-DTINIGOZOFERIAS</t>
  </si>
  <si>
    <t>HASH FÉRIAS</t>
  </si>
  <si>
    <t>Vinculo</t>
  </si>
  <si>
    <t>Status Férias</t>
  </si>
  <si>
    <t>Período de férias repetido na planilha?</t>
  </si>
  <si>
    <t>Planilha usa:</t>
  </si>
  <si>
    <t>ID-IniAquisicao</t>
  </si>
  <si>
    <t>Período de férias na base:</t>
  </si>
  <si>
    <t>Período de gozo existente?</t>
  </si>
  <si>
    <t>HASH GOZO</t>
  </si>
  <si>
    <t>ID-IniAquisicaoIniGozo</t>
  </si>
  <si>
    <t>nrgozo</t>
  </si>
  <si>
    <t>Usar PK nova ou existe?
Inserir período de férias?</t>
  </si>
  <si>
    <t>inserir período de gozo?</t>
  </si>
  <si>
    <t>@NRORG@</t>
  </si>
  <si>
    <t>Vinculo existente?</t>
  </si>
  <si>
    <t>ID Vinculo</t>
  </si>
  <si>
    <t>Dados (tratados)</t>
  </si>
  <si>
    <t>Gozo Existente</t>
  </si>
  <si>
    <t>Hash do período de gozo existente</t>
  </si>
  <si>
    <t>report</t>
  </si>
  <si>
    <t>Não excluir</t>
  </si>
  <si>
    <t>Excluir apenas</t>
  </si>
  <si>
    <t>a partir da</t>
  </si>
  <si>
    <t>linha 23</t>
  </si>
  <si>
    <t>SELECT/* VH.DTMESCOMPETENC,*/
   VM.CDMATRICULA, VM.NRVINCULOM,
   TO_CHAR( FE.DTINIAQUISICAO, 'DD/MM/YYYY' ) DTINIAQUISICAO,   FE.NRFERIAS,
   TO_CHAR( GF.DTINIGOZOFERIAS, 'DD/MM/YYYY' ) DTINIGOZOFERIAS, GF.NRGOZOFERIAS,
   '  - Matricula ' || VM.CDMATRICULA || ', Nro Vinculo ' || VM.NRVINCULOM  ||
      ', periodo (' || FE.NRFERIAS || ') ' ||
      TO_CHAR( FE.DTINIAQUISICAO, 'DD/MM/YYYY' ) || ' a ' ||
      TO_CHAR( FE.DTFIMAQUISICAO, 'DD/MM/YYYY' ) ||
      CASE WHEN GF.DTINIGOZOFERIAS IS NOT NULL THEN
         ', gozo (' || GF.NRGOZOFERIAS || ') ' ||
         TO_CHAR( GF.DTINIGOZOFERIAS, 'DD/MM/YYYY' ) || ' a ' ||
         TO_CHAR( GF.DTFIMGOZOFERIAS, 'DD/MM/YYYY' )
      END REPORT
FROM GPE_VINCULOM VM
JOIN GPE_VINCULOH VH ON VH.NRORG          = VM.NRORG
                    AND VH.NRVINCULOM     = VM.NRVINCULOM
                    AND VH.DTMESCOMPETENC = ( SELECT DTMESCOMPETENC
                                              FROM ( SELECT DTMESCOMPETENC FROM GPE_VINCULOH
                                                     WHERE NRORG          = VH.NRORG
                                                       AND NRVINCULOM     = VH.NRVINCULOM
                                                       AND DTMESCOMPETENC &lt;= :P_DTMESCOMPETENC 
                                                      ORDER BY DTMESCOMPETENC DESC )
                                              WHERE ROWNUM = 1 )
LEFT JOIN FPA_FERIAS FE ON FE.NRORG      = VM.NRORG
                       AND FE.NRVINCULOM = VM.NRVINCULOM
LEFT JOIN FPA_GOZOFERIAS GF ON GF.NRORG    = FE.NRORG
                           AND GF.NRFERIAS = FE.NRFERIAS
WHERE VM.NRORG = :P_NRORG
ORDER BY VM.CDMATRICULA, FE.DTINIAQUISICAO, GF.DTINIGOZOFERIAS;</t>
  </si>
  <si>
    <t>2_287</t>
  </si>
  <si>
    <t>2_363</t>
  </si>
  <si>
    <t>2_378</t>
  </si>
  <si>
    <t>2_385</t>
  </si>
  <si>
    <t>2_386</t>
  </si>
  <si>
    <t>2_387</t>
  </si>
  <si>
    <t>2_389</t>
  </si>
  <si>
    <t>2_394</t>
  </si>
  <si>
    <t>GOZADO_INTEGRAL</t>
  </si>
  <si>
    <t>GOZADO_PARCIAL</t>
  </si>
  <si>
    <t xml:space="preserve">INSERT INTO FPA_FERIAS ( NRFERIAS, NRVINCULOM, NRTIPOFERIAS, NRORG, DTINIAQUISICAO, DTFIMAQUISICAO, QTMESAFASTAMENT, QTFALTASPERIODO, DTINCLUSAO, NRORGINCLUSAO, CDOPERINCLUSAO, IDCONTROLFERIAS ) VALUES ( @NRFERIAS@, (SELECT /*MAX(*/NRVINCULOM/*)*/ FROM GPE_VINCULOM WHERE NRORG = @NRORG@ AND CDMATRICULA = '@NRVINCULOM@' ), '1', @NRORG@, '@DTINIAQUISICAO@', '@DTFIMAQUISICAO@', '@QTMESAFASTAMENT@', '@QTFALTASPERIODO@', SYSDATE, @NRORG@, '000000099991', '@IDCONTROLFERIAS@' ); </t>
  </si>
  <si>
    <t>Matriculas Duplicadas!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</si>
</sst>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\-??_-;_-@_-"/>
    <numFmt numFmtId="165" formatCode="d/m/yyyy"/>
  </numFmts>
  <fonts count="3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2A6099"/>
      <name val="Calibri"/>
      <family val="2"/>
      <scheme val="minor"/>
    </font>
    <font>
      <b/>
      <sz val="8"/>
      <color rgb="FF00A933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rgb="FF000000"/>
      <name val="Calibri Light"/>
      <family val="2"/>
      <charset val="1"/>
    </font>
    <font>
      <b/>
      <sz val="9"/>
      <color rgb="FF000000"/>
      <name val="Calibri Light"/>
      <family val="2"/>
      <charset val="1"/>
    </font>
    <font>
      <sz val="8"/>
      <name val="Calibri Light"/>
      <family val="2"/>
      <charset val="1"/>
    </font>
    <font>
      <b/>
      <sz val="9"/>
      <color rgb="FF000000"/>
      <name val="Calibri Light"/>
      <family val="2"/>
    </font>
    <font>
      <i/>
      <sz val="8"/>
      <name val="Calibri Light"/>
      <family val="2"/>
    </font>
    <font>
      <sz val="9"/>
      <name val="Calibri Light"/>
      <family val="2"/>
      <charset val="1"/>
    </font>
    <font>
      <sz val="11"/>
      <color indexed="8"/>
      <name val="Calibri"/>
      <family val="2"/>
      <scheme val="minor"/>
    </font>
    <font>
      <sz val="8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8"/>
      <color rgb="FF000000"/>
      <name val="Calibri"/>
      <family val="2"/>
      <charset val="1"/>
      <scheme val="minor"/>
    </font>
    <font>
      <i/>
      <sz val="8"/>
      <color rgb="FFFF0000"/>
      <name val="Calibri"/>
      <family val="2"/>
    </font>
    <font>
      <i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 Light"/>
      <family val="2"/>
      <charset val="1"/>
    </font>
    <font>
      <sz val="8"/>
      <color rgb="FF000000"/>
      <name val="Calibri"/>
      <family val="2"/>
    </font>
    <font>
      <sz val="8"/>
      <color rgb="FFFF0000"/>
      <name val="Calibri"/>
      <family val="2"/>
      <charset val="1"/>
    </font>
    <font>
      <b/>
      <sz val="8"/>
      <color rgb="FFFF0000"/>
      <name val="Calibri"/>
      <family val="2"/>
    </font>
    <font>
      <sz val="8"/>
      <color rgb="FFFF0000"/>
      <name val="Calibri"/>
      <family val="2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EEEEEE"/>
        <bgColor rgb="FFFFFFD7"/>
      </patternFill>
    </fill>
    <fill>
      <patternFill patternType="solid">
        <fgColor rgb="FFEEEEEE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8C8"/>
        <bgColor rgb="FFFFFFD7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0.249977111117893"/>
        <bgColor rgb="FFFFFFD7"/>
      </patternFill>
    </fill>
    <fill>
      <patternFill patternType="solid">
        <fgColor theme="0" tint="-4.9989318521683403E-2"/>
        <bgColor rgb="FFFFFFD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Border="0" applyProtection="0"/>
    <xf numFmtId="0" fontId="17" fillId="0" borderId="0"/>
    <xf numFmtId="0" fontId="1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49" fontId="0" fillId="0" borderId="0" xfId="0" applyNumberFormat="1"/>
    <xf numFmtId="49" fontId="18" fillId="6" borderId="0" xfId="0" applyNumberFormat="1" applyFont="1" applyFill="1" applyAlignment="1">
      <alignment wrapText="1"/>
    </xf>
    <xf numFmtId="49" fontId="0" fillId="7" borderId="0" xfId="0" applyNumberFormat="1" applyFill="1"/>
    <xf numFmtId="49" fontId="19" fillId="0" borderId="0" xfId="0" applyNumberFormat="1" applyFont="1"/>
    <xf numFmtId="0" fontId="0" fillId="4" borderId="0" xfId="0" applyFill="1"/>
    <xf numFmtId="49" fontId="3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vertical="top" wrapText="1"/>
    </xf>
    <xf numFmtId="0" fontId="3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wrapText="1"/>
    </xf>
    <xf numFmtId="0" fontId="7" fillId="11" borderId="0" xfId="0" applyFont="1" applyFill="1" applyAlignment="1">
      <alignment horizontal="left" vertical="center"/>
    </xf>
    <xf numFmtId="0" fontId="9" fillId="4" borderId="0" xfId="0" applyFont="1" applyFill="1"/>
    <xf numFmtId="0" fontId="3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wrapText="1"/>
    </xf>
    <xf numFmtId="0" fontId="7" fillId="12" borderId="0" xfId="0" applyFont="1" applyFill="1" applyAlignment="1">
      <alignment horizontal="left" vertical="center"/>
    </xf>
    <xf numFmtId="0" fontId="9" fillId="8" borderId="0" xfId="0" applyFont="1" applyFill="1"/>
    <xf numFmtId="0" fontId="5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12" fillId="10" borderId="0" xfId="0" quotePrefix="1" applyFont="1" applyFill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49" fontId="25" fillId="7" borderId="0" xfId="0" applyNumberFormat="1" applyFont="1" applyFill="1"/>
    <xf numFmtId="49" fontId="0" fillId="4" borderId="0" xfId="0" applyNumberFormat="1" applyFill="1"/>
    <xf numFmtId="0" fontId="20" fillId="0" borderId="0" xfId="0" applyFont="1"/>
    <xf numFmtId="0" fontId="21" fillId="0" borderId="0" xfId="0" applyFont="1"/>
    <xf numFmtId="0" fontId="3" fillId="14" borderId="0" xfId="0" applyFont="1" applyFill="1"/>
    <xf numFmtId="0" fontId="20" fillId="14" borderId="0" xfId="0" applyFont="1" applyFill="1"/>
    <xf numFmtId="0" fontId="22" fillId="14" borderId="0" xfId="0" applyFont="1" applyFill="1" applyAlignment="1">
      <alignment horizontal="center" vertical="center"/>
    </xf>
    <xf numFmtId="0" fontId="18" fillId="14" borderId="0" xfId="0" applyFont="1" applyFill="1"/>
    <xf numFmtId="0" fontId="25" fillId="14" borderId="0" xfId="0" applyFont="1" applyFill="1"/>
    <xf numFmtId="0" fontId="26" fillId="14" borderId="0" xfId="0" applyFont="1" applyFill="1" applyAlignment="1">
      <alignment horizontal="center"/>
    </xf>
    <xf numFmtId="0" fontId="18" fillId="14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0" fontId="18" fillId="4" borderId="0" xfId="0" applyFont="1" applyFill="1"/>
    <xf numFmtId="0" fontId="14" fillId="5" borderId="0" xfId="0" applyFont="1" applyFill="1" applyAlignment="1">
      <alignment horizontal="center" vertical="center" wrapText="1"/>
    </xf>
    <xf numFmtId="0" fontId="13" fillId="13" borderId="0" xfId="0" quotePrefix="1" applyFont="1" applyFill="1" applyAlignment="1">
      <alignment horizontal="left" vertical="center"/>
    </xf>
    <xf numFmtId="0" fontId="15" fillId="15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left" vertical="center"/>
    </xf>
    <xf numFmtId="0" fontId="28" fillId="4" borderId="0" xfId="0" applyFont="1" applyFill="1"/>
    <xf numFmtId="0" fontId="18" fillId="4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left"/>
    </xf>
    <xf numFmtId="0" fontId="18" fillId="8" borderId="0" xfId="0" applyFont="1" applyFill="1" applyAlignment="1">
      <alignment horizontal="left" vertical="center" wrapText="1"/>
    </xf>
    <xf numFmtId="0" fontId="22" fillId="13" borderId="0" xfId="0" applyFont="1" applyFill="1" applyAlignment="1">
      <alignment horizontal="center" vertical="center"/>
    </xf>
    <xf numFmtId="14" fontId="29" fillId="0" borderId="0" xfId="0" applyNumberFormat="1" applyFont="1" applyAlignment="1">
      <alignment horizontal="center"/>
    </xf>
    <xf numFmtId="0" fontId="29" fillId="0" borderId="0" xfId="0" applyFont="1"/>
    <xf numFmtId="49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0" fillId="16" borderId="0" xfId="0" applyNumberFormat="1" applyFill="1"/>
    <xf numFmtId="0" fontId="19" fillId="0" borderId="0" xfId="0" applyNumberFormat="1" applyFont="1" applyFill="1"/>
  </cellXfs>
  <cellStyles count="5">
    <cellStyle name="Normal" xfId="0" builtinId="0"/>
    <cellStyle name="Normal 2" xfId="2" xr:uid="{7DA6C1C3-EAC2-4924-97D8-5578A2F21A8B}"/>
    <cellStyle name="Normal 3" xfId="3" xr:uid="{EE7200C9-2AB2-400F-8E12-103671805DF3}"/>
    <cellStyle name="Vírgula 2" xfId="1" xr:uid="{00000000-0005-0000-0000-000006000000}"/>
    <cellStyle name="Vírgula 3" xfId="4" xr:uid="{F2F158FC-E6ED-4CD3-96A8-DD878B39F610}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162"/>
  <sheetViews>
    <sheetView tabSelected="1"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1.5703125" defaultRowHeight="15" x14ac:dyDescent="0.25"/>
  <cols>
    <col min="1" max="1" width="11.5703125" style="17" bestFit="1" customWidth="1"/>
    <col min="2" max="2" width="17.7109375" style="7" bestFit="1" customWidth="1"/>
    <col min="3" max="3" width="16" style="40" bestFit="1" customWidth="1"/>
    <col min="4" max="4" width="18.85546875" style="6" bestFit="1" customWidth="1"/>
    <col min="5" max="5" width="18.5703125" style="6" bestFit="1" customWidth="1"/>
    <col min="6" max="6" width="19.140625" style="6" bestFit="1" customWidth="1"/>
    <col min="7" max="7" width="13.7109375" style="40" bestFit="1" customWidth="1"/>
    <col min="8" max="8" width="12.140625" style="40" bestFit="1" customWidth="1"/>
    <col min="9" max="9" width="18.5703125" style="2" bestFit="1" customWidth="1"/>
    <col min="10" max="11" width="16.5703125" style="2" bestFit="1" customWidth="1"/>
    <col min="12" max="12" width="9.85546875" style="2" customWidth="1"/>
    <col min="13" max="13" width="10.85546875" style="24" bestFit="1" customWidth="1"/>
    <col min="14" max="14" width="8.5703125" style="62" bestFit="1" customWidth="1"/>
    <col min="15" max="15" width="14.28515625" style="62" bestFit="1" customWidth="1"/>
    <col min="16" max="16" width="7.42578125" style="62" bestFit="1" customWidth="1"/>
    <col min="17" max="17" width="8.7109375" style="62" bestFit="1" customWidth="1"/>
    <col min="18" max="18" width="7.42578125" style="62" bestFit="1" customWidth="1"/>
    <col min="19" max="19" width="13.7109375" style="24" bestFit="1" customWidth="1"/>
    <col min="20" max="20" width="10.140625" style="24" bestFit="1" customWidth="1"/>
    <col min="21" max="21" width="8.7109375" style="24" customWidth="1"/>
    <col min="22" max="22" width="8.5703125" style="24" bestFit="1" customWidth="1"/>
    <col min="23" max="23" width="8.5703125" style="24" customWidth="1"/>
    <col min="24" max="24" width="14" style="24" bestFit="1" customWidth="1"/>
    <col min="25" max="25" width="13.28515625" style="24" bestFit="1" customWidth="1"/>
    <col min="26" max="26" width="15.140625" style="24" bestFit="1" customWidth="1"/>
    <col min="27" max="27" width="15.85546875" style="24" bestFit="1" customWidth="1"/>
    <col min="28" max="28" width="15.85546875" style="24" customWidth="1"/>
    <col min="29" max="29" width="15.7109375" style="24" bestFit="1" customWidth="1"/>
    <col min="30" max="30" width="16.42578125" style="24" bestFit="1" customWidth="1"/>
    <col min="31" max="31" width="16.28515625" style="24" bestFit="1" customWidth="1"/>
    <col min="32" max="33" width="50.7109375" style="24" customWidth="1"/>
    <col min="34" max="34" width="40.7109375" style="28" customWidth="1"/>
    <col min="35" max="35" width="16.28515625" style="43" bestFit="1" customWidth="1"/>
    <col min="36" max="36" width="12.7109375" style="44" bestFit="1" customWidth="1"/>
    <col min="37" max="37" width="8.7109375" style="53" customWidth="1"/>
    <col min="38" max="38" width="11.85546875" style="64" bestFit="1" customWidth="1"/>
    <col min="39" max="39" width="31.85546875" style="53" customWidth="1"/>
    <col min="40" max="40" width="83.7109375" style="64" customWidth="1"/>
    <col min="41" max="41" width="11.28515625" style="2" bestFit="1" customWidth="1"/>
    <col min="42" max="43" width="25.7109375" style="2" customWidth="1"/>
    <col min="44" max="44" width="11.28515625" style="2" bestFit="1" customWidth="1"/>
    <col min="45" max="46" width="25.7109375" style="2" customWidth="1"/>
    <col min="47" max="47" width="11.28515625" style="2" bestFit="1" customWidth="1"/>
    <col min="48" max="48" width="27.7109375" style="2" customWidth="1"/>
    <col min="49" max="49" width="25.7109375" style="2" customWidth="1"/>
    <col min="50" max="50" width="7" style="2" bestFit="1" customWidth="1"/>
    <col min="61" max="16384" width="11.5703125" style="2"/>
  </cols>
  <sheetData>
    <row r="1" spans="1:50" x14ac:dyDescent="0.25">
      <c r="A1" s="15" t="s">
        <v>0</v>
      </c>
      <c r="B1" s="1" t="s">
        <v>0</v>
      </c>
      <c r="C1" s="38" t="s">
        <v>0</v>
      </c>
      <c r="D1" s="1" t="s">
        <v>1</v>
      </c>
      <c r="E1" s="38" t="s">
        <v>0</v>
      </c>
      <c r="F1" s="1"/>
      <c r="G1" s="38" t="s">
        <v>0</v>
      </c>
      <c r="H1" s="38" t="s">
        <v>0</v>
      </c>
      <c r="I1" s="1" t="s">
        <v>0</v>
      </c>
      <c r="J1" s="1" t="s">
        <v>3</v>
      </c>
      <c r="K1" s="1" t="s">
        <v>4</v>
      </c>
      <c r="L1" s="1"/>
      <c r="M1" s="33" t="s">
        <v>5</v>
      </c>
      <c r="N1" s="33" t="s">
        <v>72</v>
      </c>
      <c r="S1" s="35" t="s">
        <v>52</v>
      </c>
      <c r="T1" s="33" t="s">
        <v>7</v>
      </c>
      <c r="U1" s="33"/>
      <c r="V1" s="53"/>
      <c r="W1" s="53"/>
      <c r="X1" s="33" t="s">
        <v>8</v>
      </c>
      <c r="Y1" s="29" t="s">
        <v>9</v>
      </c>
      <c r="Z1" s="30" t="s">
        <v>10</v>
      </c>
      <c r="AA1" s="30" t="s">
        <v>11</v>
      </c>
      <c r="AB1" s="29" t="s">
        <v>2</v>
      </c>
      <c r="AC1" s="30" t="s">
        <v>12</v>
      </c>
      <c r="AD1" s="30" t="s">
        <v>13</v>
      </c>
      <c r="AE1" s="30" t="s">
        <v>14</v>
      </c>
      <c r="AF1" s="21" t="s">
        <v>15</v>
      </c>
      <c r="AG1" s="21" t="s">
        <v>16</v>
      </c>
      <c r="AH1" s="25" t="s">
        <v>17</v>
      </c>
      <c r="AO1" s="8"/>
      <c r="AP1" s="36" t="s">
        <v>53</v>
      </c>
      <c r="AQ1" s="9"/>
      <c r="AR1"/>
      <c r="AS1" s="36" t="s">
        <v>54</v>
      </c>
      <c r="AT1" s="9"/>
      <c r="AU1"/>
      <c r="AV1" s="37" t="s">
        <v>30</v>
      </c>
      <c r="AW1" s="9"/>
      <c r="AX1"/>
    </row>
    <row r="2" spans="1:50" ht="225" x14ac:dyDescent="0.25">
      <c r="A2" s="16" t="s">
        <v>18</v>
      </c>
      <c r="B2" s="3" t="s">
        <v>19</v>
      </c>
      <c r="C2" s="39" t="s">
        <v>20</v>
      </c>
      <c r="D2" s="4" t="s">
        <v>21</v>
      </c>
      <c r="E2" s="3" t="s">
        <v>22</v>
      </c>
      <c r="F2" s="3" t="s">
        <v>23</v>
      </c>
      <c r="G2" s="39" t="s">
        <v>24</v>
      </c>
      <c r="H2" s="39" t="s">
        <v>25</v>
      </c>
      <c r="I2" s="3" t="s">
        <v>26</v>
      </c>
      <c r="J2" s="5" t="s">
        <v>27</v>
      </c>
      <c r="K2" s="5" t="s">
        <v>28</v>
      </c>
      <c r="L2" s="5"/>
      <c r="M2" s="18">
        <v>1456</v>
      </c>
      <c r="N2" s="59"/>
      <c r="O2" s="59" t="s">
        <v>59</v>
      </c>
      <c r="P2" s="59" t="s">
        <v>62</v>
      </c>
      <c r="Q2" s="59" t="s">
        <v>65</v>
      </c>
      <c r="R2" s="59" t="s">
        <v>70</v>
      </c>
      <c r="S2" s="19">
        <v>0</v>
      </c>
      <c r="T2" s="31"/>
      <c r="U2" s="31" t="s">
        <v>67</v>
      </c>
      <c r="V2" s="31" t="s">
        <v>66</v>
      </c>
      <c r="W2" s="31" t="s">
        <v>71</v>
      </c>
      <c r="X2" s="19">
        <v>0</v>
      </c>
      <c r="Y2" s="31" t="s">
        <v>18</v>
      </c>
      <c r="Z2" s="31" t="s">
        <v>19</v>
      </c>
      <c r="AA2" s="31" t="s">
        <v>20</v>
      </c>
      <c r="AB2" s="31"/>
      <c r="AC2" s="31" t="s">
        <v>24</v>
      </c>
      <c r="AD2" s="31" t="s">
        <v>25</v>
      </c>
      <c r="AE2" s="31" t="s">
        <v>26</v>
      </c>
      <c r="AF2" s="22" t="s">
        <v>94</v>
      </c>
      <c r="AG2" s="22" t="s">
        <v>29</v>
      </c>
      <c r="AH2" s="26"/>
      <c r="AK2" s="63" t="s">
        <v>73</v>
      </c>
      <c r="AL2" s="65" t="str">
        <f ca="1" xml:space="preserve"> " - Vínculos não encontrados no sistema. " &amp; ( COUNTA(_xlfn.ANCHORARRAY( AL3) ) ) &amp; " ocorrência(s):"</f>
        <v xml:space="preserve"> - Vínculos não encontrados no sistema. 28 ocorrência(s):</v>
      </c>
      <c r="AM2" s="63" t="s">
        <v>77</v>
      </c>
      <c r="AN2" s="65" t="str">
        <f ca="1" xml:space="preserve"> " - Gozo de férias existêntes. Não foram inseridos ou atualizados. " &amp; ( COUNTA(_xlfn.ANCHORARRAY( AN3) ) ) &amp; " ocorrência(s):"</f>
        <v xml:space="preserve"> - Gozo de férias existêntes. Não foram inseridos ou atualizados. 1 ocorrência(s):</v>
      </c>
      <c r="AO2" s="8"/>
      <c r="AP2" s="20" t="str">
        <f ca="1">"/*"&amp;AP4&amp;"*/
SELECT A + 1 A, B - 1 B, B - A - 1 LENGHT, (SELECT TO_NUMBER(NRSEQUENCIAL) FROM NOVOCODIGO WHERE NRORG = "&amp;AP9&amp;" AND CDCONTADOR = '"&amp;AP4&amp;"') NOVOCODIGO FROM (SELECT 0 A, MIN("&amp;AP5&amp;") B FROM "&amp;AP4&amp;" WHERE NRORG = "&amp;AP9&amp;" UNION ALL SELECT "&amp;AP5&amp;", LEAD("&amp;AP5&amp;") OVER (ORDER BY "&amp;AP5&amp;") FROM "&amp;AP4&amp;" WHERE NRORG = "&amp;AP9&amp;" ) WHERE B - A &gt; "&amp;AP8&amp;" OR B IS NULL ORDER BY A;"</f>
        <v>/*FPA_FERIAS*/
SELECT A + 1 A, B - 1 B, B - A - 1 LENGHT, (SELECT TO_NUMBER(NRSEQUENCIAL) FROM NOVOCODIGO WHERE NRORG = 1456 AND CDCONTADOR = 'FPA_FERIAS') NOVOCODIGO FROM (SELECT 0 A, MIN(NRFERIAS) B FROM FPA_FERIAS WHERE NRORG = 1456 UNION ALL SELECT NRFERIAS, LEAD(NRFERIAS) OVER (ORDER BY NRFERIAS) FROM FPA_FERIAS WHERE NRORG = 1456 ) WHERE B - A &gt; 24 OR B IS NULL ORDER BY A;</v>
      </c>
      <c r="AQ2" s="20" t="str">
        <f ca="1">"/*"&amp;AQ4&amp;"*/
SELECT A + 1 A, B - 1 B, B - A - 1 LENGHT, (SELECT TO_NUMBER(NRSEQUENCIAL) FROM NOVOCODIGO WHERE NRORG = "&amp;AQ9&amp;" AND CDCONTADOR = '"&amp;AQ4&amp;"') NOVOCODIGO FROM (SELECT 0 A, MIN("&amp;AQ5&amp;") B FROM "&amp;AQ4&amp;" WHERE NRORG = "&amp;AQ9&amp;" UNION ALL SELECT "&amp;AQ5&amp;", LEAD("&amp;AQ5&amp;") OVER (ORDER BY "&amp;AQ5&amp;") FROM "&amp;AQ4&amp;" WHERE NRORG = "&amp;AQ9&amp;" ) WHERE B - A &gt; "&amp;AQ8&amp;" OR B IS NULL ORDER BY A;"</f>
        <v>/*FPA_GOZOFERIAS*/
SELECT A + 1 A, B - 1 B, B - A - 1 LENGHT, (SELECT TO_NUMBER(NRSEQUENCIAL) FROM NOVOCODIGO WHERE NRORG = 1456 AND CDCONTADOR = 'FPA_GOZOFERIAS') NOVOCODIGO FROM (SELECT 0 A, MIN(NRGOZOFERIAS) B FROM FPA_GOZOFERIAS WHERE NRORG = 1456 UNION ALL SELECT NRGOZOFERIAS, LEAD(NRGOZOFERIAS) OVER (ORDER BY NRGOZOFERIAS) FROM FPA_GOZOFERIAS WHERE NRORG = 1456 ) WHERE B - A &gt; 28 OR B IS NULL ORDER BY A;</v>
      </c>
      <c r="AR2"/>
      <c r="AS2" s="20" t="str">
        <f ca="1">"SELECT DECODE(COUNT(1),0,'OK',COUNT(1)||' conflito(s)') STATUS, '"&amp;AS4&amp;"' TABELA FROM "&amp;AS4&amp;" WHERE NRORG = "&amp;AS9&amp;" AND "&amp;AS5&amp;" BETWEEN "&amp;AS6&amp;" AND "&amp;AS7&amp;" UNION ALL "</f>
        <v xml:space="preserve">SELECT DECODE(COUNT(1),0,'OK',COUNT(1)||' conflito(s)') STATUS, 'FPA_FERIAS' TABELA FROM FPA_FERIAS WHERE NRORG = 1456 AND NRFERIAS BETWEEN 1 AND 24 UNION ALL </v>
      </c>
      <c r="AT2" s="20" t="str">
        <f ca="1">"SELECT DECODE(COUNT(1),0,'OK',COUNT(1)||' conflito(s)') STATUS, '"&amp;AT4&amp;"' TABELA FROM "&amp;AT4&amp;" WHERE NRORG = "&amp;AT9&amp;" AND "&amp;AT5&amp;" BETWEEN "&amp;AT6&amp;" AND "&amp;AT7&amp;" /*UNION ALL*/ ;"</f>
        <v>SELECT DECODE(COUNT(1),0,'OK',COUNT(1)||' conflito(s)') STATUS, 'FPA_GOZOFERIAS' TABELA FROM FPA_GOZOFERIAS WHERE NRORG = 1456 AND NRGOZOFERIAS BETWEEN 1 AND 28 /*UNION ALL*/ ;</v>
      </c>
      <c r="AU2"/>
      <c r="AV2" s="20" t="str">
        <f ca="1">"MERGE INTO NOVOCODIGO NC
  USING ( SELECT LPAD( MAX( "&amp;AV5&amp;" ) + 1, 20, '0' ) NRSEQUENCIAL
          FROM "&amp;AV4&amp;"
          WHERE NRORG = "&amp;AV9&amp;"
        ) TABELA
  ON (     NC.NRORG      = "&amp;AV9&amp;"
       AND NC.CDCONTADOR = '"&amp;AV4&amp;"' )
  WHEN     MATCHED THEN
    UPDATE SET NC.NRSEQUENCIAL = TABELA.NRSEQUENCIAL
  WHEN NOT MATCHED THEN
    INSERT ( CDCONTADOR, NRSEQUENCIAL, NRORG, DTINCLUSAO )
    VALUES ( '"&amp;AV4&amp;"', TABELA.NRSEQUENCIAL, "&amp;AV9&amp;", SYSDATE );"</f>
        <v>MERGE INTO NOVOCODIGO NC
  USING ( SELECT LPAD( MAX( NRFERIAS ) + 1, 20, '0' ) NRSEQUENCIAL
          FROM FPA_FERIAS
          WHERE NRORG = 1456
        ) TABELA
  ON (     NC.NRORG      = 1456
       AND NC.CDCONTADOR = 'FPA_FERIAS' )
  WHEN     MATCHED THEN
    UPDATE SET NC.NRSEQUENCIAL = TABELA.NRSEQUENCIAL
  WHEN NOT MATCHED THEN
    INSERT ( CDCONTADOR, NRSEQUENCIAL, NRORG, DTINCLUSAO )
    VALUES ( 'FPA_FERIAS', TABELA.NRSEQUENCIAL, 1456, SYSDATE );</v>
      </c>
      <c r="AW2" s="20" t="str">
        <f ca="1">"MERGE INTO NOVOCODIGO NC
  USING ( SELECT LPAD( MAX( "&amp;AW5&amp;" ) + 1, 20, '0' ) NRSEQUENCIAL
          FROM "&amp;AW4&amp;"
          WHERE NRORG = "&amp;AW9&amp;"
        ) TABELA
  ON (     NC.NRORG      = "&amp;AW9&amp;"
       AND NC.CDCONTADOR = '"&amp;AW4&amp;"' )
  WHEN     MATCHED THEN
    UPDATE SET NC.NRSEQUENCIAL = TABELA.NRSEQUENCIAL
  WHEN NOT MATCHED THEN
    INSERT ( CDCONTADOR, NRSEQUENCIAL, NRORG, DTINCLUSAO )
    VALUES ( '"&amp;AW4&amp;"', TABELA.NRSEQUENCIAL, "&amp;AW9&amp;", SYSDATE );"</f>
        <v>MERGE INTO NOVOCODIGO NC
  USING ( SELECT LPAD( MAX( NRGOZOFERIAS ) + 1, 20, '0' ) NRSEQUENCIAL
          FROM FPA_GOZOFERIAS
          WHERE NRORG = 1456
        ) TABELA
  ON (     NC.NRORG      = 1456
       AND NC.CDCONTADOR = 'FPA_GOZOFERIAS' )
  WHEN     MATCHED THEN
    UPDATE SET NC.NRSEQUENCIAL = TABELA.NRSEQUENCIAL
  WHEN NOT MATCHED THEN
    INSERT ( CDCONTADOR, NRSEQUENCIAL, NRORG, DTINCLUSAO )
    VALUES ( 'FPA_GOZOFERIAS', TABELA.NRSEQUENCIAL, 1456, SYSDATE );</v>
      </c>
      <c r="AX2" s="20" t="s">
        <v>31</v>
      </c>
    </row>
    <row r="3" spans="1:50" x14ac:dyDescent="0.25">
      <c r="A3" s="69" t="s">
        <v>84</v>
      </c>
      <c r="B3" s="67">
        <v>44210</v>
      </c>
      <c r="C3" s="67">
        <v>44574</v>
      </c>
      <c r="D3" s="68"/>
      <c r="E3" s="68" t="s">
        <v>92</v>
      </c>
      <c r="F3" s="68"/>
      <c r="G3" s="67">
        <v>44781</v>
      </c>
      <c r="H3" s="67">
        <v>44800</v>
      </c>
      <c r="I3" s="67">
        <v>44801</v>
      </c>
      <c r="J3" s="68">
        <v>10</v>
      </c>
      <c r="K3" s="68">
        <v>0</v>
      </c>
      <c r="M3" s="34" t="s">
        <v>63</v>
      </c>
      <c r="N3" s="62">
        <f>$M$2</f>
        <v>1456</v>
      </c>
      <c r="O3" s="62" t="str">
        <f>Y3 &amp; Z3</f>
        <v>2_28714/01/2021</v>
      </c>
      <c r="P3" s="62" t="str">
        <f>IF( COUNTIF( $O$3:O3, O3 ) &lt;= 1, "único", "existente" )</f>
        <v>único</v>
      </c>
      <c r="Q3" s="62" t="str" cm="1">
        <f t="array" aca="1" ref="Q3" ca="1">_xlfn.XLOOKUP( O3, INDIRECT( BaseIdIniAquisicao ), INDIRECT( BaseNrferias ), "inexistente", 0, 1 )</f>
        <v>inexistente</v>
      </c>
      <c r="R3" s="62" t="str">
        <f ca="1">IF( AND( P3 = "único", Q3 = "inexistente" ), "inserir", "existente" )</f>
        <v>inserir</v>
      </c>
      <c r="S3" s="32">
        <f t="shared" ref="S3:S26" ca="1" si="0">IF( R3 = "inserir", S2 + 1, S2 )</f>
        <v>1</v>
      </c>
      <c r="T3" s="32">
        <f t="shared" ref="T3:T26" ca="1" si="1">IF( R3 = "inserir", S3, IF( Q3 = "inexistente",S3,Q3) )</f>
        <v>1</v>
      </c>
      <c r="U3" s="61" t="str">
        <f>IF( AC3 = "", "", Y3 &amp; Z3 &amp;AC3 )</f>
        <v>2_28714/01/202108/08/2022</v>
      </c>
      <c r="V3" s="32" t="str">
        <f t="shared" ref="V3:V23" ca="1" si="2" xml:space="preserve"> IF( COUNTIF( INDIRECT( BaseIdIniAquisiçãoIniGozo ), U3 ) = 0, "inexistente", "existe" )</f>
        <v>inexistente</v>
      </c>
      <c r="W3" s="32" t="str" cm="1">
        <f t="array" aca="1" ref="W3" ca="1">_xlfn.IFS( AC3 = "", "não", V3 = "inexistente", "inserir", 1, "não" )</f>
        <v>inserir</v>
      </c>
      <c r="X3" s="32" cm="1">
        <f t="array" aca="1" ref="X3" ca="1" xml:space="preserve"> _xlfn.IFS( AC3 = "", X2, V3 = "existe", X2, 1, X2 + 1 )</f>
        <v>1</v>
      </c>
      <c r="Y3" s="32" t="str">
        <f t="shared" ref="Y3:Y23" si="3">A3</f>
        <v>2_287</v>
      </c>
      <c r="Z3" s="32" t="str">
        <f t="shared" ref="Z3:Z23" si="4">TEXT(B3,"DD/MM/AAAA")</f>
        <v>14/01/2021</v>
      </c>
      <c r="AA3" s="32" t="str">
        <f t="shared" ref="AA3:AA23" si="5">TEXT(C3,"DD/MM/AAAA")</f>
        <v>13/01/2022</v>
      </c>
      <c r="AB3" s="32" t="str">
        <f t="shared" ref="AB3:AB23" si="6">UPPER( TRIM( E3 ) )</f>
        <v>GOZADO_INTEGRAL</v>
      </c>
      <c r="AC3" s="32" t="str">
        <f t="shared" ref="AC3:AC23" si="7">IF(G3="","",TEXT(G3,"DD/MM/AAAA"))</f>
        <v>08/08/2022</v>
      </c>
      <c r="AD3" s="32" t="str">
        <f t="shared" ref="AD3:AD23" si="8">IF(H3="","",TEXT(H3,"DD/MM/AAAA"))</f>
        <v>27/08/2022</v>
      </c>
      <c r="AE3" s="32" t="str">
        <f t="shared" ref="AE3:AE23" si="9">IF( TRIM( I3 ) = "", "", TEXT( I3, "DD/MM/AAAA" ) )</f>
        <v>28/08/2022</v>
      </c>
      <c r="AF3" s="23" t="str" cm="1">
        <f t="array" aca="1" ref="AF3" ca="1">MIG_GERA.SCRIPT( $AF$2, $A$1:$AE$1,$A3:$AE3 )</f>
        <v xml:space="preserve">INSERT INTO FPA_FERIAS ( NRFERIAS, NRVINCULOM, NRTIPOFERIAS, NRORG, DTINIAQUISICAO, DTFIMAQUISICAO, QTMESAFASTAMENT, QTFALTASPERIODO, DTINCLUSAO, NRORGINCLUSAO, CDOPERINCLUSAO, IDCONTROLFERIAS ) VALUES ( 1, (SELECT /*MAX(*/NRVINCULOM/*)*/ FROM GPE_VINCULOM WHERE NRORG = 1456 AND CDMATRICULA = '2_287' ), '1', 1456, '14/01/2021', '13/01/2022', '', '0', SYSDATE, 1456, '000000099991', 'GOZADO_INTEGRAL' ); </v>
      </c>
      <c r="AG3" s="23" t="str" cm="1">
        <f t="array" aca="1" ref="AG3" ca="1">MIG_GERA.SCRIPT( $AG$2, $A$1:$AE$1,$A3:$AE3 )</f>
        <v xml:space="preserve">INSERT INTO FPA_GOZOFERIAS ( NRGOZOFERIAS, NRFERIAS, NRORG, DTINIGOZOFERIAS, DTFIMGOZOFERIAS, QTDIASABONOFERI, DTRETORNOFERIAS, DTINCLUSAO, NRORGINCLUSAO, CDOPERINCLUSAO, DSGOZOFERIAS ) VALUES ( 1, 1, 1456, '08/08/2022', '27/08/2022', '10', '28/08/2022', SYSDATE, 1456, '000000099991', 'Migrado' ); </v>
      </c>
      <c r="AH3" s="27" t="str">
        <f ca="1">IF( AND( AK3 = "existe", R3 = "inserir" ), AF3, "" ) &amp; IF( AND( AK3 = "existe", W3 = "inserir" ), AG3, "" ) &amp; IF( OR( R3 = "inserir", W3 = "inserir" ), "COMMIT;", "" )</f>
        <v>COMMIT;</v>
      </c>
      <c r="AI3" s="45" t="s">
        <v>75</v>
      </c>
      <c r="AJ3" s="52"/>
      <c r="AK3" s="53" t="str" cm="1">
        <f t="array" aca="1" ref="AK3:AK30" ca="1">IF( COUNTIF( INDIRECT( BaseIdVinculo ), INDIRECT( DadosVinculo ) ) = 0, INDIRECT( DadosVinculo ), "existe" )</f>
        <v>2_287</v>
      </c>
      <c r="AL3" s="64" t="str" cm="1">
        <f t="array" aca="1" ref="AL3:AL30" ca="1" xml:space="preserve"> "  - " &amp; _xlfn._xlws.SORT( _xlfn._xlws.FILTER(_xlfn.ANCHORARRAY( AK3),_xlfn.ANCHORARRAY( AK3) &lt;&gt; "existe" ) )</f>
        <v xml:space="preserve">  - 2_287</v>
      </c>
      <c r="AM3" s="53" t="e" cm="1" vm="1">
        <f t="array" aca="1" ref="AM3" ca="1">_xlfn._xlws.FILTER( INDIRECT( DadosHashGozo ), INDIRECT( DadosGozoExistente ) = "existe" )</f>
        <v>#VALUE!</v>
      </c>
      <c r="AN3" s="64" t="e" cm="1" vm="2">
        <f t="array" aca="1" ref="AN3" ca="1">_xlfn.XLOOKUP(_xlfn.ANCHORARRAY( AM3), INDIRECT( BaseIdIniAquisiçãoIniGozo ), INDIRECT( BaseReport ), "erro de hash", 0, 1 )</f>
        <v>#VALUE!</v>
      </c>
      <c r="AO3" s="54" t="s">
        <v>32</v>
      </c>
      <c r="AP3" s="55" t="s">
        <v>7</v>
      </c>
      <c r="AQ3" s="55" t="s">
        <v>8</v>
      </c>
      <c r="AR3" s="54" t="s">
        <v>32</v>
      </c>
      <c r="AS3" s="56" t="str">
        <f t="shared" ref="AS3:AT7" si="10">AP3</f>
        <v>@NRFERIAS@</v>
      </c>
      <c r="AT3" s="56" t="str">
        <f t="shared" si="10"/>
        <v>@NRGOZOFERIAS@</v>
      </c>
      <c r="AU3" s="54"/>
      <c r="AV3" s="56"/>
      <c r="AW3" s="56"/>
      <c r="AX3"/>
    </row>
    <row r="4" spans="1:50" x14ac:dyDescent="0.25">
      <c r="A4" s="69" t="s">
        <v>84</v>
      </c>
      <c r="B4" s="67">
        <v>44575</v>
      </c>
      <c r="C4" s="67">
        <v>44939</v>
      </c>
      <c r="D4" s="68"/>
      <c r="E4" s="68" t="s">
        <v>92</v>
      </c>
      <c r="F4" s="68"/>
      <c r="G4" s="67">
        <v>44982</v>
      </c>
      <c r="H4" s="67">
        <v>45001</v>
      </c>
      <c r="I4" s="67">
        <v>45002</v>
      </c>
      <c r="J4" s="68">
        <v>10</v>
      </c>
      <c r="K4" s="68">
        <v>0</v>
      </c>
      <c r="M4" s="60" t="s">
        <v>43</v>
      </c>
      <c r="N4" s="62">
        <f t="shared" ref="N4:N30" si="11">$M$2</f>
        <v>1456</v>
      </c>
      <c r="O4" s="62" t="str">
        <f t="shared" ref="O4:O23" si="12">Y4 &amp; Z4</f>
        <v>2_28714/01/2022</v>
      </c>
      <c r="P4" s="62" t="str">
        <f>IF( COUNTIF( $O$3:O4, O4 ) &lt;= 1, "único", "existente" )</f>
        <v>único</v>
      </c>
      <c r="Q4" s="62" t="str" cm="1">
        <f t="array" aca="1" ref="Q4" ca="1">_xlfn.XLOOKUP( O4, INDIRECT( BaseIdIniAquisicao ), INDIRECT( BaseNrferias ), "inexistente", 0, 1 )</f>
        <v>inexistente</v>
      </c>
      <c r="R4" s="62" t="str">
        <f t="shared" ref="R4:R23" ca="1" si="13">IF( AND( P4 = "único", Q4 = "inexistente" ), "inserir", "existente" )</f>
        <v>inserir</v>
      </c>
      <c r="S4" s="32">
        <f t="shared" ca="1" si="0"/>
        <v>2</v>
      </c>
      <c r="T4" s="32">
        <f t="shared" ca="1" si="1"/>
        <v>2</v>
      </c>
      <c r="U4" s="61" t="str">
        <f t="shared" ref="U4:U23" si="14">IF( AC4 = "", "", Y4 &amp; Z4 &amp;AC4 )</f>
        <v>2_28714/01/202225/02/2023</v>
      </c>
      <c r="V4" s="32" t="str">
        <f t="shared" ca="1" si="2"/>
        <v>inexistente</v>
      </c>
      <c r="W4" s="32" t="str" cm="1">
        <f t="array" aca="1" ref="W4" ca="1">_xlfn.IFS( AC4 = "", "não", V4 = "inexistente", "inserir", 1, "não" )</f>
        <v>inserir</v>
      </c>
      <c r="X4" s="32" cm="1">
        <f t="array" aca="1" ref="X4" ca="1" xml:space="preserve"> _xlfn.IFS( AC4 = "", X3, V4 = "existe", X3, 1, X3 + 1 )</f>
        <v>2</v>
      </c>
      <c r="Y4" s="32" t="str">
        <f t="shared" si="3"/>
        <v>2_287</v>
      </c>
      <c r="Z4" s="32" t="str">
        <f t="shared" si="4"/>
        <v>14/01/2022</v>
      </c>
      <c r="AA4" s="32" t="str">
        <f t="shared" si="5"/>
        <v>13/01/2023</v>
      </c>
      <c r="AB4" s="32" t="str">
        <f t="shared" si="6"/>
        <v>GOZADO_INTEGRAL</v>
      </c>
      <c r="AC4" s="32" t="str">
        <f t="shared" si="7"/>
        <v>25/02/2023</v>
      </c>
      <c r="AD4" s="32" t="str">
        <f t="shared" si="8"/>
        <v>16/03/2023</v>
      </c>
      <c r="AE4" s="32" t="str">
        <f t="shared" si="9"/>
        <v>17/03/2023</v>
      </c>
      <c r="AF4" s="23" t="str" cm="1">
        <f t="array" aca="1" ref="AF4" ca="1">MIG_GERA.SCRIPT( $AF$2, $A$1:$AE$1,$A4:$AE4 )</f>
        <v xml:space="preserve">INSERT INTO FPA_FERIAS ( NRFERIAS, NRVINCULOM, NRTIPOFERIAS, NRORG, DTINIAQUISICAO, DTFIMAQUISICAO, QTMESAFASTAMENT, QTFALTASPERIODO, DTINCLUSAO, NRORGINCLUSAO, CDOPERINCLUSAO, IDCONTROLFERIAS ) VALUES ( 2, (SELECT /*MAX(*/NRVINCULOM/*)*/ FROM GPE_VINCULOM WHERE NRORG = 1456 AND CDMATRICULA = '2_287' ), '1', 1456, '14/01/2022', '13/01/2023', '', '0', SYSDATE, 1456, '000000099991', 'GOZADO_INTEGRAL' ); </v>
      </c>
      <c r="AG4" s="23" t="str" cm="1">
        <f t="array" aca="1" ref="AG4" ca="1">MIG_GERA.SCRIPT( $AG$2, $A$1:$AE$1,$A4:$AE4 )</f>
        <v xml:space="preserve">INSERT INTO FPA_GOZOFERIAS ( NRGOZOFERIAS, NRFERIAS, NRORG, DTINIGOZOFERIAS, DTFIMGOZOFERIAS, QTDIASABONOFERI, DTRETORNOFERIAS, DTINCLUSAO, NRORGINCLUSAO, CDOPERINCLUSAO, DSGOZOFERIAS ) VALUES ( 2, 2, 1456, '25/02/2023', '16/03/2023', '10', '17/03/2023', SYSDATE, 1456, '000000099991', 'Migrado' ); </v>
      </c>
      <c r="AH4" s="27" t="str">
        <f t="shared" ref="AH4:AH23" ca="1" si="15">IF( AND( AK4 = "existe", R4 = "inserir" ), AF4, "" ) &amp; IF( AND( AK4 = "existe", W4 = "inserir" ), AG4, "" ) &amp; IF( OR( R4 = "inserir", W4 = "inserir" ), "COMMIT;", "" )</f>
        <v>COMMIT;</v>
      </c>
      <c r="AI4" s="46" t="s">
        <v>47</v>
      </c>
      <c r="AJ4" s="52">
        <f>COUNTA( A:A )</f>
        <v>30</v>
      </c>
      <c r="AK4" s="53" t="str">
        <f ca="1"/>
        <v>2_287</v>
      </c>
      <c r="AL4" s="64" t="str">
        <f ca="1"/>
        <v xml:space="preserve">  - 2_287</v>
      </c>
      <c r="AO4" s="54" t="s">
        <v>33</v>
      </c>
      <c r="AP4" s="57" t="s">
        <v>39</v>
      </c>
      <c r="AQ4" s="57" t="s">
        <v>41</v>
      </c>
      <c r="AR4" s="54" t="s">
        <v>33</v>
      </c>
      <c r="AS4" s="56" t="str">
        <f t="shared" si="10"/>
        <v>FPA_FERIAS</v>
      </c>
      <c r="AT4" s="56" t="str">
        <f t="shared" si="10"/>
        <v>FPA_GOZOFERIAS</v>
      </c>
      <c r="AU4" s="54" t="s">
        <v>33</v>
      </c>
      <c r="AV4" s="56" t="str">
        <f>AS4</f>
        <v>FPA_FERIAS</v>
      </c>
      <c r="AW4" s="56" t="str">
        <f>AT4</f>
        <v>FPA_GOZOFERIAS</v>
      </c>
      <c r="AX4"/>
    </row>
    <row r="5" spans="1:50" x14ac:dyDescent="0.25">
      <c r="A5" s="69" t="s">
        <v>84</v>
      </c>
      <c r="B5" s="67">
        <v>44940</v>
      </c>
      <c r="C5" s="67">
        <v>45304</v>
      </c>
      <c r="D5" s="68"/>
      <c r="E5" s="68" t="s">
        <v>92</v>
      </c>
      <c r="F5" s="68"/>
      <c r="G5" s="67">
        <v>45306</v>
      </c>
      <c r="H5" s="67">
        <v>45325</v>
      </c>
      <c r="I5" s="67">
        <v>45326</v>
      </c>
      <c r="J5" s="68">
        <v>10</v>
      </c>
      <c r="K5" s="68">
        <v>0</v>
      </c>
      <c r="M5" s="34" t="s">
        <v>80</v>
      </c>
      <c r="N5" s="62">
        <f t="shared" si="11"/>
        <v>1456</v>
      </c>
      <c r="O5" s="62" t="str">
        <f t="shared" si="12"/>
        <v>2_28714/01/2023</v>
      </c>
      <c r="P5" s="62" t="str">
        <f>IF( COUNTIF( $O$3:O5, O5 ) &lt;= 1, "único", "existente" )</f>
        <v>único</v>
      </c>
      <c r="Q5" s="62" t="str" cm="1">
        <f t="array" aca="1" ref="Q5" ca="1">_xlfn.XLOOKUP( O5, INDIRECT( BaseIdIniAquisicao ), INDIRECT( BaseNrferias ), "inexistente", 0, 1 )</f>
        <v>inexistente</v>
      </c>
      <c r="R5" s="62" t="str">
        <f t="shared" ca="1" si="13"/>
        <v>inserir</v>
      </c>
      <c r="S5" s="32">
        <f t="shared" ca="1" si="0"/>
        <v>3</v>
      </c>
      <c r="T5" s="32">
        <f t="shared" ca="1" si="1"/>
        <v>3</v>
      </c>
      <c r="U5" s="61" t="str">
        <f t="shared" si="14"/>
        <v>2_28714/01/202315/01/2024</v>
      </c>
      <c r="V5" s="32" t="str">
        <f t="shared" ca="1" si="2"/>
        <v>inexistente</v>
      </c>
      <c r="W5" s="32" t="str" cm="1">
        <f t="array" aca="1" ref="W5" ca="1">_xlfn.IFS( AC5 = "", "não", V5 = "inexistente", "inserir", 1, "não" )</f>
        <v>inserir</v>
      </c>
      <c r="X5" s="32" cm="1">
        <f t="array" aca="1" ref="X5" ca="1" xml:space="preserve"> _xlfn.IFS( AC5 = "", X4, V5 = "existe", X4, 1, X4 + 1 )</f>
        <v>3</v>
      </c>
      <c r="Y5" s="32" t="str">
        <f t="shared" si="3"/>
        <v>2_287</v>
      </c>
      <c r="Z5" s="32" t="str">
        <f t="shared" si="4"/>
        <v>14/01/2023</v>
      </c>
      <c r="AA5" s="32" t="str">
        <f t="shared" si="5"/>
        <v>13/01/2024</v>
      </c>
      <c r="AB5" s="32" t="str">
        <f t="shared" si="6"/>
        <v>GOZADO_INTEGRAL</v>
      </c>
      <c r="AC5" s="32" t="str">
        <f t="shared" si="7"/>
        <v>15/01/2024</v>
      </c>
      <c r="AD5" s="32" t="str">
        <f t="shared" si="8"/>
        <v>03/02/2024</v>
      </c>
      <c r="AE5" s="32" t="str">
        <f t="shared" si="9"/>
        <v>04/02/2024</v>
      </c>
      <c r="AF5" s="23" t="str" cm="1">
        <f t="array" aca="1" ref="AF5" ca="1">MIG_GERA.SCRIPT( $AF$2, $A$1:$AE$1,$A5:$AE5 )</f>
        <v xml:space="preserve">INSERT INTO FPA_FERIAS ( NRFERIAS, NRVINCULOM, NRTIPOFERIAS, NRORG, DTINIAQUISICAO, DTFIMAQUISICAO, QTMESAFASTAMENT, QTFALTASPERIODO, DTINCLUSAO, NRORGINCLUSAO, CDOPERINCLUSAO, IDCONTROLFERIAS ) VALUES ( 3, (SELECT /*MAX(*/NRVINCULOM/*)*/ FROM GPE_VINCULOM WHERE NRORG = 1456 AND CDMATRICULA = '2_287' ), '1', 1456, '14/01/2023', '13/01/2024', '', '0', SYSDATE, 1456, '000000099991', 'GOZADO_INTEGRAL' ); </v>
      </c>
      <c r="AG5" s="23" t="str" cm="1">
        <f t="array" aca="1" ref="AG5" ca="1">MIG_GERA.SCRIPT( $AG$2, $A$1:$AE$1,$A5:$AE5 )</f>
        <v xml:space="preserve">INSERT INTO FPA_GOZOFERIAS ( NRGOZOFERIAS, NRFERIAS, NRORG, DTINIGOZOFERIAS, DTFIMGOZOFERIAS, QTDIASABONOFERI, DTRETORNOFERIAS, DTINCLUSAO, NRORGINCLUSAO, CDOPERINCLUSAO, DSGOZOFERIAS ) VALUES ( 3, 3, 1456, '15/01/2024', '03/02/2024', '10', '04/02/2024', SYSDATE, 1456, '000000099991', 'Migrado' ); </v>
      </c>
      <c r="AH5" s="27" t="str">
        <f t="shared" ca="1" si="15"/>
        <v>COMMIT;</v>
      </c>
      <c r="AI5" s="46" t="s">
        <v>60</v>
      </c>
      <c r="AJ5" s="52" t="str">
        <f>"Y3:Y" &amp; DadosLinhas</f>
        <v>Y3:Y30</v>
      </c>
      <c r="AK5" s="53" t="str">
        <f ca="1"/>
        <v>2_287</v>
      </c>
      <c r="AL5" s="64" t="str">
        <f ca="1"/>
        <v xml:space="preserve">  - 2_287</v>
      </c>
      <c r="AO5" s="54" t="s">
        <v>34</v>
      </c>
      <c r="AP5" s="57" t="s">
        <v>40</v>
      </c>
      <c r="AQ5" s="57" t="s">
        <v>42</v>
      </c>
      <c r="AR5" s="54" t="s">
        <v>34</v>
      </c>
      <c r="AS5" s="56" t="str">
        <f t="shared" si="10"/>
        <v>NRFERIAS</v>
      </c>
      <c r="AT5" s="56" t="str">
        <f t="shared" si="10"/>
        <v>NRGOZOFERIAS</v>
      </c>
      <c r="AU5" s="54" t="s">
        <v>34</v>
      </c>
      <c r="AV5" s="56" t="str">
        <f>AS5</f>
        <v>NRFERIAS</v>
      </c>
      <c r="AW5" s="56" t="str">
        <f>AT5</f>
        <v>NRGOZOFERIAS</v>
      </c>
      <c r="AX5"/>
    </row>
    <row r="6" spans="1:50" x14ac:dyDescent="0.25">
      <c r="A6" s="69" t="s">
        <v>84</v>
      </c>
      <c r="B6" s="67">
        <v>45305</v>
      </c>
      <c r="C6" s="67">
        <v>45670</v>
      </c>
      <c r="D6" s="68"/>
      <c r="E6" s="68" t="s">
        <v>92</v>
      </c>
      <c r="F6" s="68"/>
      <c r="G6" s="67">
        <v>45691</v>
      </c>
      <c r="H6" s="67">
        <v>45710</v>
      </c>
      <c r="I6" s="67">
        <v>45711</v>
      </c>
      <c r="J6" s="68">
        <v>10</v>
      </c>
      <c r="K6" s="68">
        <v>0</v>
      </c>
      <c r="M6" s="34" t="s">
        <v>81</v>
      </c>
      <c r="N6" s="62">
        <f t="shared" si="11"/>
        <v>1456</v>
      </c>
      <c r="O6" s="62" t="str">
        <f t="shared" si="12"/>
        <v>2_28714/01/2024</v>
      </c>
      <c r="P6" s="62" t="str">
        <f>IF( COUNTIF( $O$3:O6, O6 ) &lt;= 1, "único", "existente" )</f>
        <v>único</v>
      </c>
      <c r="Q6" s="62" t="str" cm="1">
        <f t="array" aca="1" ref="Q6" ca="1">_xlfn.XLOOKUP( O6, INDIRECT( BaseIdIniAquisicao ), INDIRECT( BaseNrferias ), "inexistente", 0, 1 )</f>
        <v>inexistente</v>
      </c>
      <c r="R6" s="62" t="str">
        <f t="shared" ca="1" si="13"/>
        <v>inserir</v>
      </c>
      <c r="S6" s="32">
        <f t="shared" ca="1" si="0"/>
        <v>4</v>
      </c>
      <c r="T6" s="32">
        <f t="shared" ca="1" si="1"/>
        <v>4</v>
      </c>
      <c r="U6" s="61" t="str">
        <f t="shared" si="14"/>
        <v>2_28714/01/202403/02/2025</v>
      </c>
      <c r="V6" s="32" t="str">
        <f t="shared" ca="1" si="2"/>
        <v>inexistente</v>
      </c>
      <c r="W6" s="32" t="str" cm="1">
        <f t="array" aca="1" ref="W6" ca="1">_xlfn.IFS( AC6 = "", "não", V6 = "inexistente", "inserir", 1, "não" )</f>
        <v>inserir</v>
      </c>
      <c r="X6" s="32" cm="1">
        <f t="array" aca="1" ref="X6" ca="1" xml:space="preserve"> _xlfn.IFS( AC6 = "", X5, V6 = "existe", X5, 1, X5 + 1 )</f>
        <v>4</v>
      </c>
      <c r="Y6" s="32" t="str">
        <f t="shared" si="3"/>
        <v>2_287</v>
      </c>
      <c r="Z6" s="32" t="str">
        <f t="shared" si="4"/>
        <v>14/01/2024</v>
      </c>
      <c r="AA6" s="32" t="str">
        <f t="shared" si="5"/>
        <v>13/01/2025</v>
      </c>
      <c r="AB6" s="32" t="str">
        <f t="shared" si="6"/>
        <v>GOZADO_INTEGRAL</v>
      </c>
      <c r="AC6" s="32" t="str">
        <f t="shared" si="7"/>
        <v>03/02/2025</v>
      </c>
      <c r="AD6" s="32" t="str">
        <f t="shared" si="8"/>
        <v>22/02/2025</v>
      </c>
      <c r="AE6" s="32" t="str">
        <f t="shared" si="9"/>
        <v>23/02/2025</v>
      </c>
      <c r="AF6" s="23" t="str" cm="1">
        <f t="array" aca="1" ref="AF6" ca="1">MIG_GERA.SCRIPT( $AF$2, $A$1:$AE$1,$A6:$AE6 )</f>
        <v xml:space="preserve">INSERT INTO FPA_FERIAS ( NRFERIAS, NRVINCULOM, NRTIPOFERIAS, NRORG, DTINIAQUISICAO, DTFIMAQUISICAO, QTMESAFASTAMENT, QTFALTASPERIODO, DTINCLUSAO, NRORGINCLUSAO, CDOPERINCLUSAO, IDCONTROLFERIAS ) VALUES ( 4, (SELECT /*MAX(*/NRVINCULOM/*)*/ FROM GPE_VINCULOM WHERE NRORG = 1456 AND CDMATRICULA = '2_287' ), '1', 1456, '14/01/2024', '13/01/2025', '', '0', SYSDATE, 1456, '000000099991', 'GOZADO_INTEGRAL' ); </v>
      </c>
      <c r="AG6" s="23" t="str" cm="1">
        <f t="array" aca="1" ref="AG6" ca="1">MIG_GERA.SCRIPT( $AG$2, $A$1:$AE$1,$A6:$AE6 )</f>
        <v xml:space="preserve">INSERT INTO FPA_GOZOFERIAS ( NRGOZOFERIAS, NRFERIAS, NRORG, DTINIGOZOFERIAS, DTFIMGOZOFERIAS, QTDIASABONOFERI, DTRETORNOFERIAS, DTINCLUSAO, NRORGINCLUSAO, CDOPERINCLUSAO, DSGOZOFERIAS ) VALUES ( 4, 4, 1456, '03/02/2025', '22/02/2025', '10', '23/02/2025', SYSDATE, 1456, '000000099991', 'Migrado' ); </v>
      </c>
      <c r="AH6" s="27" t="str">
        <f t="shared" ca="1" si="15"/>
        <v>COMMIT;</v>
      </c>
      <c r="AI6" s="46" t="s">
        <v>46</v>
      </c>
      <c r="AJ6" s="47" t="str">
        <f>"AC3:AC" &amp; DadosLinhas</f>
        <v>AC3:AC30</v>
      </c>
      <c r="AK6" s="53" t="str">
        <f ca="1"/>
        <v>2_287</v>
      </c>
      <c r="AL6" s="64" t="str">
        <f ca="1"/>
        <v xml:space="preserve">  - 2_287</v>
      </c>
      <c r="AO6" s="54" t="s">
        <v>35</v>
      </c>
      <c r="AP6" s="58">
        <f ca="1">MIN( OFFSET( $A$1, 2, MATCH( AP$3, $1:$1, 0 ) - 1, 1048574, 1 ) )</f>
        <v>1</v>
      </c>
      <c r="AQ6" s="58">
        <f ca="1">MIN( OFFSET( $A$1, 2, MATCH( AQ$3, $1:$1, 0 ) - 1, 1048574, 1 ) )</f>
        <v>1</v>
      </c>
      <c r="AR6" s="54" t="s">
        <v>35</v>
      </c>
      <c r="AS6" s="56">
        <f t="shared" ca="1" si="10"/>
        <v>1</v>
      </c>
      <c r="AT6" s="56">
        <f t="shared" ca="1" si="10"/>
        <v>1</v>
      </c>
      <c r="AU6" s="54"/>
      <c r="AV6" s="56"/>
      <c r="AW6" s="56"/>
      <c r="AX6"/>
    </row>
    <row r="7" spans="1:50" x14ac:dyDescent="0.25">
      <c r="A7" s="69" t="s">
        <v>84</v>
      </c>
      <c r="B7" s="67">
        <v>45671</v>
      </c>
      <c r="C7" s="67">
        <v>45898</v>
      </c>
      <c r="D7" s="68"/>
      <c r="E7" s="68" t="s">
        <v>93</v>
      </c>
      <c r="F7" s="68"/>
      <c r="G7" s="67">
        <v>45898</v>
      </c>
      <c r="H7" s="67">
        <v>45917</v>
      </c>
      <c r="I7" s="67">
        <v>45918</v>
      </c>
      <c r="J7" s="68">
        <v>0</v>
      </c>
      <c r="K7" s="68">
        <v>0</v>
      </c>
      <c r="M7" s="34" t="s">
        <v>82</v>
      </c>
      <c r="N7" s="62">
        <f t="shared" si="11"/>
        <v>1456</v>
      </c>
      <c r="O7" s="62" t="str">
        <f t="shared" si="12"/>
        <v>2_28714/01/2025</v>
      </c>
      <c r="P7" s="62" t="str">
        <f>IF( COUNTIF( $O$3:O7, O7 ) &lt;= 1, "único", "existente" )</f>
        <v>único</v>
      </c>
      <c r="Q7" s="62" t="str" cm="1">
        <f t="array" aca="1" ref="Q7" ca="1">_xlfn.XLOOKUP( O7, INDIRECT( BaseIdIniAquisicao ), INDIRECT( BaseNrferias ), "inexistente", 0, 1 )</f>
        <v>inexistente</v>
      </c>
      <c r="R7" s="62" t="str">
        <f t="shared" ca="1" si="13"/>
        <v>inserir</v>
      </c>
      <c r="S7" s="32">
        <f t="shared" ca="1" si="0"/>
        <v>5</v>
      </c>
      <c r="T7" s="32">
        <f t="shared" ca="1" si="1"/>
        <v>5</v>
      </c>
      <c r="U7" s="61" t="str">
        <f t="shared" si="14"/>
        <v>2_28714/01/202529/08/2025</v>
      </c>
      <c r="V7" s="32" t="str">
        <f t="shared" ca="1" si="2"/>
        <v>inexistente</v>
      </c>
      <c r="W7" s="32" t="str" cm="1">
        <f t="array" aca="1" ref="W7" ca="1">_xlfn.IFS( AC7 = "", "não", V7 = "inexistente", "inserir", 1, "não" )</f>
        <v>inserir</v>
      </c>
      <c r="X7" s="32" cm="1">
        <f t="array" aca="1" ref="X7" ca="1" xml:space="preserve"> _xlfn.IFS( AC7 = "", X6, V7 = "existe", X6, 1, X6 + 1 )</f>
        <v>5</v>
      </c>
      <c r="Y7" s="32" t="str">
        <f t="shared" si="3"/>
        <v>2_287</v>
      </c>
      <c r="Z7" s="32" t="str">
        <f t="shared" si="4"/>
        <v>14/01/2025</v>
      </c>
      <c r="AA7" s="32" t="str">
        <f t="shared" si="5"/>
        <v>29/08/2025</v>
      </c>
      <c r="AB7" s="32" t="str">
        <f t="shared" si="6"/>
        <v>GOZADO_PARCIAL</v>
      </c>
      <c r="AC7" s="32" t="str">
        <f t="shared" si="7"/>
        <v>29/08/2025</v>
      </c>
      <c r="AD7" s="32" t="str">
        <f t="shared" si="8"/>
        <v>17/09/2025</v>
      </c>
      <c r="AE7" s="32" t="str">
        <f t="shared" si="9"/>
        <v>18/09/2025</v>
      </c>
      <c r="AF7" s="23" t="str" cm="1">
        <f t="array" aca="1" ref="AF7" ca="1">MIG_GERA.SCRIPT( $AF$2, $A$1:$AE$1,$A7:$AE7 )</f>
        <v xml:space="preserve">INSERT INTO FPA_FERIAS ( NRFERIAS, NRVINCULOM, NRTIPOFERIAS, NRORG, DTINIAQUISICAO, DTFIMAQUISICAO, QTMESAFASTAMENT, QTFALTASPERIODO, DTINCLUSAO, NRORGINCLUSAO, CDOPERINCLUSAO, IDCONTROLFERIAS ) VALUES ( 5, (SELECT /*MAX(*/NRVINCULOM/*)*/ FROM GPE_VINCULOM WHERE NRORG = 1456 AND CDMATRICULA = '2_287' ), '1', 1456, '14/01/2025', '29/08/2025', '', '0', SYSDATE, 1456, '000000099991', 'GOZADO_PARCIAL' ); </v>
      </c>
      <c r="AG7" s="23" t="str" cm="1">
        <f t="array" aca="1" ref="AG7" ca="1">MIG_GERA.SCRIPT( $AG$2, $A$1:$AE$1,$A7:$AE7 )</f>
        <v xml:space="preserve">INSERT INTO FPA_GOZOFERIAS ( NRGOZOFERIAS, NRFERIAS, NRORG, DTINIGOZOFERIAS, DTFIMGOZOFERIAS, QTDIASABONOFERI, DTRETORNOFERIAS, DTINCLUSAO, NRORGINCLUSAO, CDOPERINCLUSAO, DSGOZOFERIAS ) VALUES ( 5, 5, 1456, '29/08/2025', '17/09/2025', '0', '18/09/2025', SYSDATE, 1456, '000000099991', 'Migrado' ); </v>
      </c>
      <c r="AH7" s="27" t="str">
        <f t="shared" ca="1" si="15"/>
        <v>COMMIT;</v>
      </c>
      <c r="AI7" s="46" t="s">
        <v>51</v>
      </c>
      <c r="AJ7" s="47" t="str">
        <f>"AD3:AD" &amp; DadosLinhas</f>
        <v>AD3:AD30</v>
      </c>
      <c r="AK7" s="53" t="str">
        <f ca="1"/>
        <v>2_287</v>
      </c>
      <c r="AL7" s="64" t="str">
        <f ca="1"/>
        <v xml:space="preserve">  - 2_287</v>
      </c>
      <c r="AO7" s="54" t="s">
        <v>36</v>
      </c>
      <c r="AP7" s="58">
        <f ca="1">MAX(OFFSET($A$1,2,MATCH(AP$3,$1:$1,0)-1,1048574,1))</f>
        <v>24</v>
      </c>
      <c r="AQ7" s="58">
        <f ca="1">MAX(OFFSET($A$1,2,MATCH(AQ$3,$1:$1,0)-1,1048574,1))</f>
        <v>28</v>
      </c>
      <c r="AR7" s="54" t="s">
        <v>36</v>
      </c>
      <c r="AS7" s="56">
        <f t="shared" ca="1" si="10"/>
        <v>24</v>
      </c>
      <c r="AT7" s="56">
        <f t="shared" ca="1" si="10"/>
        <v>28</v>
      </c>
      <c r="AU7" s="54"/>
      <c r="AV7" s="56"/>
      <c r="AW7" s="56"/>
      <c r="AX7"/>
    </row>
    <row r="8" spans="1:50" x14ac:dyDescent="0.25">
      <c r="A8" s="69" t="s">
        <v>85</v>
      </c>
      <c r="B8" s="67">
        <v>44453</v>
      </c>
      <c r="C8" s="67">
        <v>44817</v>
      </c>
      <c r="D8" s="68"/>
      <c r="E8" s="68" t="s">
        <v>92</v>
      </c>
      <c r="F8" s="68"/>
      <c r="G8" s="67">
        <v>44991</v>
      </c>
      <c r="H8" s="67">
        <v>45005</v>
      </c>
      <c r="I8" s="67">
        <v>45006</v>
      </c>
      <c r="J8" s="68">
        <v>0</v>
      </c>
      <c r="K8" s="68">
        <v>0</v>
      </c>
      <c r="M8" s="66" t="s">
        <v>79</v>
      </c>
      <c r="N8" s="62">
        <f t="shared" si="11"/>
        <v>1456</v>
      </c>
      <c r="O8" s="62" t="str">
        <f t="shared" si="12"/>
        <v>2_36314/09/2021</v>
      </c>
      <c r="P8" s="62" t="str">
        <f>IF( COUNTIF( $O$3:O8, O8 ) &lt;= 1, "único", "existente" )</f>
        <v>único</v>
      </c>
      <c r="Q8" s="62" t="str" cm="1">
        <f t="array" aca="1" ref="Q8" ca="1">_xlfn.XLOOKUP( O8, INDIRECT( BaseIdIniAquisicao ), INDIRECT( BaseNrferias ), "inexistente", 0, 1 )</f>
        <v>inexistente</v>
      </c>
      <c r="R8" s="62" t="str">
        <f t="shared" ca="1" si="13"/>
        <v>inserir</v>
      </c>
      <c r="S8" s="32">
        <f t="shared" ca="1" si="0"/>
        <v>6</v>
      </c>
      <c r="T8" s="32">
        <f t="shared" ca="1" si="1"/>
        <v>6</v>
      </c>
      <c r="U8" s="61" t="str">
        <f t="shared" si="14"/>
        <v>2_36314/09/202106/03/2023</v>
      </c>
      <c r="V8" s="32" t="str">
        <f t="shared" ca="1" si="2"/>
        <v>inexistente</v>
      </c>
      <c r="W8" s="32" t="str" cm="1">
        <f t="array" aca="1" ref="W8" ca="1">_xlfn.IFS( AC8 = "", "não", V8 = "inexistente", "inserir", 1, "não" )</f>
        <v>inserir</v>
      </c>
      <c r="X8" s="32" cm="1">
        <f t="array" aca="1" ref="X8" ca="1" xml:space="preserve"> _xlfn.IFS( AC8 = "", X7, V8 = "existe", X7, 1, X7 + 1 )</f>
        <v>6</v>
      </c>
      <c r="Y8" s="32" t="str">
        <f t="shared" si="3"/>
        <v>2_363</v>
      </c>
      <c r="Z8" s="32" t="str">
        <f t="shared" si="4"/>
        <v>14/09/2021</v>
      </c>
      <c r="AA8" s="32" t="str">
        <f t="shared" si="5"/>
        <v>13/09/2022</v>
      </c>
      <c r="AB8" s="32" t="str">
        <f t="shared" si="6"/>
        <v>GOZADO_INTEGRAL</v>
      </c>
      <c r="AC8" s="32" t="str">
        <f t="shared" si="7"/>
        <v>06/03/2023</v>
      </c>
      <c r="AD8" s="32" t="str">
        <f t="shared" si="8"/>
        <v>20/03/2023</v>
      </c>
      <c r="AE8" s="32" t="str">
        <f t="shared" si="9"/>
        <v>21/03/2023</v>
      </c>
      <c r="AF8" s="23" t="str" cm="1">
        <f t="array" aca="1" ref="AF8" ca="1">MIG_GERA.SCRIPT( $AF$2, $A$1:$AE$1,$A8:$AE8 )</f>
        <v xml:space="preserve">INSERT INTO FPA_FERIAS ( NRFERIAS, NRVINCULOM, NRTIPOFERIAS, NRORG, DTINIAQUISICAO, DTFIMAQUISICAO, QTMESAFASTAMENT, QTFALTASPERIODO, DTINCLUSAO, NRORGINCLUSAO, CDOPERINCLUSAO, IDCONTROLFERIAS ) VALUES ( 6, (SELECT /*MAX(*/NRVINCULOM/*)*/ FROM GPE_VINCULOM WHERE NRORG = 1456 AND CDMATRICULA = '2_363' ), '1', 1456, '14/09/2021', '13/09/2022', '', '0', SYSDATE, 1456, '000000099991', 'GOZADO_INTEGRAL' ); </v>
      </c>
      <c r="AG8" s="23" t="str" cm="1">
        <f t="array" aca="1" ref="AG8" ca="1">MIG_GERA.SCRIPT( $AG$2, $A$1:$AE$1,$A8:$AE8 )</f>
        <v xml:space="preserve">INSERT INTO FPA_GOZOFERIAS ( NRGOZOFERIAS, NRFERIAS, NRORG, DTINIGOZOFERIAS, DTFIMGOZOFERIAS, QTDIASABONOFERI, DTRETORNOFERIAS, DTINCLUSAO, NRORGINCLUSAO, CDOPERINCLUSAO, DSGOZOFERIAS ) VALUES ( 6, 6, 1456, '06/03/2023', '20/03/2023', '0', '21/03/2023', SYSDATE, 1456, '000000099991', 'Migrado' ); </v>
      </c>
      <c r="AH8" s="27" t="str">
        <f t="shared" ca="1" si="15"/>
        <v>COMMIT;</v>
      </c>
      <c r="AI8" s="46" t="s">
        <v>61</v>
      </c>
      <c r="AJ8" s="47" t="str">
        <f>"AB3:AB" &amp; DadosLinhas</f>
        <v>AB3:AB30</v>
      </c>
      <c r="AK8" s="53" t="str">
        <f ca="1"/>
        <v>2_363</v>
      </c>
      <c r="AL8" s="64" t="str">
        <f ca="1"/>
        <v xml:space="preserve">  - 2_363</v>
      </c>
      <c r="AO8" s="54" t="s">
        <v>37</v>
      </c>
      <c r="AP8" s="58">
        <f ca="1">AP7-AP6+1</f>
        <v>24</v>
      </c>
      <c r="AQ8" s="58">
        <f ca="1">AQ7-AQ6+1</f>
        <v>28</v>
      </c>
      <c r="AR8" s="54"/>
      <c r="AS8" s="56"/>
      <c r="AT8" s="56"/>
      <c r="AU8" s="54"/>
      <c r="AV8" s="56"/>
      <c r="AW8" s="56"/>
      <c r="AX8"/>
    </row>
    <row r="9" spans="1:50" x14ac:dyDescent="0.25">
      <c r="A9" s="69" t="s">
        <v>85</v>
      </c>
      <c r="B9" s="67">
        <v>44453</v>
      </c>
      <c r="C9" s="67">
        <v>44817</v>
      </c>
      <c r="D9" s="68"/>
      <c r="E9" s="68" t="s">
        <v>92</v>
      </c>
      <c r="F9" s="68"/>
      <c r="G9" s="67">
        <v>45131</v>
      </c>
      <c r="H9" s="67">
        <v>45145</v>
      </c>
      <c r="I9" s="67">
        <v>45146</v>
      </c>
      <c r="J9" s="68">
        <v>0</v>
      </c>
      <c r="K9" s="68">
        <v>0</v>
      </c>
      <c r="M9" s="66" t="s">
        <v>79</v>
      </c>
      <c r="N9" s="62">
        <f t="shared" si="11"/>
        <v>1456</v>
      </c>
      <c r="O9" s="62" t="str">
        <f t="shared" si="12"/>
        <v>2_36314/09/2021</v>
      </c>
      <c r="P9" s="62" t="str">
        <f>IF( COUNTIF( $O$3:O9, O9 ) &lt;= 1, "único", "existente" )</f>
        <v>existente</v>
      </c>
      <c r="Q9" s="62" t="str" cm="1">
        <f t="array" aca="1" ref="Q9" ca="1">_xlfn.XLOOKUP( O9, INDIRECT( BaseIdIniAquisicao ), INDIRECT( BaseNrferias ), "inexistente", 0, 1 )</f>
        <v>inexistente</v>
      </c>
      <c r="R9" s="62" t="str">
        <f t="shared" ca="1" si="13"/>
        <v>existente</v>
      </c>
      <c r="S9" s="32">
        <f t="shared" ca="1" si="0"/>
        <v>6</v>
      </c>
      <c r="T9" s="32">
        <f t="shared" ca="1" si="1"/>
        <v>6</v>
      </c>
      <c r="U9" s="61" t="str">
        <f t="shared" si="14"/>
        <v>2_36314/09/202124/07/2023</v>
      </c>
      <c r="V9" s="32" t="str">
        <f t="shared" ca="1" si="2"/>
        <v>inexistente</v>
      </c>
      <c r="W9" s="32" t="str" cm="1">
        <f t="array" aca="1" ref="W9" ca="1">_xlfn.IFS( AC9 = "", "não", V9 = "inexistente", "inserir", 1, "não" )</f>
        <v>inserir</v>
      </c>
      <c r="X9" s="32" cm="1">
        <f t="array" aca="1" ref="X9" ca="1" xml:space="preserve"> _xlfn.IFS( AC9 = "", X8, V9 = "existe", X8, 1, X8 + 1 )</f>
        <v>7</v>
      </c>
      <c r="Y9" s="32" t="str">
        <f t="shared" si="3"/>
        <v>2_363</v>
      </c>
      <c r="Z9" s="32" t="str">
        <f t="shared" si="4"/>
        <v>14/09/2021</v>
      </c>
      <c r="AA9" s="32" t="str">
        <f t="shared" si="5"/>
        <v>13/09/2022</v>
      </c>
      <c r="AB9" s="32" t="str">
        <f t="shared" si="6"/>
        <v>GOZADO_INTEGRAL</v>
      </c>
      <c r="AC9" s="32" t="str">
        <f t="shared" si="7"/>
        <v>24/07/2023</v>
      </c>
      <c r="AD9" s="32" t="str">
        <f t="shared" si="8"/>
        <v>07/08/2023</v>
      </c>
      <c r="AE9" s="32" t="str">
        <f t="shared" si="9"/>
        <v>08/08/2023</v>
      </c>
      <c r="AF9" s="23" t="str" cm="1">
        <f t="array" aca="1" ref="AF9" ca="1">MIG_GERA.SCRIPT( $AF$2, $A$1:$AE$1,$A9:$AE9 )</f>
        <v xml:space="preserve">INSERT INTO FPA_FERIAS ( NRFERIAS, NRVINCULOM, NRTIPOFERIAS, NRORG, DTINIAQUISICAO, DTFIMAQUISICAO, QTMESAFASTAMENT, QTFALTASPERIODO, DTINCLUSAO, NRORGINCLUSAO, CDOPERINCLUSAO, IDCONTROLFERIAS ) VALUES ( 6, (SELECT /*MAX(*/NRVINCULOM/*)*/ FROM GPE_VINCULOM WHERE NRORG = 1456 AND CDMATRICULA = '2_363' ), '1', 1456, '14/09/2021', '13/09/2022', '', '0', SYSDATE, 1456, '000000099991', 'GOZADO_INTEGRAL' ); </v>
      </c>
      <c r="AG9" s="23" t="str" cm="1">
        <f t="array" aca="1" ref="AG9" ca="1">MIG_GERA.SCRIPT( $AG$2, $A$1:$AE$1,$A9:$AE9 )</f>
        <v xml:space="preserve">INSERT INTO FPA_GOZOFERIAS ( NRGOZOFERIAS, NRFERIAS, NRORG, DTINIGOZOFERIAS, DTFIMGOZOFERIAS, QTDIASABONOFERI, DTRETORNOFERIAS, DTINCLUSAO, NRORGINCLUSAO, CDOPERINCLUSAO, DSGOZOFERIAS ) VALUES ( 7, 6, 1456, '24/07/2023', '07/08/2023', '0', '08/08/2023', SYSDATE, 1456, '000000099991', 'Migrado' ); </v>
      </c>
      <c r="AH9" s="27" t="str">
        <f t="shared" ca="1" si="15"/>
        <v>COMMIT;</v>
      </c>
      <c r="AI9" s="46"/>
      <c r="AJ9" s="47"/>
      <c r="AK9" s="53" t="str">
        <f ca="1"/>
        <v>2_363</v>
      </c>
      <c r="AL9" s="64" t="str">
        <f ca="1"/>
        <v xml:space="preserve">  - 2_363</v>
      </c>
      <c r="AO9" s="54" t="s">
        <v>38</v>
      </c>
      <c r="AP9" s="58">
        <f ca="1">OFFSET($A$1,1,MATCH(AO9,$1:$1,0)-1)</f>
        <v>1456</v>
      </c>
      <c r="AQ9" s="58">
        <f ca="1">AP9</f>
        <v>1456</v>
      </c>
      <c r="AR9" s="54" t="s">
        <v>38</v>
      </c>
      <c r="AS9" s="56">
        <f ca="1">AP9</f>
        <v>1456</v>
      </c>
      <c r="AT9" s="56">
        <f ca="1">AQ9</f>
        <v>1456</v>
      </c>
      <c r="AU9" s="54" t="s">
        <v>38</v>
      </c>
      <c r="AV9" s="56">
        <f ca="1">AS9</f>
        <v>1456</v>
      </c>
      <c r="AW9" s="56">
        <f ca="1">AT9</f>
        <v>1456</v>
      </c>
      <c r="AX9"/>
    </row>
    <row r="10" spans="1:50" x14ac:dyDescent="0.25">
      <c r="A10" s="69" t="s">
        <v>85</v>
      </c>
      <c r="B10" s="67">
        <v>44818</v>
      </c>
      <c r="C10" s="67">
        <v>45182</v>
      </c>
      <c r="D10" s="68"/>
      <c r="E10" s="68" t="s">
        <v>92</v>
      </c>
      <c r="F10" s="68"/>
      <c r="G10" s="67">
        <v>45341</v>
      </c>
      <c r="H10" s="67">
        <v>45370</v>
      </c>
      <c r="I10" s="67">
        <v>45371</v>
      </c>
      <c r="J10" s="68">
        <v>0</v>
      </c>
      <c r="K10" s="68">
        <v>0</v>
      </c>
      <c r="M10" s="66" t="s">
        <v>79</v>
      </c>
      <c r="N10" s="62">
        <f t="shared" si="11"/>
        <v>1456</v>
      </c>
      <c r="O10" s="62" t="str">
        <f t="shared" si="12"/>
        <v>2_36314/09/2022</v>
      </c>
      <c r="P10" s="62" t="str">
        <f>IF( COUNTIF( $O$3:O10, O10 ) &lt;= 1, "único", "existente" )</f>
        <v>único</v>
      </c>
      <c r="Q10" s="62" t="str" cm="1">
        <f t="array" aca="1" ref="Q10" ca="1">_xlfn.XLOOKUP( O10, INDIRECT( BaseIdIniAquisicao ), INDIRECT( BaseNrferias ), "inexistente", 0, 1 )</f>
        <v>inexistente</v>
      </c>
      <c r="R10" s="62" t="str">
        <f t="shared" ca="1" si="13"/>
        <v>inserir</v>
      </c>
      <c r="S10" s="32">
        <f t="shared" ca="1" si="0"/>
        <v>7</v>
      </c>
      <c r="T10" s="32">
        <f t="shared" ca="1" si="1"/>
        <v>7</v>
      </c>
      <c r="U10" s="61" t="str">
        <f t="shared" si="14"/>
        <v>2_36314/09/202219/02/2024</v>
      </c>
      <c r="V10" s="32" t="str">
        <f t="shared" ca="1" si="2"/>
        <v>inexistente</v>
      </c>
      <c r="W10" s="32" t="str" cm="1">
        <f t="array" aca="1" ref="W10" ca="1">_xlfn.IFS( AC10 = "", "não", V10 = "inexistente", "inserir", 1, "não" )</f>
        <v>inserir</v>
      </c>
      <c r="X10" s="32" cm="1">
        <f t="array" aca="1" ref="X10" ca="1" xml:space="preserve"> _xlfn.IFS( AC10 = "", X9, V10 = "existe", X9, 1, X9 + 1 )</f>
        <v>8</v>
      </c>
      <c r="Y10" s="32" t="str">
        <f t="shared" si="3"/>
        <v>2_363</v>
      </c>
      <c r="Z10" s="32" t="str">
        <f t="shared" si="4"/>
        <v>14/09/2022</v>
      </c>
      <c r="AA10" s="32" t="str">
        <f t="shared" si="5"/>
        <v>13/09/2023</v>
      </c>
      <c r="AB10" s="32" t="str">
        <f t="shared" si="6"/>
        <v>GOZADO_INTEGRAL</v>
      </c>
      <c r="AC10" s="32" t="str">
        <f t="shared" si="7"/>
        <v>19/02/2024</v>
      </c>
      <c r="AD10" s="32" t="str">
        <f t="shared" si="8"/>
        <v>19/03/2024</v>
      </c>
      <c r="AE10" s="32" t="str">
        <f t="shared" si="9"/>
        <v>20/03/2024</v>
      </c>
      <c r="AF10" s="23" t="str" cm="1">
        <f t="array" aca="1" ref="AF10" ca="1">MIG_GERA.SCRIPT( $AF$2, $A$1:$AE$1,$A10:$AE10 )</f>
        <v xml:space="preserve">INSERT INTO FPA_FERIAS ( NRFERIAS, NRVINCULOM, NRTIPOFERIAS, NRORG, DTINIAQUISICAO, DTFIMAQUISICAO, QTMESAFASTAMENT, QTFALTASPERIODO, DTINCLUSAO, NRORGINCLUSAO, CDOPERINCLUSAO, IDCONTROLFERIAS ) VALUES ( 7, (SELECT /*MAX(*/NRVINCULOM/*)*/ FROM GPE_VINCULOM WHERE NRORG = 1456 AND CDMATRICULA = '2_363' ), '1', 1456, '14/09/2022', '13/09/2023', '', '0', SYSDATE, 1456, '000000099991', 'GOZADO_INTEGRAL' ); </v>
      </c>
      <c r="AG10" s="23" t="str" cm="1">
        <f t="array" aca="1" ref="AG10" ca="1">MIG_GERA.SCRIPT( $AG$2, $A$1:$AE$1,$A10:$AE10 )</f>
        <v xml:space="preserve">INSERT INTO FPA_GOZOFERIAS ( NRGOZOFERIAS, NRFERIAS, NRORG, DTINIGOZOFERIAS, DTFIMGOZOFERIAS, QTDIASABONOFERI, DTRETORNOFERIAS, DTINCLUSAO, NRORGINCLUSAO, CDOPERINCLUSAO, DSGOZOFERIAS ) VALUES ( 8, 7, 1456, '19/02/2024', '19/03/2024', '0', '20/03/2024', SYSDATE, 1456, '000000099991', 'Migrado' ); </v>
      </c>
      <c r="AH10" s="27" t="str">
        <f t="shared" ca="1" si="15"/>
        <v>COMMIT;</v>
      </c>
      <c r="AI10" s="46" t="s">
        <v>67</v>
      </c>
      <c r="AJ10" s="47" t="str">
        <f>"U3:U" &amp; DadosLinhas</f>
        <v>U3:U30</v>
      </c>
      <c r="AK10" s="53" t="str">
        <f ca="1"/>
        <v>2_363</v>
      </c>
      <c r="AL10" s="64" t="str">
        <f ca="1"/>
        <v xml:space="preserve">  - 2_363</v>
      </c>
    </row>
    <row r="11" spans="1:50" x14ac:dyDescent="0.25">
      <c r="A11" s="69" t="s">
        <v>85</v>
      </c>
      <c r="B11" s="67">
        <v>45183</v>
      </c>
      <c r="C11" s="67">
        <v>45548</v>
      </c>
      <c r="D11" s="68"/>
      <c r="E11" s="68" t="s">
        <v>92</v>
      </c>
      <c r="F11" s="68"/>
      <c r="G11" s="67">
        <v>45691</v>
      </c>
      <c r="H11" s="67">
        <v>45710</v>
      </c>
      <c r="I11" s="67">
        <v>45711</v>
      </c>
      <c r="J11" s="68">
        <v>10</v>
      </c>
      <c r="K11" s="68">
        <v>0</v>
      </c>
      <c r="M11" s="66" t="s">
        <v>79</v>
      </c>
      <c r="N11" s="62">
        <f t="shared" si="11"/>
        <v>1456</v>
      </c>
      <c r="O11" s="62" t="str">
        <f t="shared" si="12"/>
        <v>2_36314/09/2023</v>
      </c>
      <c r="P11" s="62" t="str">
        <f>IF( COUNTIF( $O$3:O11, O11 ) &lt;= 1, "único", "existente" )</f>
        <v>único</v>
      </c>
      <c r="Q11" s="62" t="str" cm="1">
        <f t="array" aca="1" ref="Q11" ca="1">_xlfn.XLOOKUP( O11, INDIRECT( BaseIdIniAquisicao ), INDIRECT( BaseNrferias ), "inexistente", 0, 1 )</f>
        <v>inexistente</v>
      </c>
      <c r="R11" s="62" t="str">
        <f t="shared" ca="1" si="13"/>
        <v>inserir</v>
      </c>
      <c r="S11" s="32">
        <f t="shared" ca="1" si="0"/>
        <v>8</v>
      </c>
      <c r="T11" s="32">
        <f t="shared" ca="1" si="1"/>
        <v>8</v>
      </c>
      <c r="U11" s="61" t="str">
        <f t="shared" si="14"/>
        <v>2_36314/09/202303/02/2025</v>
      </c>
      <c r="V11" s="32" t="str">
        <f t="shared" ca="1" si="2"/>
        <v>inexistente</v>
      </c>
      <c r="W11" s="32" t="str" cm="1">
        <f t="array" aca="1" ref="W11" ca="1">_xlfn.IFS( AC11 = "", "não", V11 = "inexistente", "inserir", 1, "não" )</f>
        <v>inserir</v>
      </c>
      <c r="X11" s="32" cm="1">
        <f t="array" aca="1" ref="X11" ca="1" xml:space="preserve"> _xlfn.IFS( AC11 = "", X10, V11 = "existe", X10, 1, X10 + 1 )</f>
        <v>9</v>
      </c>
      <c r="Y11" s="32" t="str">
        <f t="shared" si="3"/>
        <v>2_363</v>
      </c>
      <c r="Z11" s="32" t="str">
        <f t="shared" si="4"/>
        <v>14/09/2023</v>
      </c>
      <c r="AA11" s="32" t="str">
        <f t="shared" si="5"/>
        <v>13/09/2024</v>
      </c>
      <c r="AB11" s="32" t="str">
        <f t="shared" si="6"/>
        <v>GOZADO_INTEGRAL</v>
      </c>
      <c r="AC11" s="32" t="str">
        <f t="shared" si="7"/>
        <v>03/02/2025</v>
      </c>
      <c r="AD11" s="32" t="str">
        <f t="shared" si="8"/>
        <v>22/02/2025</v>
      </c>
      <c r="AE11" s="32" t="str">
        <f t="shared" si="9"/>
        <v>23/02/2025</v>
      </c>
      <c r="AF11" s="23" t="str" cm="1">
        <f t="array" aca="1" ref="AF11" ca="1">MIG_GERA.SCRIPT( $AF$2, $A$1:$AE$1,$A11:$AE11 )</f>
        <v xml:space="preserve">INSERT INTO FPA_FERIAS ( NRFERIAS, NRVINCULOM, NRTIPOFERIAS, NRORG, DTINIAQUISICAO, DTFIMAQUISICAO, QTMESAFASTAMENT, QTFALTASPERIODO, DTINCLUSAO, NRORGINCLUSAO, CDOPERINCLUSAO, IDCONTROLFERIAS ) VALUES ( 8, (SELECT /*MAX(*/NRVINCULOM/*)*/ FROM GPE_VINCULOM WHERE NRORG = 1456 AND CDMATRICULA = '2_363' ), '1', 1456, '14/09/2023', '13/09/2024', '', '0', SYSDATE, 1456, '000000099991', 'GOZADO_INTEGRAL' ); </v>
      </c>
      <c r="AG11" s="23" t="str" cm="1">
        <f t="array" aca="1" ref="AG11" ca="1">MIG_GERA.SCRIPT( $AG$2, $A$1:$AE$1,$A11:$AE11 )</f>
        <v xml:space="preserve">INSERT INTO FPA_GOZOFERIAS ( NRGOZOFERIAS, NRFERIAS, NRORG, DTINIGOZOFERIAS, DTFIMGOZOFERIAS, QTDIASABONOFERI, DTRETORNOFERIAS, DTINCLUSAO, NRORGINCLUSAO, CDOPERINCLUSAO, DSGOZOFERIAS ) VALUES ( 9, 8, 1456, '03/02/2025', '22/02/2025', '10', '23/02/2025', SYSDATE, 1456, '000000099991', 'Migrado' ); </v>
      </c>
      <c r="AH11" s="27" t="str">
        <f t="shared" ca="1" si="15"/>
        <v>COMMIT;</v>
      </c>
      <c r="AI11" s="46" t="s">
        <v>76</v>
      </c>
      <c r="AJ11" s="47" t="str">
        <f>"V3:V" &amp; DadosLinhas</f>
        <v>V3:V30</v>
      </c>
      <c r="AK11" s="53" t="str">
        <f ca="1"/>
        <v>2_363</v>
      </c>
      <c r="AL11" s="64" t="str">
        <f ca="1"/>
        <v xml:space="preserve">  - 2_363</v>
      </c>
    </row>
    <row r="12" spans="1:50" x14ac:dyDescent="0.25">
      <c r="A12" s="69" t="s">
        <v>85</v>
      </c>
      <c r="B12" s="67">
        <v>45549</v>
      </c>
      <c r="C12" s="67">
        <v>45913</v>
      </c>
      <c r="D12" s="68"/>
      <c r="E12" s="68" t="s">
        <v>92</v>
      </c>
      <c r="F12" s="68"/>
      <c r="G12" s="67">
        <v>46027</v>
      </c>
      <c r="H12" s="67">
        <v>46056</v>
      </c>
      <c r="I12" s="67">
        <v>46057</v>
      </c>
      <c r="J12" s="68">
        <v>0</v>
      </c>
      <c r="K12" s="68">
        <v>0</v>
      </c>
      <c r="M12" s="66" t="s">
        <v>79</v>
      </c>
      <c r="N12" s="62">
        <f t="shared" si="11"/>
        <v>1456</v>
      </c>
      <c r="O12" s="62" t="str">
        <f t="shared" si="12"/>
        <v>2_36314/09/2024</v>
      </c>
      <c r="P12" s="62" t="str">
        <f>IF( COUNTIF( $O$3:O12, O12 ) &lt;= 1, "único", "existente" )</f>
        <v>único</v>
      </c>
      <c r="Q12" s="62" t="str" cm="1">
        <f t="array" aca="1" ref="Q12" ca="1">_xlfn.XLOOKUP( O12, INDIRECT( BaseIdIniAquisicao ), INDIRECT( BaseNrferias ), "inexistente", 0, 1 )</f>
        <v>inexistente</v>
      </c>
      <c r="R12" s="62" t="str">
        <f t="shared" ca="1" si="13"/>
        <v>inserir</v>
      </c>
      <c r="S12" s="32">
        <f t="shared" ca="1" si="0"/>
        <v>9</v>
      </c>
      <c r="T12" s="32">
        <f t="shared" ca="1" si="1"/>
        <v>9</v>
      </c>
      <c r="U12" s="61" t="str">
        <f t="shared" si="14"/>
        <v>2_36314/09/202405/01/2026</v>
      </c>
      <c r="V12" s="32" t="str">
        <f t="shared" ca="1" si="2"/>
        <v>inexistente</v>
      </c>
      <c r="W12" s="32" t="str" cm="1">
        <f t="array" aca="1" ref="W12" ca="1">_xlfn.IFS( AC12 = "", "não", V12 = "inexistente", "inserir", 1, "não" )</f>
        <v>inserir</v>
      </c>
      <c r="X12" s="32" cm="1">
        <f t="array" aca="1" ref="X12" ca="1" xml:space="preserve"> _xlfn.IFS( AC12 = "", X11, V12 = "existe", X11, 1, X11 + 1 )</f>
        <v>10</v>
      </c>
      <c r="Y12" s="32" t="str">
        <f t="shared" si="3"/>
        <v>2_363</v>
      </c>
      <c r="Z12" s="32" t="str">
        <f t="shared" si="4"/>
        <v>14/09/2024</v>
      </c>
      <c r="AA12" s="32" t="str">
        <f t="shared" si="5"/>
        <v>13/09/2025</v>
      </c>
      <c r="AB12" s="32" t="str">
        <f t="shared" si="6"/>
        <v>GOZADO_INTEGRAL</v>
      </c>
      <c r="AC12" s="32" t="str">
        <f t="shared" si="7"/>
        <v>05/01/2026</v>
      </c>
      <c r="AD12" s="32" t="str">
        <f t="shared" si="8"/>
        <v>03/02/2026</v>
      </c>
      <c r="AE12" s="32" t="str">
        <f t="shared" si="9"/>
        <v>04/02/2026</v>
      </c>
      <c r="AF12" s="23" t="str" cm="1">
        <f t="array" aca="1" ref="AF12" ca="1">MIG_GERA.SCRIPT( $AF$2, $A$1:$AE$1,$A12:$AE12 )</f>
        <v xml:space="preserve">INSERT INTO FPA_FERIAS ( NRFERIAS, NRVINCULOM, NRTIPOFERIAS, NRORG, DTINIAQUISICAO, DTFIMAQUISICAO, QTMESAFASTAMENT, QTFALTASPERIODO, DTINCLUSAO, NRORGINCLUSAO, CDOPERINCLUSAO, IDCONTROLFERIAS ) VALUES ( 9, (SELECT /*MAX(*/NRVINCULOM/*)*/ FROM GPE_VINCULOM WHERE NRORG = 1456 AND CDMATRICULA = '2_363' ), '1', 1456, '14/09/2024', '13/09/2025', '', '0', SYSDATE, 1456, '000000099991', 'GOZADO_INTEGRAL' ); </v>
      </c>
      <c r="AG12" s="23" t="str" cm="1">
        <f t="array" aca="1" ref="AG12" ca="1">MIG_GERA.SCRIPT( $AG$2, $A$1:$AE$1,$A12:$AE12 )</f>
        <v xml:space="preserve">INSERT INTO FPA_GOZOFERIAS ( NRGOZOFERIAS, NRFERIAS, NRORG, DTINIGOZOFERIAS, DTFIMGOZOFERIAS, QTDIASABONOFERI, DTRETORNOFERIAS, DTINCLUSAO, NRORGINCLUSAO, CDOPERINCLUSAO, DSGOZOFERIAS ) VALUES ( 10, 9, 1456, '05/01/2026', '03/02/2026', '0', '04/02/2026', SYSDATE, 1456, '000000099991', 'Migrado' ); </v>
      </c>
      <c r="AH12" s="27" t="str">
        <f t="shared" ca="1" si="15"/>
        <v>COMMIT;</v>
      </c>
      <c r="AI12" s="46"/>
      <c r="AJ12" s="47"/>
      <c r="AK12" s="53" t="str">
        <f ca="1"/>
        <v>2_363</v>
      </c>
      <c r="AL12" s="64" t="str">
        <f ca="1"/>
        <v xml:space="preserve">  - 2_363</v>
      </c>
    </row>
    <row r="13" spans="1:50" x14ac:dyDescent="0.25">
      <c r="A13" s="69" t="s">
        <v>86</v>
      </c>
      <c r="B13" s="67">
        <v>44641</v>
      </c>
      <c r="C13" s="67">
        <v>45005</v>
      </c>
      <c r="D13" s="68"/>
      <c r="E13" s="68" t="s">
        <v>92</v>
      </c>
      <c r="F13" s="68"/>
      <c r="G13" s="67">
        <v>45124</v>
      </c>
      <c r="H13" s="67">
        <v>45138</v>
      </c>
      <c r="I13" s="67">
        <v>45139</v>
      </c>
      <c r="J13" s="68">
        <v>0</v>
      </c>
      <c r="K13" s="68">
        <v>0</v>
      </c>
      <c r="M13" s="66" t="s">
        <v>79</v>
      </c>
      <c r="N13" s="62">
        <f t="shared" si="11"/>
        <v>1456</v>
      </c>
      <c r="O13" s="62" t="str">
        <f t="shared" si="12"/>
        <v>2_37821/03/2022</v>
      </c>
      <c r="P13" s="62" t="str">
        <f>IF( COUNTIF( $O$3:O13, O13 ) &lt;= 1, "único", "existente" )</f>
        <v>único</v>
      </c>
      <c r="Q13" s="62" t="str" cm="1">
        <f t="array" aca="1" ref="Q13" ca="1">_xlfn.XLOOKUP( O13, INDIRECT( BaseIdIniAquisicao ), INDIRECT( BaseNrferias ), "inexistente", 0, 1 )</f>
        <v>inexistente</v>
      </c>
      <c r="R13" s="62" t="str">
        <f t="shared" ca="1" si="13"/>
        <v>inserir</v>
      </c>
      <c r="S13" s="32">
        <f t="shared" ca="1" si="0"/>
        <v>10</v>
      </c>
      <c r="T13" s="32">
        <f t="shared" ca="1" si="1"/>
        <v>10</v>
      </c>
      <c r="U13" s="61" t="str">
        <f t="shared" si="14"/>
        <v>2_37821/03/202217/07/2023</v>
      </c>
      <c r="V13" s="32" t="str">
        <f t="shared" ca="1" si="2"/>
        <v>inexistente</v>
      </c>
      <c r="W13" s="32" t="str" cm="1">
        <f t="array" aca="1" ref="W13" ca="1">_xlfn.IFS( AC13 = "", "não", V13 = "inexistente", "inserir", 1, "não" )</f>
        <v>inserir</v>
      </c>
      <c r="X13" s="32" cm="1">
        <f t="array" aca="1" ref="X13" ca="1" xml:space="preserve"> _xlfn.IFS( AC13 = "", X12, V13 = "existe", X12, 1, X12 + 1 )</f>
        <v>11</v>
      </c>
      <c r="Y13" s="32" t="str">
        <f t="shared" si="3"/>
        <v>2_378</v>
      </c>
      <c r="Z13" s="32" t="str">
        <f t="shared" si="4"/>
        <v>21/03/2022</v>
      </c>
      <c r="AA13" s="32" t="str">
        <f t="shared" si="5"/>
        <v>20/03/2023</v>
      </c>
      <c r="AB13" s="32" t="str">
        <f t="shared" si="6"/>
        <v>GOZADO_INTEGRAL</v>
      </c>
      <c r="AC13" s="32" t="str">
        <f t="shared" si="7"/>
        <v>17/07/2023</v>
      </c>
      <c r="AD13" s="32" t="str">
        <f t="shared" si="8"/>
        <v>31/07/2023</v>
      </c>
      <c r="AE13" s="32" t="str">
        <f t="shared" si="9"/>
        <v>01/08/2023</v>
      </c>
      <c r="AF13" s="23" t="str" cm="1">
        <f t="array" aca="1" ref="AF13" ca="1">MIG_GERA.SCRIPT( $AF$2, $A$1:$AE$1,$A13:$AE13 )</f>
        <v xml:space="preserve">INSERT INTO FPA_FERIAS ( NRFERIAS, NRVINCULOM, NRTIPOFERIAS, NRORG, DTINIAQUISICAO, DTFIMAQUISICAO, QTMESAFASTAMENT, QTFALTASPERIODO, DTINCLUSAO, NRORGINCLUSAO, CDOPERINCLUSAO, IDCONTROLFERIAS ) VALUES ( 10, (SELECT /*MAX(*/NRVINCULOM/*)*/ FROM GPE_VINCULOM WHERE NRORG = 1456 AND CDMATRICULA = '2_378' ), '1', 1456, '21/03/2022', '20/03/2023', '', '0', SYSDATE, 1456, '000000099991', 'GOZADO_INTEGRAL' ); </v>
      </c>
      <c r="AG13" s="23" t="str" cm="1">
        <f t="array" aca="1" ref="AG13" ca="1">MIG_GERA.SCRIPT( $AG$2, $A$1:$AE$1,$A13:$AE13 )</f>
        <v xml:space="preserve">INSERT INTO FPA_GOZOFERIAS ( NRGOZOFERIAS, NRFERIAS, NRORG, DTINIGOZOFERIAS, DTFIMGOZOFERIAS, QTDIASABONOFERI, DTRETORNOFERIAS, DTINCLUSAO, NRORGINCLUSAO, CDOPERINCLUSAO, DSGOZOFERIAS ) VALUES ( 11, 10, 1456, '17/07/2023', '31/07/2023', '0', '01/08/2023', SYSDATE, 1456, '000000099991', 'Migrado' ); </v>
      </c>
      <c r="AH13" s="27" t="str">
        <f t="shared" ca="1" si="15"/>
        <v>COMMIT;</v>
      </c>
      <c r="AI13" s="45" t="s">
        <v>48</v>
      </c>
      <c r="AJ13" s="52"/>
      <c r="AK13" s="53" t="str">
        <f ca="1"/>
        <v>2_378</v>
      </c>
      <c r="AL13" s="64" t="str">
        <f ca="1"/>
        <v xml:space="preserve">  - 2_378</v>
      </c>
    </row>
    <row r="14" spans="1:50" x14ac:dyDescent="0.25">
      <c r="A14" s="69" t="s">
        <v>86</v>
      </c>
      <c r="B14" s="67">
        <v>44641</v>
      </c>
      <c r="C14" s="67">
        <v>45005</v>
      </c>
      <c r="D14" s="68"/>
      <c r="E14" s="68" t="s">
        <v>92</v>
      </c>
      <c r="F14" s="68"/>
      <c r="G14" s="67">
        <v>45306</v>
      </c>
      <c r="H14" s="67">
        <v>45320</v>
      </c>
      <c r="I14" s="67">
        <v>45321</v>
      </c>
      <c r="J14" s="68">
        <v>0</v>
      </c>
      <c r="K14" s="68">
        <v>0</v>
      </c>
      <c r="M14" s="66" t="s">
        <v>79</v>
      </c>
      <c r="N14" s="62">
        <f t="shared" si="11"/>
        <v>1456</v>
      </c>
      <c r="O14" s="62" t="str">
        <f t="shared" si="12"/>
        <v>2_37821/03/2022</v>
      </c>
      <c r="P14" s="62" t="str">
        <f>IF( COUNTIF( $O$3:O14, O14 ) &lt;= 1, "único", "existente" )</f>
        <v>existente</v>
      </c>
      <c r="Q14" s="62" t="str" cm="1">
        <f t="array" aca="1" ref="Q14" ca="1">_xlfn.XLOOKUP( O14, INDIRECT( BaseIdIniAquisicao ), INDIRECT( BaseNrferias ), "inexistente", 0, 1 )</f>
        <v>inexistente</v>
      </c>
      <c r="R14" s="62" t="str">
        <f t="shared" ca="1" si="13"/>
        <v>existente</v>
      </c>
      <c r="S14" s="32">
        <f t="shared" ca="1" si="0"/>
        <v>10</v>
      </c>
      <c r="T14" s="32">
        <f t="shared" ca="1" si="1"/>
        <v>10</v>
      </c>
      <c r="U14" s="61" t="str">
        <f t="shared" si="14"/>
        <v>2_37821/03/202215/01/2024</v>
      </c>
      <c r="V14" s="32" t="str">
        <f t="shared" ca="1" si="2"/>
        <v>inexistente</v>
      </c>
      <c r="W14" s="32" t="str" cm="1">
        <f t="array" aca="1" ref="W14" ca="1">_xlfn.IFS( AC14 = "", "não", V14 = "inexistente", "inserir", 1, "não" )</f>
        <v>inserir</v>
      </c>
      <c r="X14" s="32" cm="1">
        <f t="array" aca="1" ref="X14" ca="1" xml:space="preserve"> _xlfn.IFS( AC14 = "", X13, V14 = "existe", X13, 1, X13 + 1 )</f>
        <v>12</v>
      </c>
      <c r="Y14" s="32" t="str">
        <f t="shared" si="3"/>
        <v>2_378</v>
      </c>
      <c r="Z14" s="32" t="str">
        <f t="shared" si="4"/>
        <v>21/03/2022</v>
      </c>
      <c r="AA14" s="32" t="str">
        <f t="shared" si="5"/>
        <v>20/03/2023</v>
      </c>
      <c r="AB14" s="32" t="str">
        <f t="shared" si="6"/>
        <v>GOZADO_INTEGRAL</v>
      </c>
      <c r="AC14" s="32" t="str">
        <f t="shared" si="7"/>
        <v>15/01/2024</v>
      </c>
      <c r="AD14" s="32" t="str">
        <f t="shared" si="8"/>
        <v>29/01/2024</v>
      </c>
      <c r="AE14" s="32" t="str">
        <f t="shared" si="9"/>
        <v>30/01/2024</v>
      </c>
      <c r="AF14" s="23" t="str" cm="1">
        <f t="array" aca="1" ref="AF14" ca="1">MIG_GERA.SCRIPT( $AF$2, $A$1:$AE$1,$A14:$AE14 )</f>
        <v xml:space="preserve">INSERT INTO FPA_FERIAS ( NRFERIAS, NRVINCULOM, NRTIPOFERIAS, NRORG, DTINIAQUISICAO, DTFIMAQUISICAO, QTMESAFASTAMENT, QTFALTASPERIODO, DTINCLUSAO, NRORGINCLUSAO, CDOPERINCLUSAO, IDCONTROLFERIAS ) VALUES ( 10, (SELECT /*MAX(*/NRVINCULOM/*)*/ FROM GPE_VINCULOM WHERE NRORG = 1456 AND CDMATRICULA = '2_378' ), '1', 1456, '21/03/2022', '20/03/2023', '', '0', SYSDATE, 1456, '000000099991', 'GOZADO_INTEGRAL' ); </v>
      </c>
      <c r="AG14" s="23" t="str" cm="1">
        <f t="array" aca="1" ref="AG14" ca="1">MIG_GERA.SCRIPT( $AG$2, $A$1:$AE$1,$A14:$AE14 )</f>
        <v xml:space="preserve">INSERT INTO FPA_GOZOFERIAS ( NRGOZOFERIAS, NRFERIAS, NRORG, DTINIGOZOFERIAS, DTFIMGOZOFERIAS, QTDIASABONOFERI, DTRETORNOFERIAS, DTINCLUSAO, NRORGINCLUSAO, CDOPERINCLUSAO, DSGOZOFERIAS ) VALUES ( 12, 10, 1456, '15/01/2024', '29/01/2024', '0', '30/01/2024', SYSDATE, 1456, '000000099991', 'Migrado' ); </v>
      </c>
      <c r="AH14" s="27" t="str">
        <f t="shared" ca="1" si="15"/>
        <v>COMMIT;</v>
      </c>
      <c r="AI14" s="46" t="s">
        <v>47</v>
      </c>
      <c r="AJ14" s="52">
        <f>COUNTA( Base!A:A )</f>
        <v>1</v>
      </c>
      <c r="AK14" s="53" t="str">
        <f ca="1"/>
        <v>2_378</v>
      </c>
      <c r="AL14" s="64" t="str">
        <f ca="1"/>
        <v xml:space="preserve">  - 2_378</v>
      </c>
    </row>
    <row r="15" spans="1:50" x14ac:dyDescent="0.25">
      <c r="A15" s="69" t="s">
        <v>86</v>
      </c>
      <c r="B15" s="67">
        <v>45006</v>
      </c>
      <c r="C15" s="67">
        <v>45371</v>
      </c>
      <c r="D15" s="68"/>
      <c r="E15" s="68" t="s">
        <v>92</v>
      </c>
      <c r="F15" s="68"/>
      <c r="G15" s="67">
        <v>45498</v>
      </c>
      <c r="H15" s="67">
        <v>45512</v>
      </c>
      <c r="I15" s="67">
        <v>45513</v>
      </c>
      <c r="J15" s="68">
        <v>0</v>
      </c>
      <c r="K15" s="68">
        <v>0</v>
      </c>
      <c r="M15" s="66" t="s">
        <v>79</v>
      </c>
      <c r="N15" s="62">
        <f t="shared" si="11"/>
        <v>1456</v>
      </c>
      <c r="O15" s="62" t="str">
        <f t="shared" si="12"/>
        <v>2_37821/03/2023</v>
      </c>
      <c r="P15" s="62" t="str">
        <f>IF( COUNTIF( $O$3:O15, O15 ) &lt;= 1, "único", "existente" )</f>
        <v>único</v>
      </c>
      <c r="Q15" s="62" t="str" cm="1">
        <f t="array" aca="1" ref="Q15" ca="1">_xlfn.XLOOKUP( O15, INDIRECT( BaseIdIniAquisicao ), INDIRECT( BaseNrferias ), "inexistente", 0, 1 )</f>
        <v>inexistente</v>
      </c>
      <c r="R15" s="62" t="str">
        <f t="shared" ca="1" si="13"/>
        <v>inserir</v>
      </c>
      <c r="S15" s="32">
        <f t="shared" ca="1" si="0"/>
        <v>11</v>
      </c>
      <c r="T15" s="32">
        <f t="shared" ca="1" si="1"/>
        <v>11</v>
      </c>
      <c r="U15" s="61" t="str">
        <f t="shared" si="14"/>
        <v>2_37821/03/202325/07/2024</v>
      </c>
      <c r="V15" s="32" t="str">
        <f t="shared" ca="1" si="2"/>
        <v>inexistente</v>
      </c>
      <c r="W15" s="32" t="str" cm="1">
        <f t="array" aca="1" ref="W15" ca="1">_xlfn.IFS( AC15 = "", "não", V15 = "inexistente", "inserir", 1, "não" )</f>
        <v>inserir</v>
      </c>
      <c r="X15" s="32" cm="1">
        <f t="array" aca="1" ref="X15" ca="1" xml:space="preserve"> _xlfn.IFS( AC15 = "", X14, V15 = "existe", X14, 1, X14 + 1 )</f>
        <v>13</v>
      </c>
      <c r="Y15" s="32" t="str">
        <f t="shared" si="3"/>
        <v>2_378</v>
      </c>
      <c r="Z15" s="32" t="str">
        <f t="shared" si="4"/>
        <v>21/03/2023</v>
      </c>
      <c r="AA15" s="32" t="str">
        <f t="shared" si="5"/>
        <v>20/03/2024</v>
      </c>
      <c r="AB15" s="32" t="str">
        <f t="shared" si="6"/>
        <v>GOZADO_INTEGRAL</v>
      </c>
      <c r="AC15" s="32" t="str">
        <f t="shared" si="7"/>
        <v>25/07/2024</v>
      </c>
      <c r="AD15" s="32" t="str">
        <f t="shared" si="8"/>
        <v>08/08/2024</v>
      </c>
      <c r="AE15" s="32" t="str">
        <f t="shared" si="9"/>
        <v>09/08/2024</v>
      </c>
      <c r="AF15" s="23" t="str" cm="1">
        <f t="array" aca="1" ref="AF15" ca="1">MIG_GERA.SCRIPT( $AF$2, $A$1:$AE$1,$A15:$AE15 )</f>
        <v xml:space="preserve">INSERT INTO FPA_FERIAS ( NRFERIAS, NRVINCULOM, NRTIPOFERIAS, NRORG, DTINIAQUISICAO, DTFIMAQUISICAO, QTMESAFASTAMENT, QTFALTASPERIODO, DTINCLUSAO, NRORGINCLUSAO, CDOPERINCLUSAO, IDCONTROLFERIAS ) VALUES ( 11, (SELECT /*MAX(*/NRVINCULOM/*)*/ FROM GPE_VINCULOM WHERE NRORG = 1456 AND CDMATRICULA = '2_378' ), '1', 1456, '21/03/2023', '20/03/2024', '', '0', SYSDATE, 1456, '000000099991', 'GOZADO_INTEGRAL' ); </v>
      </c>
      <c r="AG15" s="23" t="str" cm="1">
        <f t="array" aca="1" ref="AG15" ca="1">MIG_GERA.SCRIPT( $AG$2, $A$1:$AE$1,$A15:$AE15 )</f>
        <v xml:space="preserve">INSERT INTO FPA_GOZOFERIAS ( NRGOZOFERIAS, NRFERIAS, NRORG, DTINIGOZOFERIAS, DTFIMGOZOFERIAS, QTDIASABONOFERI, DTRETORNOFERIAS, DTINCLUSAO, NRORGINCLUSAO, CDOPERINCLUSAO, DSGOZOFERIAS ) VALUES ( 13, 11, 1456, '25/07/2024', '08/08/2024', '0', '09/08/2024', SYSDATE, 1456, '000000099991', 'Migrado' ); </v>
      </c>
      <c r="AH15" s="27" t="str">
        <f t="shared" ca="1" si="15"/>
        <v>COMMIT;</v>
      </c>
      <c r="AI15" s="46" t="s">
        <v>74</v>
      </c>
      <c r="AJ15" s="47" t="str" cm="1">
        <f t="array" ref="AJ15">_xlfn.IFS( ID = "CDMATRICULA", "Base!A2:A", ID = "NRVINCULOM", "Base!B2:B", 1, "ERRO VALOR MATRICULA") &amp; BaseLinhas</f>
        <v>Base!A2:A1</v>
      </c>
      <c r="AK15" s="53" t="str">
        <f ca="1"/>
        <v>2_378</v>
      </c>
      <c r="AL15" s="64" t="str">
        <f ca="1"/>
        <v xml:space="preserve">  - 2_378</v>
      </c>
    </row>
    <row r="16" spans="1:50" x14ac:dyDescent="0.25">
      <c r="A16" s="69" t="s">
        <v>86</v>
      </c>
      <c r="B16" s="67">
        <v>45006</v>
      </c>
      <c r="C16" s="67">
        <v>45371</v>
      </c>
      <c r="D16" s="68"/>
      <c r="E16" s="68" t="s">
        <v>92</v>
      </c>
      <c r="F16" s="68"/>
      <c r="G16" s="67">
        <v>45677</v>
      </c>
      <c r="H16" s="67">
        <v>45691</v>
      </c>
      <c r="I16" s="67">
        <v>45692</v>
      </c>
      <c r="J16" s="68">
        <v>0</v>
      </c>
      <c r="K16" s="68">
        <v>0</v>
      </c>
      <c r="M16" s="66" t="s">
        <v>79</v>
      </c>
      <c r="N16" s="62">
        <f t="shared" si="11"/>
        <v>1456</v>
      </c>
      <c r="O16" s="62" t="str">
        <f t="shared" si="12"/>
        <v>2_37821/03/2023</v>
      </c>
      <c r="P16" s="62" t="str">
        <f>IF( COUNTIF( $O$3:O16, O16 ) &lt;= 1, "único", "existente" )</f>
        <v>existente</v>
      </c>
      <c r="Q16" s="62" t="str" cm="1">
        <f t="array" aca="1" ref="Q16" ca="1">_xlfn.XLOOKUP( O16, INDIRECT( BaseIdIniAquisicao ), INDIRECT( BaseNrferias ), "inexistente", 0, 1 )</f>
        <v>inexistente</v>
      </c>
      <c r="R16" s="62" t="str">
        <f t="shared" ca="1" si="13"/>
        <v>existente</v>
      </c>
      <c r="S16" s="32">
        <f t="shared" ca="1" si="0"/>
        <v>11</v>
      </c>
      <c r="T16" s="32">
        <f t="shared" ca="1" si="1"/>
        <v>11</v>
      </c>
      <c r="U16" s="61" t="str">
        <f t="shared" si="14"/>
        <v>2_37821/03/202320/01/2025</v>
      </c>
      <c r="V16" s="32" t="str">
        <f t="shared" ca="1" si="2"/>
        <v>inexistente</v>
      </c>
      <c r="W16" s="32" t="str" cm="1">
        <f t="array" aca="1" ref="W16" ca="1">_xlfn.IFS( AC16 = "", "não", V16 = "inexistente", "inserir", 1, "não" )</f>
        <v>inserir</v>
      </c>
      <c r="X16" s="32" cm="1">
        <f t="array" aca="1" ref="X16" ca="1" xml:space="preserve"> _xlfn.IFS( AC16 = "", X15, V16 = "existe", X15, 1, X15 + 1 )</f>
        <v>14</v>
      </c>
      <c r="Y16" s="32" t="str">
        <f t="shared" si="3"/>
        <v>2_378</v>
      </c>
      <c r="Z16" s="32" t="str">
        <f t="shared" si="4"/>
        <v>21/03/2023</v>
      </c>
      <c r="AA16" s="32" t="str">
        <f t="shared" si="5"/>
        <v>20/03/2024</v>
      </c>
      <c r="AB16" s="32" t="str">
        <f t="shared" si="6"/>
        <v>GOZADO_INTEGRAL</v>
      </c>
      <c r="AC16" s="32" t="str">
        <f t="shared" si="7"/>
        <v>20/01/2025</v>
      </c>
      <c r="AD16" s="32" t="str">
        <f t="shared" si="8"/>
        <v>03/02/2025</v>
      </c>
      <c r="AE16" s="32" t="str">
        <f t="shared" si="9"/>
        <v>04/02/2025</v>
      </c>
      <c r="AF16" s="23" t="str" cm="1">
        <f t="array" aca="1" ref="AF16" ca="1">MIG_GERA.SCRIPT( $AF$2, $A$1:$AE$1,$A16:$AE16 )</f>
        <v xml:space="preserve">INSERT INTO FPA_FERIAS ( NRFERIAS, NRVINCULOM, NRTIPOFERIAS, NRORG, DTINIAQUISICAO, DTFIMAQUISICAO, QTMESAFASTAMENT, QTFALTASPERIODO, DTINCLUSAO, NRORGINCLUSAO, CDOPERINCLUSAO, IDCONTROLFERIAS ) VALUES ( 11, (SELECT /*MAX(*/NRVINCULOM/*)*/ FROM GPE_VINCULOM WHERE NRORG = 1456 AND CDMATRICULA = '2_378' ), '1', 1456, '21/03/2023', '20/03/2024', '', '0', SYSDATE, 1456, '000000099991', 'GOZADO_INTEGRAL' ); </v>
      </c>
      <c r="AG16" s="23" t="str" cm="1">
        <f t="array" aca="1" ref="AG16" ca="1">MIG_GERA.SCRIPT( $AG$2, $A$1:$AE$1,$A16:$AE16 )</f>
        <v xml:space="preserve">INSERT INTO FPA_GOZOFERIAS ( NRGOZOFERIAS, NRFERIAS, NRORG, DTINIGOZOFERIAS, DTFIMGOZOFERIAS, QTDIASABONOFERI, DTRETORNOFERIAS, DTINCLUSAO, NRORGINCLUSAO, CDOPERINCLUSAO, DSGOZOFERIAS ) VALUES ( 14, 11, 1456, '20/01/2025', '03/02/2025', '0', '04/02/2025', SYSDATE, 1456, '000000099991', 'Migrado' ); </v>
      </c>
      <c r="AH16" s="27" t="str">
        <f t="shared" ca="1" si="15"/>
        <v>COMMIT;</v>
      </c>
      <c r="AI16" s="46" t="s">
        <v>64</v>
      </c>
      <c r="AJ16" s="47" t="str">
        <f>"Base!H2:H" &amp; BaseLinhas</f>
        <v>Base!H2:H1</v>
      </c>
      <c r="AK16" s="53" t="str">
        <f ca="1"/>
        <v>2_378</v>
      </c>
      <c r="AL16" s="64" t="str">
        <f ca="1"/>
        <v xml:space="preserve">  - 2_378</v>
      </c>
    </row>
    <row r="17" spans="1:38" x14ac:dyDescent="0.25">
      <c r="A17" s="69" t="s">
        <v>86</v>
      </c>
      <c r="B17" s="67">
        <v>45372</v>
      </c>
      <c r="C17" s="67">
        <v>45736</v>
      </c>
      <c r="D17" s="68"/>
      <c r="E17" s="68" t="s">
        <v>92</v>
      </c>
      <c r="F17" s="68"/>
      <c r="G17" s="67">
        <v>45852</v>
      </c>
      <c r="H17" s="67">
        <v>45866</v>
      </c>
      <c r="I17" s="67">
        <v>45867</v>
      </c>
      <c r="J17" s="68">
        <v>0</v>
      </c>
      <c r="K17" s="68">
        <v>0</v>
      </c>
      <c r="M17" s="66" t="s">
        <v>79</v>
      </c>
      <c r="N17" s="62">
        <f t="shared" si="11"/>
        <v>1456</v>
      </c>
      <c r="O17" s="62" t="str">
        <f t="shared" si="12"/>
        <v>2_37821/03/2024</v>
      </c>
      <c r="P17" s="62" t="str">
        <f>IF( COUNTIF( $O$3:O17, O17 ) &lt;= 1, "único", "existente" )</f>
        <v>único</v>
      </c>
      <c r="Q17" s="62" t="str" cm="1">
        <f t="array" aca="1" ref="Q17" ca="1">_xlfn.XLOOKUP( O17, INDIRECT( BaseIdIniAquisicao ), INDIRECT( BaseNrferias ), "inexistente", 0, 1 )</f>
        <v>inexistente</v>
      </c>
      <c r="R17" s="62" t="str">
        <f t="shared" ca="1" si="13"/>
        <v>inserir</v>
      </c>
      <c r="S17" s="32">
        <f t="shared" ca="1" si="0"/>
        <v>12</v>
      </c>
      <c r="T17" s="32">
        <f t="shared" ca="1" si="1"/>
        <v>12</v>
      </c>
      <c r="U17" s="61" t="str">
        <f t="shared" si="14"/>
        <v>2_37821/03/202414/07/2025</v>
      </c>
      <c r="V17" s="32" t="str">
        <f t="shared" ca="1" si="2"/>
        <v>inexistente</v>
      </c>
      <c r="W17" s="32" t="str" cm="1">
        <f t="array" aca="1" ref="W17" ca="1">_xlfn.IFS( AC17 = "", "não", V17 = "inexistente", "inserir", 1, "não" )</f>
        <v>inserir</v>
      </c>
      <c r="X17" s="32" cm="1">
        <f t="array" aca="1" ref="X17" ca="1" xml:space="preserve"> _xlfn.IFS( AC17 = "", X16, V17 = "existe", X16, 1, X16 + 1 )</f>
        <v>15</v>
      </c>
      <c r="Y17" s="32" t="str">
        <f t="shared" si="3"/>
        <v>2_378</v>
      </c>
      <c r="Z17" s="32" t="str">
        <f t="shared" si="4"/>
        <v>21/03/2024</v>
      </c>
      <c r="AA17" s="32" t="str">
        <f t="shared" si="5"/>
        <v>20/03/2025</v>
      </c>
      <c r="AB17" s="32" t="str">
        <f t="shared" si="6"/>
        <v>GOZADO_INTEGRAL</v>
      </c>
      <c r="AC17" s="32" t="str">
        <f t="shared" si="7"/>
        <v>14/07/2025</v>
      </c>
      <c r="AD17" s="32" t="str">
        <f t="shared" si="8"/>
        <v>28/07/2025</v>
      </c>
      <c r="AE17" s="32" t="str">
        <f t="shared" si="9"/>
        <v>29/07/2025</v>
      </c>
      <c r="AF17" s="23" t="str" cm="1">
        <f t="array" aca="1" ref="AF17" ca="1">MIG_GERA.SCRIPT( $AF$2, $A$1:$AE$1,$A17:$AE17 )</f>
        <v xml:space="preserve">INSERT INTO FPA_FERIAS ( NRFERIAS, NRVINCULOM, NRTIPOFERIAS, NRORG, DTINIAQUISICAO, DTFIMAQUISICAO, QTMESAFASTAMENT, QTFALTASPERIODO, DTINCLUSAO, NRORGINCLUSAO, CDOPERINCLUSAO, IDCONTROLFERIAS ) VALUES ( 12, (SELECT /*MAX(*/NRVINCULOM/*)*/ FROM GPE_VINCULOM WHERE NRORG = 1456 AND CDMATRICULA = '2_378' ), '1', 1456, '21/03/2024', '20/03/2025', '', '0', SYSDATE, 1456, '000000099991', 'GOZADO_INTEGRAL' ); </v>
      </c>
      <c r="AG17" s="23" t="str" cm="1">
        <f t="array" aca="1" ref="AG17" ca="1">MIG_GERA.SCRIPT( $AG$2, $A$1:$AE$1,$A17:$AE17 )</f>
        <v xml:space="preserve">INSERT INTO FPA_GOZOFERIAS ( NRGOZOFERIAS, NRFERIAS, NRORG, DTINIGOZOFERIAS, DTFIMGOZOFERIAS, QTDIASABONOFERI, DTRETORNOFERIAS, DTINCLUSAO, NRORGINCLUSAO, CDOPERINCLUSAO, DSGOZOFERIAS ) VALUES ( 15, 12, 1456, '14/07/2025', '28/07/2025', '0', '29/07/2025', SYSDATE, 1456, '000000099991', 'Migrado' ); </v>
      </c>
      <c r="AH17" s="27" t="str">
        <f t="shared" ca="1" si="15"/>
        <v>COMMIT;</v>
      </c>
      <c r="AI17" s="46" t="s">
        <v>50</v>
      </c>
      <c r="AJ17" s="47" t="str">
        <f>"Base!D2:D" &amp; BaseLinhas</f>
        <v>Base!D2:D1</v>
      </c>
      <c r="AK17" s="53" t="str">
        <f ca="1"/>
        <v>2_378</v>
      </c>
      <c r="AL17" s="64" t="str">
        <f ca="1"/>
        <v xml:space="preserve">  - 2_378</v>
      </c>
    </row>
    <row r="18" spans="1:38" x14ac:dyDescent="0.25">
      <c r="A18" s="69" t="s">
        <v>86</v>
      </c>
      <c r="B18" s="67">
        <v>45372</v>
      </c>
      <c r="C18" s="67">
        <v>45736</v>
      </c>
      <c r="D18" s="68"/>
      <c r="E18" s="68" t="s">
        <v>92</v>
      </c>
      <c r="F18" s="68"/>
      <c r="G18" s="67">
        <v>46041</v>
      </c>
      <c r="H18" s="67">
        <v>46055</v>
      </c>
      <c r="I18" s="67">
        <v>46056</v>
      </c>
      <c r="J18" s="68">
        <v>0</v>
      </c>
      <c r="K18" s="68">
        <v>0</v>
      </c>
      <c r="M18" s="66" t="s">
        <v>79</v>
      </c>
      <c r="N18" s="62">
        <f t="shared" si="11"/>
        <v>1456</v>
      </c>
      <c r="O18" s="62" t="str">
        <f t="shared" si="12"/>
        <v>2_37821/03/2024</v>
      </c>
      <c r="P18" s="62" t="str">
        <f>IF( COUNTIF( $O$3:O18, O18 ) &lt;= 1, "único", "existente" )</f>
        <v>existente</v>
      </c>
      <c r="Q18" s="62" t="str" cm="1">
        <f t="array" aca="1" ref="Q18" ca="1">_xlfn.XLOOKUP( O18, INDIRECT( BaseIdIniAquisicao ), INDIRECT( BaseNrferias ), "inexistente", 0, 1 )</f>
        <v>inexistente</v>
      </c>
      <c r="R18" s="62" t="str">
        <f t="shared" ca="1" si="13"/>
        <v>existente</v>
      </c>
      <c r="S18" s="32">
        <f t="shared" ca="1" si="0"/>
        <v>12</v>
      </c>
      <c r="T18" s="32">
        <f t="shared" ca="1" si="1"/>
        <v>12</v>
      </c>
      <c r="U18" s="61" t="str">
        <f t="shared" si="14"/>
        <v>2_37821/03/202419/01/2026</v>
      </c>
      <c r="V18" s="32" t="str">
        <f t="shared" ca="1" si="2"/>
        <v>inexistente</v>
      </c>
      <c r="W18" s="32" t="str" cm="1">
        <f t="array" aca="1" ref="W18" ca="1">_xlfn.IFS( AC18 = "", "não", V18 = "inexistente", "inserir", 1, "não" )</f>
        <v>inserir</v>
      </c>
      <c r="X18" s="32" cm="1">
        <f t="array" aca="1" ref="X18" ca="1" xml:space="preserve"> _xlfn.IFS( AC18 = "", X17, V18 = "existe", X17, 1, X17 + 1 )</f>
        <v>16</v>
      </c>
      <c r="Y18" s="32" t="str">
        <f t="shared" si="3"/>
        <v>2_378</v>
      </c>
      <c r="Z18" s="32" t="str">
        <f t="shared" si="4"/>
        <v>21/03/2024</v>
      </c>
      <c r="AA18" s="32" t="str">
        <f t="shared" si="5"/>
        <v>20/03/2025</v>
      </c>
      <c r="AB18" s="32" t="str">
        <f t="shared" si="6"/>
        <v>GOZADO_INTEGRAL</v>
      </c>
      <c r="AC18" s="32" t="str">
        <f t="shared" si="7"/>
        <v>19/01/2026</v>
      </c>
      <c r="AD18" s="32" t="str">
        <f t="shared" si="8"/>
        <v>02/02/2026</v>
      </c>
      <c r="AE18" s="32" t="str">
        <f t="shared" si="9"/>
        <v>03/02/2026</v>
      </c>
      <c r="AF18" s="23" t="str" cm="1">
        <f t="array" aca="1" ref="AF18" ca="1">MIG_GERA.SCRIPT( $AF$2, $A$1:$AE$1,$A18:$AE18 )</f>
        <v xml:space="preserve">INSERT INTO FPA_FERIAS ( NRFERIAS, NRVINCULOM, NRTIPOFERIAS, NRORG, DTINIAQUISICAO, DTFIMAQUISICAO, QTMESAFASTAMENT, QTFALTASPERIODO, DTINCLUSAO, NRORGINCLUSAO, CDOPERINCLUSAO, IDCONTROLFERIAS ) VALUES ( 12, (SELECT /*MAX(*/NRVINCULOM/*)*/ FROM GPE_VINCULOM WHERE NRORG = 1456 AND CDMATRICULA = '2_378' ), '1', 1456, '21/03/2024', '20/03/2025', '', '0', SYSDATE, 1456, '000000099991', 'GOZADO_INTEGRAL' ); </v>
      </c>
      <c r="AG18" s="23" t="str" cm="1">
        <f t="array" aca="1" ref="AG18" ca="1">MIG_GERA.SCRIPT( $AG$2, $A$1:$AE$1,$A18:$AE18 )</f>
        <v xml:space="preserve">INSERT INTO FPA_GOZOFERIAS ( NRGOZOFERIAS, NRFERIAS, NRORG, DTINIGOZOFERIAS, DTFIMGOZOFERIAS, QTDIASABONOFERI, DTRETORNOFERIAS, DTINCLUSAO, NRORGINCLUSAO, CDOPERINCLUSAO, DSGOZOFERIAS ) VALUES ( 16, 12, 1456, '19/01/2026', '02/02/2026', '0', '03/02/2026', SYSDATE, 1456, '000000099991', 'Migrado' ); </v>
      </c>
      <c r="AH18" s="27" t="str">
        <f t="shared" ca="1" si="15"/>
        <v>COMMIT;</v>
      </c>
      <c r="AI18" s="46" t="s">
        <v>68</v>
      </c>
      <c r="AJ18" s="47" t="str">
        <f>"Base!I2:I" &amp; BaseLinhas</f>
        <v>Base!I2:I1</v>
      </c>
      <c r="AK18" s="53" t="str">
        <f ca="1"/>
        <v>2_378</v>
      </c>
      <c r="AL18" s="64" t="str">
        <f ca="1"/>
        <v xml:space="preserve">  - 2_378</v>
      </c>
    </row>
    <row r="19" spans="1:38" x14ac:dyDescent="0.25">
      <c r="A19" s="69" t="s">
        <v>87</v>
      </c>
      <c r="B19" s="67">
        <v>44662</v>
      </c>
      <c r="C19" s="67">
        <v>45026</v>
      </c>
      <c r="D19" s="68"/>
      <c r="E19" s="68" t="s">
        <v>92</v>
      </c>
      <c r="F19" s="68"/>
      <c r="G19" s="67">
        <v>45201</v>
      </c>
      <c r="H19" s="67">
        <v>45230</v>
      </c>
      <c r="I19" s="67">
        <v>45231</v>
      </c>
      <c r="J19" s="68">
        <v>0</v>
      </c>
      <c r="K19" s="68">
        <v>0</v>
      </c>
      <c r="M19" s="66" t="s">
        <v>79</v>
      </c>
      <c r="N19" s="62">
        <f t="shared" si="11"/>
        <v>1456</v>
      </c>
      <c r="O19" s="62" t="str">
        <f t="shared" si="12"/>
        <v>2_38511/04/2022</v>
      </c>
      <c r="P19" s="62" t="str">
        <f>IF( COUNTIF( $O$3:O19, O19 ) &lt;= 1, "único", "existente" )</f>
        <v>único</v>
      </c>
      <c r="Q19" s="62" t="str" cm="1">
        <f t="array" aca="1" ref="Q19" ca="1">_xlfn.XLOOKUP( O19, INDIRECT( BaseIdIniAquisicao ), INDIRECT( BaseNrferias ), "inexistente", 0, 1 )</f>
        <v>inexistente</v>
      </c>
      <c r="R19" s="62" t="str">
        <f t="shared" ca="1" si="13"/>
        <v>inserir</v>
      </c>
      <c r="S19" s="32">
        <f t="shared" ca="1" si="0"/>
        <v>13</v>
      </c>
      <c r="T19" s="32">
        <f t="shared" ca="1" si="1"/>
        <v>13</v>
      </c>
      <c r="U19" s="61" t="str">
        <f t="shared" si="14"/>
        <v>2_38511/04/202202/10/2023</v>
      </c>
      <c r="V19" s="32" t="str">
        <f t="shared" ca="1" si="2"/>
        <v>inexistente</v>
      </c>
      <c r="W19" s="32" t="str" cm="1">
        <f t="array" aca="1" ref="W19" ca="1">_xlfn.IFS( AC19 = "", "não", V19 = "inexistente", "inserir", 1, "não" )</f>
        <v>inserir</v>
      </c>
      <c r="X19" s="32" cm="1">
        <f t="array" aca="1" ref="X19" ca="1" xml:space="preserve"> _xlfn.IFS( AC19 = "", X18, V19 = "existe", X18, 1, X18 + 1 )</f>
        <v>17</v>
      </c>
      <c r="Y19" s="32" t="str">
        <f t="shared" si="3"/>
        <v>2_385</v>
      </c>
      <c r="Z19" s="32" t="str">
        <f t="shared" si="4"/>
        <v>11/04/2022</v>
      </c>
      <c r="AA19" s="32" t="str">
        <f t="shared" si="5"/>
        <v>10/04/2023</v>
      </c>
      <c r="AB19" s="32" t="str">
        <f t="shared" si="6"/>
        <v>GOZADO_INTEGRAL</v>
      </c>
      <c r="AC19" s="32" t="str">
        <f t="shared" si="7"/>
        <v>02/10/2023</v>
      </c>
      <c r="AD19" s="32" t="str">
        <f t="shared" si="8"/>
        <v>31/10/2023</v>
      </c>
      <c r="AE19" s="32" t="str">
        <f t="shared" si="9"/>
        <v>01/11/2023</v>
      </c>
      <c r="AF19" s="23" t="str" cm="1">
        <f t="array" aca="1" ref="AF19" ca="1">MIG_GERA.SCRIPT( $AF$2, $A$1:$AE$1,$A19:$AE19 )</f>
        <v xml:space="preserve">INSERT INTO FPA_FERIAS ( NRFERIAS, NRVINCULOM, NRTIPOFERIAS, NRORG, DTINIAQUISICAO, DTFIMAQUISICAO, QTMESAFASTAMENT, QTFALTASPERIODO, DTINCLUSAO, NRORGINCLUSAO, CDOPERINCLUSAO, IDCONTROLFERIAS ) VALUES ( 13, (SELECT /*MAX(*/NRVINCULOM/*)*/ FROM GPE_VINCULOM WHERE NRORG = 1456 AND CDMATRICULA = '2_385' ), '1', 1456, '11/04/2022', '10/04/2023', '', '0', SYSDATE, 1456, '000000099991', 'GOZADO_INTEGRAL' ); </v>
      </c>
      <c r="AG19" s="23" t="str" cm="1">
        <f t="array" aca="1" ref="AG19" ca="1">MIG_GERA.SCRIPT( $AG$2, $A$1:$AE$1,$A19:$AE19 )</f>
        <v xml:space="preserve">INSERT INTO FPA_GOZOFERIAS ( NRGOZOFERIAS, NRFERIAS, NRORG, DTINIGOZOFERIAS, DTFIMGOZOFERIAS, QTDIASABONOFERI, DTRETORNOFERIAS, DTINCLUSAO, NRORGINCLUSAO, CDOPERINCLUSAO, DSGOZOFERIAS ) VALUES ( 17, 13, 1456, '02/10/2023', '31/10/2023', '0', '01/11/2023', SYSDATE, 1456, '000000099991', 'Migrado' ); </v>
      </c>
      <c r="AH19" s="27" t="str">
        <f t="shared" ca="1" si="15"/>
        <v>COMMIT;</v>
      </c>
      <c r="AI19" s="46" t="s">
        <v>69</v>
      </c>
      <c r="AJ19" s="47" t="str">
        <f>"Base!F2:F" &amp; BaseLinhas</f>
        <v>Base!F2:F1</v>
      </c>
      <c r="AK19" s="53" t="str">
        <f ca="1"/>
        <v>2_385</v>
      </c>
      <c r="AL19" s="64" t="str">
        <f ca="1"/>
        <v xml:space="preserve">  - 2_385</v>
      </c>
    </row>
    <row r="20" spans="1:38" x14ac:dyDescent="0.25">
      <c r="A20" s="69" t="s">
        <v>87</v>
      </c>
      <c r="B20" s="67">
        <v>45027</v>
      </c>
      <c r="C20" s="67">
        <v>45392</v>
      </c>
      <c r="D20" s="68"/>
      <c r="E20" s="68" t="s">
        <v>92</v>
      </c>
      <c r="F20" s="68"/>
      <c r="G20" s="67">
        <v>45464</v>
      </c>
      <c r="H20" s="67">
        <v>45493</v>
      </c>
      <c r="I20" s="67">
        <v>45494</v>
      </c>
      <c r="J20" s="68">
        <v>0</v>
      </c>
      <c r="K20" s="68">
        <v>0</v>
      </c>
      <c r="M20" s="66" t="s">
        <v>79</v>
      </c>
      <c r="N20" s="62">
        <f t="shared" si="11"/>
        <v>1456</v>
      </c>
      <c r="O20" s="62" t="str">
        <f t="shared" si="12"/>
        <v>2_38511/04/2023</v>
      </c>
      <c r="P20" s="62" t="str">
        <f>IF( COUNTIF( $O$3:O20, O20 ) &lt;= 1, "único", "existente" )</f>
        <v>único</v>
      </c>
      <c r="Q20" s="62" t="str" cm="1">
        <f t="array" aca="1" ref="Q20" ca="1">_xlfn.XLOOKUP( O20, INDIRECT( BaseIdIniAquisicao ), INDIRECT( BaseNrferias ), "inexistente", 0, 1 )</f>
        <v>inexistente</v>
      </c>
      <c r="R20" s="62" t="str">
        <f t="shared" ca="1" si="13"/>
        <v>inserir</v>
      </c>
      <c r="S20" s="32">
        <f t="shared" ca="1" si="0"/>
        <v>14</v>
      </c>
      <c r="T20" s="32">
        <f t="shared" ca="1" si="1"/>
        <v>14</v>
      </c>
      <c r="U20" s="61" t="str">
        <f t="shared" si="14"/>
        <v>2_38511/04/202321/06/2024</v>
      </c>
      <c r="V20" s="32" t="str">
        <f t="shared" ca="1" si="2"/>
        <v>inexistente</v>
      </c>
      <c r="W20" s="32" t="str" cm="1">
        <f t="array" aca="1" ref="W20" ca="1">_xlfn.IFS( AC20 = "", "não", V20 = "inexistente", "inserir", 1, "não" )</f>
        <v>inserir</v>
      </c>
      <c r="X20" s="32" cm="1">
        <f t="array" aca="1" ref="X20" ca="1" xml:space="preserve"> _xlfn.IFS( AC20 = "", X19, V20 = "existe", X19, 1, X19 + 1 )</f>
        <v>18</v>
      </c>
      <c r="Y20" s="32" t="str">
        <f t="shared" si="3"/>
        <v>2_385</v>
      </c>
      <c r="Z20" s="32" t="str">
        <f t="shared" si="4"/>
        <v>11/04/2023</v>
      </c>
      <c r="AA20" s="32" t="str">
        <f t="shared" si="5"/>
        <v>10/04/2024</v>
      </c>
      <c r="AB20" s="32" t="str">
        <f t="shared" si="6"/>
        <v>GOZADO_INTEGRAL</v>
      </c>
      <c r="AC20" s="32" t="str">
        <f t="shared" si="7"/>
        <v>21/06/2024</v>
      </c>
      <c r="AD20" s="32" t="str">
        <f t="shared" si="8"/>
        <v>20/07/2024</v>
      </c>
      <c r="AE20" s="32" t="str">
        <f t="shared" si="9"/>
        <v>21/07/2024</v>
      </c>
      <c r="AF20" s="23" t="str" cm="1">
        <f t="array" aca="1" ref="AF20" ca="1">MIG_GERA.SCRIPT( $AF$2, $A$1:$AE$1,$A20:$AE20 )</f>
        <v xml:space="preserve">INSERT INTO FPA_FERIAS ( NRFERIAS, NRVINCULOM, NRTIPOFERIAS, NRORG, DTINIAQUISICAO, DTFIMAQUISICAO, QTMESAFASTAMENT, QTFALTASPERIODO, DTINCLUSAO, NRORGINCLUSAO, CDOPERINCLUSAO, IDCONTROLFERIAS ) VALUES ( 14, (SELECT /*MAX(*/NRVINCULOM/*)*/ FROM GPE_VINCULOM WHERE NRORG = 1456 AND CDMATRICULA = '2_385' ), '1', 1456, '11/04/2023', '10/04/2024', '', '0', SYSDATE, 1456, '000000099991', 'GOZADO_INTEGRAL' ); </v>
      </c>
      <c r="AG20" s="23" t="str" cm="1">
        <f t="array" aca="1" ref="AG20" ca="1">MIG_GERA.SCRIPT( $AG$2, $A$1:$AE$1,$A20:$AE20 )</f>
        <v xml:space="preserve">INSERT INTO FPA_GOZOFERIAS ( NRGOZOFERIAS, NRFERIAS, NRORG, DTINIGOZOFERIAS, DTFIMGOZOFERIAS, QTDIASABONOFERI, DTRETORNOFERIAS, DTINCLUSAO, NRORGINCLUSAO, CDOPERINCLUSAO, DSGOZOFERIAS ) VALUES ( 18, 14, 1456, '21/06/2024', '20/07/2024', '0', '21/07/2024', SYSDATE, 1456, '000000099991', 'Migrado' ); </v>
      </c>
      <c r="AH20" s="27" t="str">
        <f t="shared" ca="1" si="15"/>
        <v>COMMIT;</v>
      </c>
      <c r="AI20" s="46" t="s">
        <v>78</v>
      </c>
      <c r="AJ20" s="47" t="str">
        <f>"Base!G2:G" &amp; BaseLinhas</f>
        <v>Base!G2:G1</v>
      </c>
      <c r="AK20" s="53" t="str">
        <f ca="1"/>
        <v>2_385</v>
      </c>
      <c r="AL20" s="64" t="str">
        <f ca="1"/>
        <v xml:space="preserve">  - 2_385</v>
      </c>
    </row>
    <row r="21" spans="1:38" x14ac:dyDescent="0.25">
      <c r="A21" s="69" t="s">
        <v>87</v>
      </c>
      <c r="B21" s="67">
        <v>45393</v>
      </c>
      <c r="C21" s="67">
        <v>45464</v>
      </c>
      <c r="D21" s="68"/>
      <c r="E21" s="68" t="s">
        <v>93</v>
      </c>
      <c r="F21" s="68"/>
      <c r="G21" s="67">
        <v>45464</v>
      </c>
      <c r="H21" s="67">
        <v>45468</v>
      </c>
      <c r="I21" s="67">
        <v>45469</v>
      </c>
      <c r="J21" s="68">
        <v>0</v>
      </c>
      <c r="K21" s="68">
        <v>1</v>
      </c>
      <c r="M21" s="66" t="s">
        <v>79</v>
      </c>
      <c r="N21" s="62">
        <f t="shared" si="11"/>
        <v>1456</v>
      </c>
      <c r="O21" s="62" t="str">
        <f t="shared" si="12"/>
        <v>2_38511/04/2024</v>
      </c>
      <c r="P21" s="62" t="str">
        <f>IF( COUNTIF( $O$3:O21, O21 ) &lt;= 1, "único", "existente" )</f>
        <v>único</v>
      </c>
      <c r="Q21" s="62" t="str" cm="1">
        <f t="array" aca="1" ref="Q21" ca="1">_xlfn.XLOOKUP( O21, INDIRECT( BaseIdIniAquisicao ), INDIRECT( BaseNrferias ), "inexistente", 0, 1 )</f>
        <v>inexistente</v>
      </c>
      <c r="R21" s="62" t="str">
        <f t="shared" ca="1" si="13"/>
        <v>inserir</v>
      </c>
      <c r="S21" s="32">
        <f t="shared" ca="1" si="0"/>
        <v>15</v>
      </c>
      <c r="T21" s="32">
        <f t="shared" ca="1" si="1"/>
        <v>15</v>
      </c>
      <c r="U21" s="61" t="str">
        <f t="shared" si="14"/>
        <v>2_38511/04/202421/06/2024</v>
      </c>
      <c r="V21" s="32" t="str">
        <f t="shared" ca="1" si="2"/>
        <v>inexistente</v>
      </c>
      <c r="W21" s="32" t="str" cm="1">
        <f t="array" aca="1" ref="W21" ca="1">_xlfn.IFS( AC21 = "", "não", V21 = "inexistente", "inserir", 1, "não" )</f>
        <v>inserir</v>
      </c>
      <c r="X21" s="32" cm="1">
        <f t="array" aca="1" ref="X21" ca="1" xml:space="preserve"> _xlfn.IFS( AC21 = "", X20, V21 = "existe", X20, 1, X20 + 1 )</f>
        <v>19</v>
      </c>
      <c r="Y21" s="32" t="str">
        <f t="shared" si="3"/>
        <v>2_385</v>
      </c>
      <c r="Z21" s="32" t="str">
        <f t="shared" si="4"/>
        <v>11/04/2024</v>
      </c>
      <c r="AA21" s="32" t="str">
        <f t="shared" si="5"/>
        <v>21/06/2024</v>
      </c>
      <c r="AB21" s="32" t="str">
        <f t="shared" si="6"/>
        <v>GOZADO_PARCIAL</v>
      </c>
      <c r="AC21" s="32" t="str">
        <f t="shared" si="7"/>
        <v>21/06/2024</v>
      </c>
      <c r="AD21" s="32" t="str">
        <f t="shared" si="8"/>
        <v>25/06/2024</v>
      </c>
      <c r="AE21" s="32" t="str">
        <f t="shared" si="9"/>
        <v>26/06/2024</v>
      </c>
      <c r="AF21" s="23" t="str" cm="1">
        <f t="array" aca="1" ref="AF21" ca="1">MIG_GERA.SCRIPT( $AF$2, $A$1:$AE$1,$A21:$AE21 )</f>
        <v xml:space="preserve">INSERT INTO FPA_FERIAS ( NRFERIAS, NRVINCULOM, NRTIPOFERIAS, NRORG, DTINIAQUISICAO, DTFIMAQUISICAO, QTMESAFASTAMENT, QTFALTASPERIODO, DTINCLUSAO, NRORGINCLUSAO, CDOPERINCLUSAO, IDCONTROLFERIAS ) VALUES ( 15, (SELECT /*MAX(*/NRVINCULOM/*)*/ FROM GPE_VINCULOM WHERE NRORG = 1456 AND CDMATRICULA = '2_385' ), '1', 1456, '11/04/2024', '21/06/2024', '', '1', SYSDATE, 1456, '000000099991', 'GOZADO_PARCIAL' ); </v>
      </c>
      <c r="AG21" s="23" t="str" cm="1">
        <f t="array" aca="1" ref="AG21" ca="1">MIG_GERA.SCRIPT( $AG$2, $A$1:$AE$1,$A21:$AE21 )</f>
        <v xml:space="preserve">INSERT INTO FPA_GOZOFERIAS ( NRGOZOFERIAS, NRFERIAS, NRORG, DTINIGOZOFERIAS, DTFIMGOZOFERIAS, QTDIASABONOFERI, DTRETORNOFERIAS, DTINCLUSAO, NRORGINCLUSAO, CDOPERINCLUSAO, DSGOZOFERIAS ) VALUES ( 19, 15, 1456, '21/06/2024', '25/06/2024', '0', '26/06/2024', SYSDATE, 1456, '000000099991', 'Migrado' ); </v>
      </c>
      <c r="AH21" s="27" t="str">
        <f t="shared" ca="1" si="15"/>
        <v>COMMIT;</v>
      </c>
      <c r="AI21" s="46" t="s">
        <v>49</v>
      </c>
      <c r="AJ21" s="52"/>
      <c r="AK21" s="53" t="str">
        <f ca="1"/>
        <v>2_385</v>
      </c>
      <c r="AL21" s="64" t="str">
        <f ca="1"/>
        <v xml:space="preserve">  - 2_385</v>
      </c>
    </row>
    <row r="22" spans="1:38" x14ac:dyDescent="0.25">
      <c r="A22" s="69" t="s">
        <v>88</v>
      </c>
      <c r="B22" s="67">
        <v>44662</v>
      </c>
      <c r="C22" s="67">
        <v>45026</v>
      </c>
      <c r="D22" s="68"/>
      <c r="E22" s="68" t="s">
        <v>92</v>
      </c>
      <c r="F22" s="68"/>
      <c r="G22" s="67">
        <v>45264</v>
      </c>
      <c r="H22" s="67">
        <v>45293</v>
      </c>
      <c r="I22" s="67">
        <v>45294</v>
      </c>
      <c r="J22" s="68">
        <v>0</v>
      </c>
      <c r="K22" s="68">
        <v>0</v>
      </c>
      <c r="M22" s="66" t="s">
        <v>79</v>
      </c>
      <c r="N22" s="62">
        <f t="shared" si="11"/>
        <v>1456</v>
      </c>
      <c r="O22" s="62" t="str">
        <f t="shared" si="12"/>
        <v>2_38611/04/2022</v>
      </c>
      <c r="P22" s="62" t="str">
        <f>IF( COUNTIF( $O$3:O22, O22 ) &lt;= 1, "único", "existente" )</f>
        <v>único</v>
      </c>
      <c r="Q22" s="62" t="str" cm="1">
        <f t="array" aca="1" ref="Q22" ca="1">_xlfn.XLOOKUP( O22, INDIRECT( BaseIdIniAquisicao ), INDIRECT( BaseNrferias ), "inexistente", 0, 1 )</f>
        <v>inexistente</v>
      </c>
      <c r="R22" s="62" t="str">
        <f t="shared" ca="1" si="13"/>
        <v>inserir</v>
      </c>
      <c r="S22" s="32">
        <f t="shared" ca="1" si="0"/>
        <v>16</v>
      </c>
      <c r="T22" s="32">
        <f t="shared" ca="1" si="1"/>
        <v>16</v>
      </c>
      <c r="U22" s="61" t="str">
        <f t="shared" si="14"/>
        <v>2_38611/04/202204/12/2023</v>
      </c>
      <c r="V22" s="32" t="str">
        <f t="shared" ca="1" si="2"/>
        <v>inexistente</v>
      </c>
      <c r="W22" s="32" t="str" cm="1">
        <f t="array" aca="1" ref="W22" ca="1">_xlfn.IFS( AC22 = "", "não", V22 = "inexistente", "inserir", 1, "não" )</f>
        <v>inserir</v>
      </c>
      <c r="X22" s="32" cm="1">
        <f t="array" aca="1" ref="X22" ca="1" xml:space="preserve"> _xlfn.IFS( AC22 = "", X21, V22 = "existe", X21, 1, X21 + 1 )</f>
        <v>20</v>
      </c>
      <c r="Y22" s="32" t="str">
        <f t="shared" si="3"/>
        <v>2_386</v>
      </c>
      <c r="Z22" s="32" t="str">
        <f t="shared" si="4"/>
        <v>11/04/2022</v>
      </c>
      <c r="AA22" s="32" t="str">
        <f t="shared" si="5"/>
        <v>10/04/2023</v>
      </c>
      <c r="AB22" s="32" t="str">
        <f t="shared" si="6"/>
        <v>GOZADO_INTEGRAL</v>
      </c>
      <c r="AC22" s="32" t="str">
        <f t="shared" si="7"/>
        <v>04/12/2023</v>
      </c>
      <c r="AD22" s="32" t="str">
        <f t="shared" si="8"/>
        <v>02/01/2024</v>
      </c>
      <c r="AE22" s="32" t="str">
        <f t="shared" si="9"/>
        <v>03/01/2024</v>
      </c>
      <c r="AF22" s="23" t="str" cm="1">
        <f t="array" aca="1" ref="AF22" ca="1">MIG_GERA.SCRIPT( $AF$2, $A$1:$AE$1,$A22:$AE22 )</f>
        <v xml:space="preserve">INSERT INTO FPA_FERIAS ( NRFERIAS, NRVINCULOM, NRTIPOFERIAS, NRORG, DTINIAQUISICAO, DTFIMAQUISICAO, QTMESAFASTAMENT, QTFALTASPERIODO, DTINCLUSAO, NRORGINCLUSAO, CDOPERINCLUSAO, IDCONTROLFERIAS ) VALUES ( 16, (SELECT /*MAX(*/NRVINCULOM/*)*/ FROM GPE_VINCULOM WHERE NRORG = 1456 AND CDMATRICULA = '2_386' ), '1', 1456, '11/04/2022', '10/04/2023', '', '0', SYSDATE, 1456, '000000099991', 'GOZADO_INTEGRAL' ); </v>
      </c>
      <c r="AG22" s="23" t="str" cm="1">
        <f t="array" aca="1" ref="AG22" ca="1">MIG_GERA.SCRIPT( $AG$2, $A$1:$AE$1,$A22:$AE22 )</f>
        <v xml:space="preserve">INSERT INTO FPA_GOZOFERIAS ( NRGOZOFERIAS, NRFERIAS, NRORG, DTINIGOZOFERIAS, DTFIMGOZOFERIAS, QTDIASABONOFERI, DTRETORNOFERIAS, DTINCLUSAO, NRORGINCLUSAO, CDOPERINCLUSAO, DSGOZOFERIAS ) VALUES ( 20, 16, 1456, '04/12/2023', '02/01/2024', '0', '03/01/2024', SYSDATE, 1456, '000000099991', 'Migrado' ); </v>
      </c>
      <c r="AH22" s="27" t="str">
        <f t="shared" ca="1" si="15"/>
        <v>COMMIT;</v>
      </c>
      <c r="AI22" s="46" t="s">
        <v>49</v>
      </c>
      <c r="AJ22" s="52"/>
      <c r="AK22" s="53" t="str">
        <f ca="1"/>
        <v>2_386</v>
      </c>
      <c r="AL22" s="64" t="str">
        <f ca="1"/>
        <v xml:space="preserve">  - 2_386</v>
      </c>
    </row>
    <row r="23" spans="1:38" x14ac:dyDescent="0.25">
      <c r="A23" s="69" t="s">
        <v>88</v>
      </c>
      <c r="B23" s="67">
        <v>45027</v>
      </c>
      <c r="C23" s="67">
        <v>45392</v>
      </c>
      <c r="D23" s="68"/>
      <c r="E23" s="68" t="s">
        <v>92</v>
      </c>
      <c r="F23" s="68"/>
      <c r="G23" s="67">
        <v>45397</v>
      </c>
      <c r="H23" s="67">
        <v>45426</v>
      </c>
      <c r="I23" s="67">
        <v>45427</v>
      </c>
      <c r="J23" s="68">
        <v>0</v>
      </c>
      <c r="K23" s="68">
        <v>0</v>
      </c>
      <c r="M23" s="32"/>
      <c r="N23" s="62">
        <f t="shared" si="11"/>
        <v>1456</v>
      </c>
      <c r="O23" s="62" t="str">
        <f t="shared" si="12"/>
        <v>2_38611/04/2023</v>
      </c>
      <c r="P23" s="62" t="str">
        <f>IF( COUNTIF( $O$3:O23, O23 ) &lt;= 1, "único", "existente" )</f>
        <v>único</v>
      </c>
      <c r="Q23" s="62" t="str" cm="1">
        <f t="array" aca="1" ref="Q23" ca="1">_xlfn.XLOOKUP( O23, INDIRECT( BaseIdIniAquisicao ), INDIRECT( BaseNrferias ), "inexistente", 0, 1 )</f>
        <v>inexistente</v>
      </c>
      <c r="R23" s="62" t="str">
        <f t="shared" ca="1" si="13"/>
        <v>inserir</v>
      </c>
      <c r="S23" s="32">
        <f t="shared" ca="1" si="0"/>
        <v>17</v>
      </c>
      <c r="T23" s="32">
        <f t="shared" ca="1" si="1"/>
        <v>17</v>
      </c>
      <c r="U23" s="61" t="str">
        <f t="shared" si="14"/>
        <v>2_38611/04/202315/04/2024</v>
      </c>
      <c r="V23" s="32" t="str">
        <f t="shared" ca="1" si="2"/>
        <v>inexistente</v>
      </c>
      <c r="W23" s="32" t="str" cm="1">
        <f t="array" aca="1" ref="W23" ca="1">_xlfn.IFS( AC23 = "", "não", V23 = "inexistente", "inserir", 1, "não" )</f>
        <v>inserir</v>
      </c>
      <c r="X23" s="32" cm="1">
        <f t="array" aca="1" ref="X23" ca="1" xml:space="preserve"> _xlfn.IFS( AC23 = "", X22, V23 = "existe", X22, 1, X22 + 1 )</f>
        <v>21</v>
      </c>
      <c r="Y23" s="32" t="str">
        <f t="shared" si="3"/>
        <v>2_386</v>
      </c>
      <c r="Z23" s="32" t="str">
        <f t="shared" si="4"/>
        <v>11/04/2023</v>
      </c>
      <c r="AA23" s="32" t="str">
        <f t="shared" si="5"/>
        <v>10/04/2024</v>
      </c>
      <c r="AB23" s="32" t="str">
        <f t="shared" si="6"/>
        <v>GOZADO_INTEGRAL</v>
      </c>
      <c r="AC23" s="32" t="str">
        <f t="shared" si="7"/>
        <v>15/04/2024</v>
      </c>
      <c r="AD23" s="32" t="str">
        <f t="shared" si="8"/>
        <v>14/05/2024</v>
      </c>
      <c r="AE23" s="32" t="str">
        <f t="shared" si="9"/>
        <v>15/05/2024</v>
      </c>
      <c r="AF23" s="23" t="str" cm="1">
        <f t="array" aca="1" ref="AF23" ca="1">MIG_GERA.SCRIPT( $AF$2, $A$1:$AE$1,$A23:$AE23 )</f>
        <v xml:space="preserve">INSERT INTO FPA_FERIAS ( NRFERIAS, NRVINCULOM, NRTIPOFERIAS, NRORG, DTINIAQUISICAO, DTFIMAQUISICAO, QTMESAFASTAMENT, QTFALTASPERIODO, DTINCLUSAO, NRORGINCLUSAO, CDOPERINCLUSAO, IDCONTROLFERIAS ) VALUES ( 17, (SELECT /*MAX(*/NRVINCULOM/*)*/ FROM GPE_VINCULOM WHERE NRORG = 1456 AND CDMATRICULA = '2_386' ), '1', 1456, '11/04/2023', '10/04/2024', '', '0', SYSDATE, 1456, '000000099991', 'GOZADO_INTEGRAL' ); </v>
      </c>
      <c r="AG23" s="23" t="str" cm="1">
        <f t="array" aca="1" ref="AG23" ca="1">MIG_GERA.SCRIPT( $AG$2, $A$1:$AE$1,$A23:$AE23 )</f>
        <v xml:space="preserve">INSERT INTO FPA_GOZOFERIAS ( NRGOZOFERIAS, NRFERIAS, NRORG, DTINIGOZOFERIAS, DTFIMGOZOFERIAS, QTDIASABONOFERI, DTRETORNOFERIAS, DTINCLUSAO, NRORGINCLUSAO, CDOPERINCLUSAO, DSGOZOFERIAS ) VALUES ( 21, 17, 1456, '15/04/2024', '14/05/2024', '0', '15/05/2024', SYSDATE, 1456, '000000099991', 'Migrado' ); </v>
      </c>
      <c r="AH23" s="27" t="str">
        <f t="shared" ca="1" si="15"/>
        <v>COMMIT;</v>
      </c>
      <c r="AK23" s="53" t="str">
        <f ca="1"/>
        <v>2_386</v>
      </c>
      <c r="AL23" s="64" t="str">
        <f ca="1"/>
        <v xml:space="preserve">  - 2_386</v>
      </c>
    </row>
    <row r="24" spans="1:38" x14ac:dyDescent="0.25">
      <c r="A24" s="69" t="s">
        <v>89</v>
      </c>
      <c r="B24" s="67">
        <v>44663</v>
      </c>
      <c r="C24" s="67">
        <v>45027</v>
      </c>
      <c r="D24" s="70"/>
      <c r="E24" s="70" t="s">
        <v>93</v>
      </c>
      <c r="F24" s="70"/>
      <c r="G24" s="67">
        <v>45145</v>
      </c>
      <c r="H24" s="67">
        <v>45168</v>
      </c>
      <c r="I24" s="67">
        <v>45169</v>
      </c>
      <c r="J24" s="68">
        <v>0</v>
      </c>
      <c r="K24" s="68">
        <v>0</v>
      </c>
      <c r="N24" s="62">
        <f t="shared" si="11"/>
        <v>1456</v>
      </c>
      <c r="O24" s="62" t="str">
        <f t="shared" ref="O24:O26" si="16">Y24 &amp; Z24</f>
        <v>2_38712/04/2022</v>
      </c>
      <c r="P24" s="62" t="str">
        <f>IF( COUNTIF( $O$3:O24, O24 ) &lt;= 1, "único", "existente" )</f>
        <v>único</v>
      </c>
      <c r="Q24" s="62" t="str" cm="1">
        <f t="array" aca="1" ref="Q24" ca="1">_xlfn.XLOOKUP( O24, INDIRECT( BaseIdIniAquisicao ), INDIRECT( BaseNrferias ), "inexistente", 0, 1 )</f>
        <v>inexistente</v>
      </c>
      <c r="R24" s="62" t="str">
        <f t="shared" ref="R24:R26" ca="1" si="17">IF( AND( P24 = "único", Q24 = "inexistente" ), "inserir", "existente" )</f>
        <v>inserir</v>
      </c>
      <c r="S24" s="32">
        <f t="shared" ca="1" si="0"/>
        <v>18</v>
      </c>
      <c r="T24" s="32">
        <f t="shared" ca="1" si="1"/>
        <v>18</v>
      </c>
      <c r="U24" s="61" t="str">
        <f t="shared" ref="U24:U26" si="18">IF( AC24 = "", "", Y24 &amp; Z24 &amp;AC24 )</f>
        <v>2_38712/04/202207/08/2023</v>
      </c>
      <c r="V24" s="32" t="str">
        <f t="shared" ref="V24:V26" ca="1" si="19" xml:space="preserve"> IF( COUNTIF( INDIRECT( BaseIdIniAquisiçãoIniGozo ), U24 ) = 0, "inexistente", "existe" )</f>
        <v>inexistente</v>
      </c>
      <c r="W24" s="32" t="str" cm="1">
        <f t="array" aca="1" ref="W24" ca="1">_xlfn.IFS( AC24 = "", "não", V24 = "inexistente", "inserir", 1, "não" )</f>
        <v>inserir</v>
      </c>
      <c r="X24" s="32" cm="1">
        <f t="array" aca="1" ref="X24" ca="1" xml:space="preserve"> _xlfn.IFS( AC24 = "", X23, V24 = "existe", X23, 1, X23 + 1 )</f>
        <v>22</v>
      </c>
      <c r="Y24" s="32" t="str">
        <f t="shared" ref="Y24:Y26" si="20">A24</f>
        <v>2_387</v>
      </c>
      <c r="Z24" s="32" t="str">
        <f t="shared" ref="Z24:Z26" si="21">TEXT(B24,"DD/MM/AAAA")</f>
        <v>12/04/2022</v>
      </c>
      <c r="AA24" s="32" t="str">
        <f t="shared" ref="AA24:AA26" si="22">TEXT(C24,"DD/MM/AAAA")</f>
        <v>11/04/2023</v>
      </c>
      <c r="AB24" s="32" t="str">
        <f t="shared" ref="AB24:AB26" si="23">UPPER( TRIM( E24 ) )</f>
        <v>GOZADO_PARCIAL</v>
      </c>
      <c r="AC24" s="32" t="str">
        <f t="shared" ref="AC24:AC26" si="24">IF(G24="","",TEXT(G24,"DD/MM/AAAA"))</f>
        <v>07/08/2023</v>
      </c>
      <c r="AD24" s="32" t="str">
        <f t="shared" ref="AD24:AD26" si="25">IF(H24="","",TEXT(H24,"DD/MM/AAAA"))</f>
        <v>30/08/2023</v>
      </c>
      <c r="AE24" s="32" t="str">
        <f t="shared" ref="AE24:AE26" si="26">IF( TRIM( I24 ) = "", "", TEXT( I24, "DD/MM/AAAA" ) )</f>
        <v>31/08/2023</v>
      </c>
      <c r="AF24" s="23" t="str" cm="1">
        <f t="array" aca="1" ref="AF24" ca="1">MIG_GERA.SCRIPT( $AF$2, $A$1:$AE$1,$A24:$AE24 )</f>
        <v xml:space="preserve">INSERT INTO FPA_FERIAS ( NRFERIAS, NRVINCULOM, NRTIPOFERIAS, NRORG, DTINIAQUISICAO, DTFIMAQUISICAO, QTMESAFASTAMENT, QTFALTASPERIODO, DTINCLUSAO, NRORGINCLUSAO, CDOPERINCLUSAO, IDCONTROLFERIAS ) VALUES ( 18, (SELECT /*MAX(*/NRVINCULOM/*)*/ FROM GPE_VINCULOM WHERE NRORG = 1456 AND CDMATRICULA = '2_387' ), '1', 1456, '12/04/2022', '11/04/2023', '', '0', SYSDATE, 1456, '000000099991', 'GOZADO_PARCIAL' ); </v>
      </c>
      <c r="AG24" s="23" t="str" cm="1">
        <f t="array" aca="1" ref="AG24" ca="1">MIG_GERA.SCRIPT( $AG$2, $A$1:$AE$1,$A24:$AE24 )</f>
        <v xml:space="preserve">INSERT INTO FPA_GOZOFERIAS ( NRGOZOFERIAS, NRFERIAS, NRORG, DTINIGOZOFERIAS, DTFIMGOZOFERIAS, QTDIASABONOFERI, DTRETORNOFERIAS, DTINCLUSAO, NRORGINCLUSAO, CDOPERINCLUSAO, DSGOZOFERIAS ) VALUES ( 22, 18, 1456, '07/08/2023', '30/08/2023', '0', '31/08/2023', SYSDATE, 1456, '000000099991', 'Migrado' ); </v>
      </c>
      <c r="AH24" s="27" t="str">
        <f t="shared" ref="AH24:AH26" ca="1" si="27">IF( AND( AK24 = "existe", R24 = "inserir" ), AF24, "" ) &amp; IF( AND( AK24 = "existe", W24 = "inserir" ), AG24, "" ) &amp; IF( OR( R24 = "inserir", W24 = "inserir" ), "COMMIT;", "" )</f>
        <v>COMMIT;</v>
      </c>
      <c r="AK24" s="53" t="str">
        <f ca="1"/>
        <v>2_387</v>
      </c>
      <c r="AL24" s="64" t="str">
        <f ca="1"/>
        <v xml:space="preserve">  - 2_387</v>
      </c>
    </row>
    <row r="25" spans="1:38" x14ac:dyDescent="0.25">
      <c r="A25" s="69" t="s">
        <v>89</v>
      </c>
      <c r="B25" s="67">
        <v>45028</v>
      </c>
      <c r="C25" s="67">
        <v>45393</v>
      </c>
      <c r="D25" s="70"/>
      <c r="E25" s="70" t="s">
        <v>92</v>
      </c>
      <c r="F25" s="70"/>
      <c r="G25" s="67">
        <v>45728</v>
      </c>
      <c r="H25" s="67">
        <v>45757</v>
      </c>
      <c r="I25" s="67">
        <v>45758</v>
      </c>
      <c r="J25" s="68">
        <v>0</v>
      </c>
      <c r="K25" s="68">
        <v>0</v>
      </c>
      <c r="N25" s="62">
        <f t="shared" si="11"/>
        <v>1456</v>
      </c>
      <c r="O25" s="62" t="str">
        <f t="shared" si="16"/>
        <v>2_38712/04/2023</v>
      </c>
      <c r="P25" s="62" t="str">
        <f>IF( COUNTIF( $O$3:O25, O25 ) &lt;= 1, "único", "existente" )</f>
        <v>único</v>
      </c>
      <c r="Q25" s="62" t="str" cm="1">
        <f t="array" aca="1" ref="Q25" ca="1">_xlfn.XLOOKUP( O25, INDIRECT( BaseIdIniAquisicao ), INDIRECT( BaseNrferias ), "inexistente", 0, 1 )</f>
        <v>inexistente</v>
      </c>
      <c r="R25" s="62" t="str">
        <f t="shared" ca="1" si="17"/>
        <v>inserir</v>
      </c>
      <c r="S25" s="32">
        <f t="shared" ca="1" si="0"/>
        <v>19</v>
      </c>
      <c r="T25" s="32">
        <f t="shared" ca="1" si="1"/>
        <v>19</v>
      </c>
      <c r="U25" s="61" t="str">
        <f t="shared" si="18"/>
        <v>2_38712/04/202312/03/2025</v>
      </c>
      <c r="V25" s="32" t="str">
        <f t="shared" ca="1" si="19"/>
        <v>inexistente</v>
      </c>
      <c r="W25" s="32" t="str" cm="1">
        <f t="array" aca="1" ref="W25" ca="1">_xlfn.IFS( AC25 = "", "não", V25 = "inexistente", "inserir", 1, "não" )</f>
        <v>inserir</v>
      </c>
      <c r="X25" s="32" cm="1">
        <f t="array" aca="1" ref="X25" ca="1" xml:space="preserve"> _xlfn.IFS( AC25 = "", X24, V25 = "existe", X24, 1, X24 + 1 )</f>
        <v>23</v>
      </c>
      <c r="Y25" s="32" t="str">
        <f t="shared" si="20"/>
        <v>2_387</v>
      </c>
      <c r="Z25" s="32" t="str">
        <f t="shared" si="21"/>
        <v>12/04/2023</v>
      </c>
      <c r="AA25" s="32" t="str">
        <f t="shared" si="22"/>
        <v>11/04/2024</v>
      </c>
      <c r="AB25" s="32" t="str">
        <f t="shared" si="23"/>
        <v>GOZADO_INTEGRAL</v>
      </c>
      <c r="AC25" s="32" t="str">
        <f t="shared" si="24"/>
        <v>12/03/2025</v>
      </c>
      <c r="AD25" s="32" t="str">
        <f t="shared" si="25"/>
        <v>10/04/2025</v>
      </c>
      <c r="AE25" s="32" t="str">
        <f t="shared" si="26"/>
        <v>11/04/2025</v>
      </c>
      <c r="AF25" s="23" t="str" cm="1">
        <f t="array" aca="1" ref="AF25" ca="1">MIG_GERA.SCRIPT( $AF$2, $A$1:$AE$1,$A25:$AE25 )</f>
        <v xml:space="preserve">INSERT INTO FPA_FERIAS ( NRFERIAS, NRVINCULOM, NRTIPOFERIAS, NRORG, DTINIAQUISICAO, DTFIMAQUISICAO, QTMESAFASTAMENT, QTFALTASPERIODO, DTINCLUSAO, NRORGINCLUSAO, CDOPERINCLUSAO, IDCONTROLFERIAS ) VALUES ( 19, (SELECT /*MAX(*/NRVINCULOM/*)*/ FROM GPE_VINCULOM WHERE NRORG = 1456 AND CDMATRICULA = '2_387' ), '1', 1456, '12/04/2023', '11/04/2024', '', '0', SYSDATE, 1456, '000000099991', 'GOZADO_INTEGRAL' ); </v>
      </c>
      <c r="AG25" s="23" t="str" cm="1">
        <f t="array" aca="1" ref="AG25" ca="1">MIG_GERA.SCRIPT( $AG$2, $A$1:$AE$1,$A25:$AE25 )</f>
        <v xml:space="preserve">INSERT INTO FPA_GOZOFERIAS ( NRGOZOFERIAS, NRFERIAS, NRORG, DTINIGOZOFERIAS, DTFIMGOZOFERIAS, QTDIASABONOFERI, DTRETORNOFERIAS, DTINCLUSAO, NRORGINCLUSAO, CDOPERINCLUSAO, DSGOZOFERIAS ) VALUES ( 23, 19, 1456, '12/03/2025', '10/04/2025', '0', '11/04/2025', SYSDATE, 1456, '000000099991', 'Migrado' ); </v>
      </c>
      <c r="AH25" s="27" t="str">
        <f t="shared" ca="1" si="27"/>
        <v>COMMIT;</v>
      </c>
      <c r="AK25" s="53" t="str">
        <f ca="1"/>
        <v>2_387</v>
      </c>
      <c r="AL25" s="64" t="str">
        <f ca="1"/>
        <v xml:space="preserve">  - 2_387</v>
      </c>
    </row>
    <row r="26" spans="1:38" x14ac:dyDescent="0.25">
      <c r="A26" s="69" t="s">
        <v>90</v>
      </c>
      <c r="B26" s="67">
        <v>44669</v>
      </c>
      <c r="C26" s="67">
        <v>45033</v>
      </c>
      <c r="D26" s="70"/>
      <c r="E26" s="70" t="s">
        <v>92</v>
      </c>
      <c r="F26" s="70"/>
      <c r="G26" s="67">
        <v>45050</v>
      </c>
      <c r="H26" s="67">
        <v>45079</v>
      </c>
      <c r="I26" s="67">
        <v>45080</v>
      </c>
      <c r="J26" s="68">
        <v>0</v>
      </c>
      <c r="K26" s="68">
        <v>0</v>
      </c>
      <c r="N26" s="62">
        <f t="shared" si="11"/>
        <v>1456</v>
      </c>
      <c r="O26" s="62" t="str">
        <f t="shared" si="16"/>
        <v>2_38918/04/2022</v>
      </c>
      <c r="P26" s="62" t="str">
        <f>IF( COUNTIF( $O$3:O26, O26 ) &lt;= 1, "único", "existente" )</f>
        <v>único</v>
      </c>
      <c r="Q26" s="62" t="str" cm="1">
        <f t="array" aca="1" ref="Q26" ca="1">_xlfn.XLOOKUP( O26, INDIRECT( BaseIdIniAquisicao ), INDIRECT( BaseNrferias ), "inexistente", 0, 1 )</f>
        <v>inexistente</v>
      </c>
      <c r="R26" s="62" t="str">
        <f t="shared" ca="1" si="17"/>
        <v>inserir</v>
      </c>
      <c r="S26" s="32">
        <f t="shared" ca="1" si="0"/>
        <v>20</v>
      </c>
      <c r="T26" s="32">
        <f t="shared" ca="1" si="1"/>
        <v>20</v>
      </c>
      <c r="U26" s="61" t="str">
        <f t="shared" si="18"/>
        <v>2_38918/04/202204/05/2023</v>
      </c>
      <c r="V26" s="32" t="str">
        <f t="shared" ca="1" si="19"/>
        <v>inexistente</v>
      </c>
      <c r="W26" s="32" t="str" cm="1">
        <f t="array" aca="1" ref="W26" ca="1">_xlfn.IFS( AC26 = "", "não", V26 = "inexistente", "inserir", 1, "não" )</f>
        <v>inserir</v>
      </c>
      <c r="X26" s="32" cm="1">
        <f t="array" aca="1" ref="X26" ca="1" xml:space="preserve"> _xlfn.IFS( AC26 = "", X25, V26 = "existe", X25, 1, X25 + 1 )</f>
        <v>24</v>
      </c>
      <c r="Y26" s="32" t="str">
        <f t="shared" si="20"/>
        <v>2_389</v>
      </c>
      <c r="Z26" s="32" t="str">
        <f t="shared" si="21"/>
        <v>18/04/2022</v>
      </c>
      <c r="AA26" s="32" t="str">
        <f t="shared" si="22"/>
        <v>17/04/2023</v>
      </c>
      <c r="AB26" s="32" t="str">
        <f t="shared" si="23"/>
        <v>GOZADO_INTEGRAL</v>
      </c>
      <c r="AC26" s="32" t="str">
        <f t="shared" si="24"/>
        <v>04/05/2023</v>
      </c>
      <c r="AD26" s="32" t="str">
        <f t="shared" si="25"/>
        <v>02/06/2023</v>
      </c>
      <c r="AE26" s="32" t="str">
        <f t="shared" si="26"/>
        <v>03/06/2023</v>
      </c>
      <c r="AF26" s="23" t="str" cm="1">
        <f t="array" aca="1" ref="AF26" ca="1">MIG_GERA.SCRIPT( $AF$2, $A$1:$AE$1,$A26:$AE26 )</f>
        <v xml:space="preserve">INSERT INTO FPA_FERIAS ( NRFERIAS, NRVINCULOM, NRTIPOFERIAS, NRORG, DTINIAQUISICAO, DTFIMAQUISICAO, QTMESAFASTAMENT, QTFALTASPERIODO, DTINCLUSAO, NRORGINCLUSAO, CDOPERINCLUSAO, IDCONTROLFERIAS ) VALUES ( 20, (SELECT /*MAX(*/NRVINCULOM/*)*/ FROM GPE_VINCULOM WHERE NRORG = 1456 AND CDMATRICULA = '2_389' ), '1', 1456, '18/04/2022', '17/04/2023', '', '0', SYSDATE, 1456, '000000099991', 'GOZADO_INTEGRAL' ); </v>
      </c>
      <c r="AG26" s="23" t="str" cm="1">
        <f t="array" aca="1" ref="AG26" ca="1">MIG_GERA.SCRIPT( $AG$2, $A$1:$AE$1,$A26:$AE26 )</f>
        <v xml:space="preserve">INSERT INTO FPA_GOZOFERIAS ( NRGOZOFERIAS, NRFERIAS, NRORG, DTINIGOZOFERIAS, DTFIMGOZOFERIAS, QTDIASABONOFERI, DTRETORNOFERIAS, DTINCLUSAO, NRORGINCLUSAO, CDOPERINCLUSAO, DSGOZOFERIAS ) VALUES ( 24, 20, 1456, '04/05/2023', '02/06/2023', '0', '03/06/2023', SYSDATE, 1456, '000000099991', 'Migrado' ); </v>
      </c>
      <c r="AH26" s="27" t="str">
        <f t="shared" ca="1" si="27"/>
        <v>COMMIT;</v>
      </c>
      <c r="AK26" s="53" t="str">
        <f ca="1"/>
        <v>2_389</v>
      </c>
      <c r="AL26" s="64" t="str">
        <f ca="1"/>
        <v xml:space="preserve">  - 2_389</v>
      </c>
    </row>
    <row r="27" spans="1:38" x14ac:dyDescent="0.25">
      <c r="A27" s="69" t="s">
        <v>90</v>
      </c>
      <c r="B27" s="67">
        <v>45034</v>
      </c>
      <c r="C27" s="67">
        <v>45332</v>
      </c>
      <c r="D27" s="68"/>
      <c r="E27" s="68" t="s">
        <v>93</v>
      </c>
      <c r="F27" s="68"/>
      <c r="G27" s="67">
        <v>45332</v>
      </c>
      <c r="H27" s="67">
        <v>45356</v>
      </c>
      <c r="I27" s="67">
        <v>45357</v>
      </c>
      <c r="J27" s="68">
        <v>0</v>
      </c>
      <c r="K27" s="68">
        <v>0</v>
      </c>
      <c r="N27" s="62">
        <f t="shared" si="11"/>
        <v>1456</v>
      </c>
      <c r="O27" s="62" t="str">
        <f t="shared" ref="O27:O30" si="28">Y27 &amp; Z27</f>
        <v>2_38918/04/2023</v>
      </c>
      <c r="P27" s="62" t="str">
        <f>IF( COUNTIF( $O$3:O27, O27 ) &lt;= 1, "único", "existente" )</f>
        <v>único</v>
      </c>
      <c r="Q27" s="62" t="str" cm="1">
        <f t="array" aca="1" ref="Q27" ca="1">_xlfn.XLOOKUP( O27, INDIRECT( BaseIdIniAquisicao ), INDIRECT( BaseNrferias ), "inexistente", 0, 1 )</f>
        <v>inexistente</v>
      </c>
      <c r="R27" s="62" t="str">
        <f t="shared" ref="R27:R30" ca="1" si="29">IF( AND( P27 = "único", Q27 = "inexistente" ), "inserir", "existente" )</f>
        <v>inserir</v>
      </c>
      <c r="S27" s="32">
        <f t="shared" ref="S27:S30" ca="1" si="30">IF( R27 = "inserir", S26 + 1, S26 )</f>
        <v>21</v>
      </c>
      <c r="T27" s="32">
        <f t="shared" ref="T27:T30" ca="1" si="31">IF( R27 = "inserir", S27, IF( Q27 = "inexistente",S27,Q27) )</f>
        <v>21</v>
      </c>
      <c r="U27" s="61" t="str">
        <f t="shared" ref="U27:U30" si="32">IF( AC27 = "", "", Y27 &amp; Z27 &amp;AC27 )</f>
        <v>2_38918/04/202310/02/2024</v>
      </c>
      <c r="V27" s="32" t="str">
        <f t="shared" ref="V27:V30" ca="1" si="33" xml:space="preserve"> IF( COUNTIF( INDIRECT( BaseIdIniAquisiçãoIniGozo ), U27 ) = 0, "inexistente", "existe" )</f>
        <v>inexistente</v>
      </c>
      <c r="W27" s="32" t="str" cm="1">
        <f t="array" aca="1" ref="W27" ca="1">_xlfn.IFS( AC27 = "", "não", V27 = "inexistente", "inserir", 1, "não" )</f>
        <v>inserir</v>
      </c>
      <c r="X27" s="32" cm="1">
        <f t="array" aca="1" ref="X27" ca="1" xml:space="preserve"> _xlfn.IFS( AC27 = "", X26, V27 = "existe", X26, 1, X26 + 1 )</f>
        <v>25</v>
      </c>
      <c r="Y27" s="32" t="str">
        <f t="shared" ref="Y27:Y30" si="34">A27</f>
        <v>2_389</v>
      </c>
      <c r="Z27" s="32" t="str">
        <f t="shared" ref="Z27:Z30" si="35">TEXT(B27,"DD/MM/AAAA")</f>
        <v>18/04/2023</v>
      </c>
      <c r="AA27" s="32" t="str">
        <f t="shared" ref="AA27:AA30" si="36">TEXT(C27,"DD/MM/AAAA")</f>
        <v>10/02/2024</v>
      </c>
      <c r="AB27" s="32" t="str">
        <f t="shared" ref="AB27:AB30" si="37">UPPER( TRIM( E27 ) )</f>
        <v>GOZADO_PARCIAL</v>
      </c>
      <c r="AC27" s="32" t="str">
        <f t="shared" ref="AC27:AC30" si="38">IF(G27="","",TEXT(G27,"DD/MM/AAAA"))</f>
        <v>10/02/2024</v>
      </c>
      <c r="AD27" s="32" t="str">
        <f t="shared" ref="AD27:AD30" si="39">IF(H27="","",TEXT(H27,"DD/MM/AAAA"))</f>
        <v>05/03/2024</v>
      </c>
      <c r="AE27" s="32" t="str">
        <f t="shared" ref="AE27:AE30" si="40">IF( TRIM( I27 ) = "", "", TEXT( I27, "DD/MM/AAAA" ) )</f>
        <v>06/03/2024</v>
      </c>
      <c r="AF27" s="23" t="str" cm="1">
        <f t="array" aca="1" ref="AF27" ca="1">MIG_GERA.SCRIPT( $AF$2, $A$1:$AE$1,$A27:$AE27 )</f>
        <v xml:space="preserve">INSERT INTO FPA_FERIAS ( NRFERIAS, NRVINCULOM, NRTIPOFERIAS, NRORG, DTINIAQUISICAO, DTFIMAQUISICAO, QTMESAFASTAMENT, QTFALTASPERIODO, DTINCLUSAO, NRORGINCLUSAO, CDOPERINCLUSAO, IDCONTROLFERIAS ) VALUES ( 21, (SELECT /*MAX(*/NRVINCULOM/*)*/ FROM GPE_VINCULOM WHERE NRORG = 1456 AND CDMATRICULA = '2_389' ), '1', 1456, '18/04/2023', '10/02/2024', '', '0', SYSDATE, 1456, '000000099991', 'GOZADO_PARCIAL' ); </v>
      </c>
      <c r="AG27" s="23" t="str" cm="1">
        <f t="array" aca="1" ref="AG27" ca="1">MIG_GERA.SCRIPT( $AG$2, $A$1:$AE$1,$A27:$AE27 )</f>
        <v xml:space="preserve">INSERT INTO FPA_GOZOFERIAS ( NRGOZOFERIAS, NRFERIAS, NRORG, DTINIGOZOFERIAS, DTFIMGOZOFERIAS, QTDIASABONOFERI, DTRETORNOFERIAS, DTINCLUSAO, NRORGINCLUSAO, CDOPERINCLUSAO, DSGOZOFERIAS ) VALUES ( 25, 21, 1456, '10/02/2024', '05/03/2024', '0', '06/03/2024', SYSDATE, 1456, '000000099991', 'Migrado' ); </v>
      </c>
      <c r="AH27" s="27" t="str">
        <f t="shared" ref="AH27:AH30" ca="1" si="41">IF( AND( AK27 = "existe", R27 = "inserir" ), AF27, "" ) &amp; IF( AND( AK27 = "existe", W27 = "inserir" ), AG27, "" ) &amp; IF( OR( R27 = "inserir", W27 = "inserir" ), "COMMIT;", "" )</f>
        <v>COMMIT;</v>
      </c>
      <c r="AK27" s="53" t="str">
        <f ca="1"/>
        <v>2_389</v>
      </c>
      <c r="AL27" s="64" t="str">
        <f ca="1"/>
        <v xml:space="preserve">  - 2_389</v>
      </c>
    </row>
    <row r="28" spans="1:38" x14ac:dyDescent="0.25">
      <c r="A28" s="69" t="s">
        <v>91</v>
      </c>
      <c r="B28" s="67">
        <v>44697</v>
      </c>
      <c r="C28" s="67">
        <v>45061</v>
      </c>
      <c r="D28" s="68"/>
      <c r="E28" s="68" t="s">
        <v>92</v>
      </c>
      <c r="F28" s="68"/>
      <c r="G28" s="67">
        <v>45341</v>
      </c>
      <c r="H28" s="67">
        <v>45370</v>
      </c>
      <c r="I28" s="67">
        <v>45371</v>
      </c>
      <c r="J28" s="68">
        <v>0</v>
      </c>
      <c r="K28" s="68">
        <v>2</v>
      </c>
      <c r="N28" s="62">
        <f t="shared" si="11"/>
        <v>1456</v>
      </c>
      <c r="O28" s="62" t="str">
        <f t="shared" si="28"/>
        <v>2_39416/05/2022</v>
      </c>
      <c r="P28" s="62" t="str">
        <f>IF( COUNTIF( $O$3:O28, O28 ) &lt;= 1, "único", "existente" )</f>
        <v>único</v>
      </c>
      <c r="Q28" s="62" t="str" cm="1">
        <f t="array" aca="1" ref="Q28" ca="1">_xlfn.XLOOKUP( O28, INDIRECT( BaseIdIniAquisicao ), INDIRECT( BaseNrferias ), "inexistente", 0, 1 )</f>
        <v>inexistente</v>
      </c>
      <c r="R28" s="62" t="str">
        <f t="shared" ca="1" si="29"/>
        <v>inserir</v>
      </c>
      <c r="S28" s="32">
        <f t="shared" ca="1" si="30"/>
        <v>22</v>
      </c>
      <c r="T28" s="32">
        <f t="shared" ca="1" si="31"/>
        <v>22</v>
      </c>
      <c r="U28" s="61" t="str">
        <f t="shared" si="32"/>
        <v>2_39416/05/202219/02/2024</v>
      </c>
      <c r="V28" s="32" t="str">
        <f t="shared" ca="1" si="33"/>
        <v>inexistente</v>
      </c>
      <c r="W28" s="32" t="str" cm="1">
        <f t="array" aca="1" ref="W28" ca="1">_xlfn.IFS( AC28 = "", "não", V28 = "inexistente", "inserir", 1, "não" )</f>
        <v>inserir</v>
      </c>
      <c r="X28" s="32" cm="1">
        <f t="array" aca="1" ref="X28" ca="1" xml:space="preserve"> _xlfn.IFS( AC28 = "", X27, V28 = "existe", X27, 1, X27 + 1 )</f>
        <v>26</v>
      </c>
      <c r="Y28" s="32" t="str">
        <f t="shared" si="34"/>
        <v>2_394</v>
      </c>
      <c r="Z28" s="32" t="str">
        <f t="shared" si="35"/>
        <v>16/05/2022</v>
      </c>
      <c r="AA28" s="32" t="str">
        <f t="shared" si="36"/>
        <v>15/05/2023</v>
      </c>
      <c r="AB28" s="32" t="str">
        <f t="shared" si="37"/>
        <v>GOZADO_INTEGRAL</v>
      </c>
      <c r="AC28" s="32" t="str">
        <f t="shared" si="38"/>
        <v>19/02/2024</v>
      </c>
      <c r="AD28" s="32" t="str">
        <f t="shared" si="39"/>
        <v>19/03/2024</v>
      </c>
      <c r="AE28" s="32" t="str">
        <f t="shared" si="40"/>
        <v>20/03/2024</v>
      </c>
      <c r="AF28" s="23" t="str" cm="1">
        <f t="array" aca="1" ref="AF28" ca="1">MIG_GERA.SCRIPT( $AF$2, $A$1:$AE$1,$A28:$AE28 )</f>
        <v xml:space="preserve">INSERT INTO FPA_FERIAS ( NRFERIAS, NRVINCULOM, NRTIPOFERIAS, NRORG, DTINIAQUISICAO, DTFIMAQUISICAO, QTMESAFASTAMENT, QTFALTASPERIODO, DTINCLUSAO, NRORGINCLUSAO, CDOPERINCLUSAO, IDCONTROLFERIAS ) VALUES ( 22, (SELECT /*MAX(*/NRVINCULOM/*)*/ FROM GPE_VINCULOM WHERE NRORG = 1456 AND CDMATRICULA = '2_394' ), '1', 1456, '16/05/2022', '15/05/2023', '', '2', SYSDATE, 1456, '000000099991', 'GOZADO_INTEGRAL' ); </v>
      </c>
      <c r="AG28" s="23" t="str" cm="1">
        <f t="array" aca="1" ref="AG28" ca="1">MIG_GERA.SCRIPT( $AG$2, $A$1:$AE$1,$A28:$AE28 )</f>
        <v xml:space="preserve">INSERT INTO FPA_GOZOFERIAS ( NRGOZOFERIAS, NRFERIAS, NRORG, DTINIGOZOFERIAS, DTFIMGOZOFERIAS, QTDIASABONOFERI, DTRETORNOFERIAS, DTINCLUSAO, NRORGINCLUSAO, CDOPERINCLUSAO, DSGOZOFERIAS ) VALUES ( 26, 22, 1456, '19/02/2024', '19/03/2024', '0', '20/03/2024', SYSDATE, 1456, '000000099991', 'Migrado' ); </v>
      </c>
      <c r="AH28" s="27" t="str">
        <f t="shared" ca="1" si="41"/>
        <v>COMMIT;</v>
      </c>
      <c r="AK28" s="53" t="str">
        <f ca="1"/>
        <v>2_394</v>
      </c>
      <c r="AL28" s="64" t="str">
        <f ca="1"/>
        <v xml:space="preserve">  - 2_394</v>
      </c>
    </row>
    <row r="29" spans="1:38" x14ac:dyDescent="0.25">
      <c r="A29" s="69" t="s">
        <v>91</v>
      </c>
      <c r="B29" s="67">
        <v>45062</v>
      </c>
      <c r="C29" s="67">
        <v>45427</v>
      </c>
      <c r="D29" s="68"/>
      <c r="E29" s="68" t="s">
        <v>92</v>
      </c>
      <c r="F29" s="68"/>
      <c r="G29" s="67">
        <v>45733</v>
      </c>
      <c r="H29" s="67">
        <v>45762</v>
      </c>
      <c r="I29" s="67">
        <v>45763</v>
      </c>
      <c r="J29" s="68">
        <v>0</v>
      </c>
      <c r="K29" s="68">
        <v>0</v>
      </c>
      <c r="N29" s="62">
        <f t="shared" si="11"/>
        <v>1456</v>
      </c>
      <c r="O29" s="62" t="str">
        <f t="shared" si="28"/>
        <v>2_39416/05/2023</v>
      </c>
      <c r="P29" s="62" t="str">
        <f>IF( COUNTIF( $O$3:O29, O29 ) &lt;= 1, "único", "existente" )</f>
        <v>único</v>
      </c>
      <c r="Q29" s="62" t="str" cm="1">
        <f t="array" aca="1" ref="Q29" ca="1">_xlfn.XLOOKUP( O29, INDIRECT( BaseIdIniAquisicao ), INDIRECT( BaseNrferias ), "inexistente", 0, 1 )</f>
        <v>inexistente</v>
      </c>
      <c r="R29" s="62" t="str">
        <f t="shared" ca="1" si="29"/>
        <v>inserir</v>
      </c>
      <c r="S29" s="32">
        <f t="shared" ca="1" si="30"/>
        <v>23</v>
      </c>
      <c r="T29" s="32">
        <f t="shared" ca="1" si="31"/>
        <v>23</v>
      </c>
      <c r="U29" s="61" t="str">
        <f t="shared" si="32"/>
        <v>2_39416/05/202317/03/2025</v>
      </c>
      <c r="V29" s="32" t="str">
        <f t="shared" ca="1" si="33"/>
        <v>inexistente</v>
      </c>
      <c r="W29" s="32" t="str" cm="1">
        <f t="array" aca="1" ref="W29" ca="1">_xlfn.IFS( AC29 = "", "não", V29 = "inexistente", "inserir", 1, "não" )</f>
        <v>inserir</v>
      </c>
      <c r="X29" s="32" cm="1">
        <f t="array" aca="1" ref="X29" ca="1" xml:space="preserve"> _xlfn.IFS( AC29 = "", X28, V29 = "existe", X28, 1, X28 + 1 )</f>
        <v>27</v>
      </c>
      <c r="Y29" s="32" t="str">
        <f t="shared" si="34"/>
        <v>2_394</v>
      </c>
      <c r="Z29" s="32" t="str">
        <f t="shared" si="35"/>
        <v>16/05/2023</v>
      </c>
      <c r="AA29" s="32" t="str">
        <f t="shared" si="36"/>
        <v>15/05/2024</v>
      </c>
      <c r="AB29" s="32" t="str">
        <f t="shared" si="37"/>
        <v>GOZADO_INTEGRAL</v>
      </c>
      <c r="AC29" s="32" t="str">
        <f t="shared" si="38"/>
        <v>17/03/2025</v>
      </c>
      <c r="AD29" s="32" t="str">
        <f t="shared" si="39"/>
        <v>15/04/2025</v>
      </c>
      <c r="AE29" s="32" t="str">
        <f t="shared" si="40"/>
        <v>16/04/2025</v>
      </c>
      <c r="AF29" s="23" t="str" cm="1">
        <f t="array" aca="1" ref="AF29" ca="1">MIG_GERA.SCRIPT( $AF$2, $A$1:$AE$1,$A29:$AE29 )</f>
        <v xml:space="preserve">INSERT INTO FPA_FERIAS ( NRFERIAS, NRVINCULOM, NRTIPOFERIAS, NRORG, DTINIAQUISICAO, DTFIMAQUISICAO, QTMESAFASTAMENT, QTFALTASPERIODO, DTINCLUSAO, NRORGINCLUSAO, CDOPERINCLUSAO, IDCONTROLFERIAS ) VALUES ( 23, (SELECT /*MAX(*/NRVINCULOM/*)*/ FROM GPE_VINCULOM WHERE NRORG = 1456 AND CDMATRICULA = '2_394' ), '1', 1456, '16/05/2023', '15/05/2024', '', '0', SYSDATE, 1456, '000000099991', 'GOZADO_INTEGRAL' ); </v>
      </c>
      <c r="AG29" s="23" t="str" cm="1">
        <f t="array" aca="1" ref="AG29" ca="1">MIG_GERA.SCRIPT( $AG$2, $A$1:$AE$1,$A29:$AE29 )</f>
        <v xml:space="preserve">INSERT INTO FPA_GOZOFERIAS ( NRGOZOFERIAS, NRFERIAS, NRORG, DTINIGOZOFERIAS, DTFIMGOZOFERIAS, QTDIASABONOFERI, DTRETORNOFERIAS, DTINCLUSAO, NRORGINCLUSAO, CDOPERINCLUSAO, DSGOZOFERIAS ) VALUES ( 27, 23, 1456, '17/03/2025', '15/04/2025', '0', '16/04/2025', SYSDATE, 1456, '000000099991', 'Migrado' ); </v>
      </c>
      <c r="AH29" s="27" t="str">
        <f t="shared" ca="1" si="41"/>
        <v>COMMIT;</v>
      </c>
      <c r="AK29" s="53" t="str">
        <f ca="1"/>
        <v>2_394</v>
      </c>
      <c r="AL29" s="64" t="str">
        <f ca="1"/>
        <v xml:space="preserve">  - 2_394</v>
      </c>
    </row>
    <row r="30" spans="1:38" x14ac:dyDescent="0.25">
      <c r="A30" s="69" t="s">
        <v>91</v>
      </c>
      <c r="B30" s="67">
        <v>45428</v>
      </c>
      <c r="C30" s="67">
        <v>45792</v>
      </c>
      <c r="D30" s="68"/>
      <c r="E30" s="68" t="s">
        <v>92</v>
      </c>
      <c r="F30" s="68"/>
      <c r="G30" s="67">
        <v>46104</v>
      </c>
      <c r="H30" s="67">
        <v>46133</v>
      </c>
      <c r="I30" s="67">
        <v>46134</v>
      </c>
      <c r="J30" s="68">
        <v>0</v>
      </c>
      <c r="K30" s="68">
        <v>0</v>
      </c>
      <c r="N30" s="62">
        <f t="shared" si="11"/>
        <v>1456</v>
      </c>
      <c r="O30" s="62" t="str">
        <f t="shared" si="28"/>
        <v>2_39416/05/2024</v>
      </c>
      <c r="P30" s="62" t="str">
        <f>IF( COUNTIF( $O$3:O30, O30 ) &lt;= 1, "único", "existente" )</f>
        <v>único</v>
      </c>
      <c r="Q30" s="62" t="str" cm="1">
        <f t="array" aca="1" ref="Q30" ca="1">_xlfn.XLOOKUP( O30, INDIRECT( BaseIdIniAquisicao ), INDIRECT( BaseNrferias ), "inexistente", 0, 1 )</f>
        <v>inexistente</v>
      </c>
      <c r="R30" s="62" t="str">
        <f t="shared" ca="1" si="29"/>
        <v>inserir</v>
      </c>
      <c r="S30" s="32">
        <f t="shared" ca="1" si="30"/>
        <v>24</v>
      </c>
      <c r="T30" s="32">
        <f t="shared" ca="1" si="31"/>
        <v>24</v>
      </c>
      <c r="U30" s="61" t="str">
        <f t="shared" si="32"/>
        <v>2_39416/05/202423/03/2026</v>
      </c>
      <c r="V30" s="32" t="str">
        <f t="shared" ca="1" si="33"/>
        <v>inexistente</v>
      </c>
      <c r="W30" s="32" t="str" cm="1">
        <f t="array" aca="1" ref="W30" ca="1">_xlfn.IFS( AC30 = "", "não", V30 = "inexistente", "inserir", 1, "não" )</f>
        <v>inserir</v>
      </c>
      <c r="X30" s="32" cm="1">
        <f t="array" aca="1" ref="X30" ca="1" xml:space="preserve"> _xlfn.IFS( AC30 = "", X29, V30 = "existe", X29, 1, X29 + 1 )</f>
        <v>28</v>
      </c>
      <c r="Y30" s="32" t="str">
        <f t="shared" si="34"/>
        <v>2_394</v>
      </c>
      <c r="Z30" s="32" t="str">
        <f t="shared" si="35"/>
        <v>16/05/2024</v>
      </c>
      <c r="AA30" s="32" t="str">
        <f t="shared" si="36"/>
        <v>15/05/2025</v>
      </c>
      <c r="AB30" s="32" t="str">
        <f t="shared" si="37"/>
        <v>GOZADO_INTEGRAL</v>
      </c>
      <c r="AC30" s="32" t="str">
        <f t="shared" si="38"/>
        <v>23/03/2026</v>
      </c>
      <c r="AD30" s="32" t="str">
        <f t="shared" si="39"/>
        <v>21/04/2026</v>
      </c>
      <c r="AE30" s="32" t="str">
        <f t="shared" si="40"/>
        <v>22/04/2026</v>
      </c>
      <c r="AF30" s="23" t="str" cm="1">
        <f t="array" aca="1" ref="AF30" ca="1">MIG_GERA.SCRIPT( $AF$2, $A$1:$AE$1,$A30:$AE30 )</f>
        <v xml:space="preserve">INSERT INTO FPA_FERIAS ( NRFERIAS, NRVINCULOM, NRTIPOFERIAS, NRORG, DTINIAQUISICAO, DTFIMAQUISICAO, QTMESAFASTAMENT, QTFALTASPERIODO, DTINCLUSAO, NRORGINCLUSAO, CDOPERINCLUSAO, IDCONTROLFERIAS ) VALUES ( 24, (SELECT /*MAX(*/NRVINCULOM/*)*/ FROM GPE_VINCULOM WHERE NRORG = 1456 AND CDMATRICULA = '2_394' ), '1', 1456, '16/05/2024', '15/05/2025', '', '0', SYSDATE, 1456, '000000099991', 'GOZADO_INTEGRAL' ); </v>
      </c>
      <c r="AG30" s="23" t="str" cm="1">
        <f t="array" aca="1" ref="AG30" ca="1">MIG_GERA.SCRIPT( $AG$2, $A$1:$AE$1,$A30:$AE30 )</f>
        <v xml:space="preserve">INSERT INTO FPA_GOZOFERIAS ( NRGOZOFERIAS, NRFERIAS, NRORG, DTINIGOZOFERIAS, DTFIMGOZOFERIAS, QTDIASABONOFERI, DTRETORNOFERIAS, DTINCLUSAO, NRORGINCLUSAO, CDOPERINCLUSAO, DSGOZOFERIAS ) VALUES ( 28, 24, 1456, '23/03/2026', '21/04/2026', '0', '22/04/2026', SYSDATE, 1456, '000000099991', 'Migrado' ); </v>
      </c>
      <c r="AH30" s="27" t="str">
        <f t="shared" ca="1" si="41"/>
        <v>COMMIT;</v>
      </c>
      <c r="AK30" s="53" t="str">
        <f ca="1"/>
        <v>2_394</v>
      </c>
      <c r="AL30" s="64" t="str">
        <f ca="1"/>
        <v xml:space="preserve">  - 2_394</v>
      </c>
    </row>
    <row r="31" spans="1:38" x14ac:dyDescent="0.25">
      <c r="A31" s="69"/>
      <c r="B31" s="67"/>
      <c r="C31" s="67"/>
      <c r="D31" s="68"/>
      <c r="E31" s="68"/>
      <c r="F31" s="68"/>
      <c r="G31" s="67"/>
      <c r="H31" s="67"/>
      <c r="I31" s="67"/>
      <c r="J31" s="68"/>
      <c r="K31" s="68"/>
      <c r="S31" s="32"/>
      <c r="T31" s="32"/>
      <c r="U31" s="61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23"/>
      <c r="AG31" s="23"/>
      <c r="AH31" s="27"/>
    </row>
    <row r="32" spans="1:38" x14ac:dyDescent="0.25">
      <c r="A32" s="69"/>
      <c r="B32" s="67"/>
      <c r="C32" s="67"/>
      <c r="D32" s="68"/>
      <c r="E32" s="68"/>
      <c r="F32" s="68"/>
      <c r="G32" s="67"/>
      <c r="H32" s="67"/>
      <c r="I32" s="67"/>
      <c r="J32" s="68"/>
      <c r="K32" s="68"/>
      <c r="S32" s="32"/>
      <c r="T32" s="32"/>
      <c r="U32" s="61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23"/>
      <c r="AG32" s="23"/>
      <c r="AH32" s="27"/>
    </row>
    <row r="33" spans="1:34" x14ac:dyDescent="0.25">
      <c r="A33" s="69"/>
      <c r="B33" s="67"/>
      <c r="C33" s="67"/>
      <c r="D33" s="68"/>
      <c r="E33" s="68"/>
      <c r="F33" s="68"/>
      <c r="G33" s="67"/>
      <c r="H33" s="67"/>
      <c r="I33" s="67"/>
      <c r="J33" s="68"/>
      <c r="K33" s="68"/>
      <c r="S33" s="32"/>
      <c r="T33" s="32"/>
      <c r="U33" s="61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23"/>
      <c r="AG33" s="23"/>
      <c r="AH33" s="27"/>
    </row>
    <row r="34" spans="1:34" x14ac:dyDescent="0.25">
      <c r="A34" s="69"/>
      <c r="B34" s="67"/>
      <c r="C34" s="67"/>
      <c r="D34" s="68"/>
      <c r="E34" s="68"/>
      <c r="F34" s="68"/>
      <c r="G34" s="67"/>
      <c r="H34" s="67"/>
      <c r="I34" s="67"/>
      <c r="J34" s="68"/>
      <c r="K34" s="68"/>
      <c r="S34" s="32"/>
      <c r="T34" s="32"/>
      <c r="U34" s="61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23"/>
      <c r="AG34" s="23"/>
      <c r="AH34" s="27"/>
    </row>
    <row r="35" spans="1:34" x14ac:dyDescent="0.25">
      <c r="A35" s="69"/>
      <c r="B35" s="67"/>
      <c r="C35" s="67"/>
      <c r="D35" s="68"/>
      <c r="E35" s="68"/>
      <c r="F35" s="68"/>
      <c r="G35" s="67"/>
      <c r="H35" s="67"/>
      <c r="I35" s="67"/>
      <c r="J35" s="68"/>
      <c r="K35" s="68"/>
      <c r="S35" s="32"/>
      <c r="T35" s="32"/>
      <c r="U35" s="61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23"/>
      <c r="AG35" s="23"/>
      <c r="AH35" s="27"/>
    </row>
    <row r="36" spans="1:34" x14ac:dyDescent="0.25">
      <c r="A36" s="69"/>
      <c r="B36" s="67"/>
      <c r="C36" s="67"/>
      <c r="D36" s="68"/>
      <c r="E36" s="68"/>
      <c r="F36" s="68"/>
      <c r="G36" s="67"/>
      <c r="H36" s="67"/>
      <c r="I36" s="67"/>
      <c r="J36" s="68"/>
      <c r="K36" s="68"/>
      <c r="S36" s="32"/>
      <c r="T36" s="32"/>
      <c r="U36" s="61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23"/>
      <c r="AG36" s="23"/>
      <c r="AH36" s="27"/>
    </row>
    <row r="37" spans="1:34" x14ac:dyDescent="0.25">
      <c r="A37" s="69"/>
      <c r="B37" s="67"/>
      <c r="C37" s="67"/>
      <c r="D37" s="68"/>
      <c r="E37" s="68"/>
      <c r="F37" s="68"/>
      <c r="G37" s="67"/>
      <c r="H37" s="67"/>
      <c r="I37" s="67"/>
      <c r="J37" s="68"/>
      <c r="K37" s="68"/>
      <c r="S37" s="32"/>
      <c r="T37" s="32"/>
      <c r="U37" s="61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23"/>
      <c r="AG37" s="23"/>
      <c r="AH37" s="27"/>
    </row>
    <row r="38" spans="1:34" x14ac:dyDescent="0.25">
      <c r="A38" s="69"/>
      <c r="B38" s="67"/>
      <c r="C38" s="67"/>
      <c r="D38" s="68"/>
      <c r="E38" s="68"/>
      <c r="F38" s="68"/>
      <c r="G38" s="67"/>
      <c r="H38" s="67"/>
      <c r="I38" s="67"/>
      <c r="J38" s="68"/>
      <c r="K38" s="68"/>
      <c r="S38" s="32"/>
      <c r="T38" s="32"/>
      <c r="U38" s="61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23"/>
      <c r="AG38" s="23"/>
      <c r="AH38" s="27"/>
    </row>
    <row r="39" spans="1:34" x14ac:dyDescent="0.25">
      <c r="A39" s="69"/>
      <c r="B39" s="67"/>
      <c r="C39" s="67"/>
      <c r="D39" s="68"/>
      <c r="E39" s="68"/>
      <c r="F39" s="68"/>
      <c r="G39" s="67"/>
      <c r="H39" s="67"/>
      <c r="I39" s="67"/>
      <c r="J39" s="68"/>
      <c r="K39" s="68"/>
      <c r="S39" s="32"/>
      <c r="T39" s="32"/>
      <c r="U39" s="61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23"/>
      <c r="AG39" s="23"/>
      <c r="AH39" s="27"/>
    </row>
    <row r="40" spans="1:34" x14ac:dyDescent="0.25">
      <c r="A40" s="69"/>
      <c r="B40" s="67"/>
      <c r="C40" s="67"/>
      <c r="D40" s="68"/>
      <c r="E40" s="68"/>
      <c r="F40" s="68"/>
      <c r="G40" s="67"/>
      <c r="H40" s="67"/>
      <c r="I40" s="67"/>
      <c r="J40" s="68"/>
      <c r="K40" s="68"/>
      <c r="S40" s="32"/>
      <c r="T40" s="32"/>
      <c r="U40" s="61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23"/>
      <c r="AG40" s="23"/>
      <c r="AH40" s="27"/>
    </row>
    <row r="41" spans="1:34" x14ac:dyDescent="0.25">
      <c r="A41" s="69"/>
      <c r="B41" s="67"/>
      <c r="C41" s="67"/>
      <c r="D41" s="68"/>
      <c r="E41" s="68"/>
      <c r="F41" s="68"/>
      <c r="G41" s="67"/>
      <c r="H41" s="67"/>
      <c r="I41" s="67"/>
      <c r="J41" s="68"/>
      <c r="K41" s="68"/>
      <c r="S41" s="32"/>
      <c r="T41" s="32"/>
      <c r="U41" s="61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23"/>
      <c r="AG41" s="23"/>
      <c r="AH41" s="27"/>
    </row>
    <row r="42" spans="1:34" x14ac:dyDescent="0.25">
      <c r="A42" s="69"/>
      <c r="B42" s="67"/>
      <c r="C42" s="67"/>
      <c r="D42" s="68"/>
      <c r="E42" s="68"/>
      <c r="F42" s="68"/>
      <c r="G42" s="67"/>
      <c r="H42" s="67"/>
      <c r="I42" s="67"/>
      <c r="J42" s="68"/>
      <c r="K42" s="68"/>
      <c r="S42" s="32"/>
      <c r="T42" s="32"/>
      <c r="U42" s="61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23"/>
      <c r="AG42" s="23"/>
      <c r="AH42" s="27"/>
    </row>
    <row r="43" spans="1:34" x14ac:dyDescent="0.25">
      <c r="A43" s="69"/>
      <c r="B43" s="67"/>
      <c r="C43" s="67"/>
      <c r="D43" s="68"/>
      <c r="E43" s="68"/>
      <c r="F43" s="68"/>
      <c r="G43" s="67"/>
      <c r="H43" s="67"/>
      <c r="I43" s="67"/>
      <c r="J43" s="68"/>
      <c r="K43" s="68"/>
      <c r="S43" s="32"/>
      <c r="T43" s="32"/>
      <c r="U43" s="61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23"/>
      <c r="AG43" s="23"/>
      <c r="AH43" s="27"/>
    </row>
    <row r="44" spans="1:34" x14ac:dyDescent="0.25">
      <c r="A44" s="69"/>
      <c r="B44" s="67"/>
      <c r="C44" s="67"/>
      <c r="D44" s="68"/>
      <c r="E44" s="68"/>
      <c r="F44" s="68"/>
      <c r="G44" s="67"/>
      <c r="H44" s="67"/>
      <c r="I44" s="67"/>
      <c r="J44" s="68"/>
      <c r="K44" s="68"/>
      <c r="S44" s="32"/>
      <c r="T44" s="32"/>
      <c r="U44" s="61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23"/>
      <c r="AG44" s="23"/>
      <c r="AH44" s="27"/>
    </row>
    <row r="45" spans="1:34" x14ac:dyDescent="0.25">
      <c r="A45" s="69"/>
      <c r="B45" s="67"/>
      <c r="C45" s="67"/>
      <c r="D45" s="68"/>
      <c r="E45" s="68"/>
      <c r="F45" s="68"/>
      <c r="G45" s="67"/>
      <c r="H45" s="67"/>
      <c r="I45" s="67"/>
      <c r="J45" s="68"/>
      <c r="K45" s="68"/>
      <c r="S45" s="32"/>
      <c r="T45" s="32"/>
      <c r="U45" s="61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23"/>
      <c r="AG45" s="23"/>
      <c r="AH45" s="27"/>
    </row>
    <row r="46" spans="1:34" x14ac:dyDescent="0.25">
      <c r="A46" s="69"/>
      <c r="B46" s="67"/>
      <c r="C46" s="67"/>
      <c r="D46" s="68"/>
      <c r="E46" s="68"/>
      <c r="F46" s="68"/>
      <c r="G46" s="67"/>
      <c r="H46" s="67"/>
      <c r="I46" s="67"/>
      <c r="J46" s="68"/>
      <c r="K46" s="68"/>
      <c r="S46" s="32"/>
      <c r="T46" s="32"/>
      <c r="U46" s="61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23"/>
      <c r="AG46" s="23"/>
      <c r="AH46" s="27"/>
    </row>
    <row r="47" spans="1:34" x14ac:dyDescent="0.25">
      <c r="A47" s="69"/>
      <c r="B47" s="67"/>
      <c r="C47" s="67"/>
      <c r="D47" s="68"/>
      <c r="E47" s="68"/>
      <c r="F47" s="68"/>
      <c r="G47" s="67"/>
      <c r="H47" s="67"/>
      <c r="I47" s="67"/>
      <c r="J47" s="68"/>
      <c r="K47" s="68"/>
      <c r="S47" s="32"/>
      <c r="T47" s="32"/>
      <c r="U47" s="61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23"/>
      <c r="AG47" s="23"/>
      <c r="AH47" s="27"/>
    </row>
    <row r="48" spans="1:34" x14ac:dyDescent="0.25">
      <c r="A48" s="69"/>
      <c r="B48" s="67"/>
      <c r="C48" s="67"/>
      <c r="D48" s="70"/>
      <c r="E48" s="70"/>
      <c r="F48" s="70"/>
      <c r="G48" s="67"/>
      <c r="H48" s="67"/>
      <c r="I48" s="67"/>
      <c r="J48" s="68"/>
      <c r="K48" s="68"/>
      <c r="S48" s="32"/>
      <c r="T48" s="32"/>
      <c r="U48" s="61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23"/>
      <c r="AG48" s="23"/>
      <c r="AH48" s="27"/>
    </row>
    <row r="49" spans="1:34" x14ac:dyDescent="0.25">
      <c r="A49" s="69"/>
      <c r="B49" s="67"/>
      <c r="C49" s="67"/>
      <c r="D49" s="70"/>
      <c r="E49" s="70"/>
      <c r="F49" s="70"/>
      <c r="G49" s="67"/>
      <c r="H49" s="67"/>
      <c r="I49" s="67"/>
      <c r="J49" s="68"/>
      <c r="K49" s="68"/>
      <c r="S49" s="32"/>
      <c r="T49" s="32"/>
      <c r="U49" s="61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23"/>
      <c r="AG49" s="23"/>
      <c r="AH49" s="27"/>
    </row>
    <row r="50" spans="1:34" x14ac:dyDescent="0.25">
      <c r="A50" s="69"/>
      <c r="B50" s="67"/>
      <c r="C50" s="67"/>
      <c r="D50" s="70"/>
      <c r="E50" s="70"/>
      <c r="F50" s="70"/>
      <c r="G50" s="67"/>
      <c r="H50" s="67"/>
      <c r="I50" s="67"/>
      <c r="J50" s="68"/>
      <c r="K50" s="68"/>
      <c r="S50" s="32"/>
      <c r="T50" s="32"/>
      <c r="U50" s="61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23"/>
      <c r="AG50" s="23"/>
      <c r="AH50" s="27"/>
    </row>
    <row r="51" spans="1:34" x14ac:dyDescent="0.25">
      <c r="A51" s="69"/>
      <c r="B51" s="67"/>
      <c r="C51" s="67"/>
      <c r="D51" s="68"/>
      <c r="E51" s="68"/>
      <c r="F51" s="68"/>
      <c r="G51" s="67"/>
      <c r="H51" s="67"/>
      <c r="I51" s="67"/>
      <c r="J51" s="68"/>
      <c r="K51" s="68"/>
      <c r="S51" s="32"/>
      <c r="T51" s="32"/>
      <c r="U51" s="61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23"/>
      <c r="AG51" s="23"/>
      <c r="AH51" s="27"/>
    </row>
    <row r="52" spans="1:34" x14ac:dyDescent="0.25">
      <c r="A52" s="69"/>
      <c r="B52" s="67"/>
      <c r="C52" s="67"/>
      <c r="D52" s="68"/>
      <c r="E52" s="68"/>
      <c r="F52" s="68"/>
      <c r="G52" s="67"/>
      <c r="H52" s="67"/>
      <c r="I52" s="67"/>
      <c r="J52" s="68"/>
      <c r="K52" s="68"/>
      <c r="S52" s="32"/>
      <c r="T52" s="32"/>
      <c r="U52" s="61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23"/>
      <c r="AG52" s="23"/>
      <c r="AH52" s="27"/>
    </row>
    <row r="53" spans="1:34" x14ac:dyDescent="0.25">
      <c r="A53" s="69"/>
      <c r="B53" s="67"/>
      <c r="C53" s="67"/>
      <c r="D53" s="68"/>
      <c r="E53" s="68"/>
      <c r="F53" s="68"/>
      <c r="G53" s="67"/>
      <c r="H53" s="67"/>
      <c r="I53" s="67"/>
      <c r="J53" s="68"/>
      <c r="K53" s="68"/>
      <c r="S53" s="32"/>
      <c r="T53" s="32"/>
      <c r="U53" s="61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23"/>
      <c r="AG53" s="23"/>
      <c r="AH53" s="27"/>
    </row>
    <row r="54" spans="1:34" x14ac:dyDescent="0.25">
      <c r="A54" s="69"/>
      <c r="B54" s="67"/>
      <c r="C54" s="67"/>
      <c r="D54" s="68"/>
      <c r="E54" s="68"/>
      <c r="F54" s="68"/>
      <c r="G54" s="67"/>
      <c r="H54" s="67"/>
      <c r="I54" s="67"/>
      <c r="J54" s="68"/>
      <c r="K54" s="68"/>
      <c r="S54" s="32"/>
      <c r="T54" s="32"/>
      <c r="U54" s="61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23"/>
      <c r="AG54" s="23"/>
      <c r="AH54" s="27"/>
    </row>
    <row r="55" spans="1:34" x14ac:dyDescent="0.25">
      <c r="A55" s="69"/>
      <c r="B55" s="67"/>
      <c r="C55" s="67"/>
      <c r="D55" s="68"/>
      <c r="E55" s="68"/>
      <c r="F55" s="68"/>
      <c r="G55" s="67"/>
      <c r="H55" s="67"/>
      <c r="I55" s="67"/>
      <c r="J55" s="68"/>
      <c r="K55" s="68"/>
      <c r="S55" s="32"/>
      <c r="T55" s="32"/>
      <c r="U55" s="61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23"/>
      <c r="AG55" s="23"/>
      <c r="AH55" s="27"/>
    </row>
    <row r="56" spans="1:34" x14ac:dyDescent="0.25">
      <c r="A56" s="69"/>
      <c r="B56" s="67"/>
      <c r="C56" s="67"/>
      <c r="D56" s="68"/>
      <c r="E56" s="68"/>
      <c r="F56" s="68"/>
      <c r="G56" s="67"/>
      <c r="H56" s="67"/>
      <c r="I56" s="67"/>
      <c r="J56" s="68"/>
      <c r="K56" s="68"/>
      <c r="S56" s="32"/>
      <c r="T56" s="32"/>
      <c r="U56" s="61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23"/>
      <c r="AG56" s="23"/>
      <c r="AH56" s="27"/>
    </row>
    <row r="57" spans="1:34" x14ac:dyDescent="0.25">
      <c r="A57" s="69"/>
      <c r="B57" s="67"/>
      <c r="C57" s="67"/>
      <c r="D57" s="68"/>
      <c r="E57" s="68"/>
      <c r="F57" s="68"/>
      <c r="G57" s="67"/>
      <c r="H57" s="67"/>
      <c r="I57" s="67"/>
      <c r="J57" s="68"/>
      <c r="K57" s="68"/>
      <c r="S57" s="32"/>
      <c r="T57" s="32"/>
      <c r="U57" s="61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23"/>
      <c r="AG57" s="23"/>
      <c r="AH57" s="27"/>
    </row>
    <row r="58" spans="1:34" x14ac:dyDescent="0.25">
      <c r="A58" s="69"/>
      <c r="B58" s="67"/>
      <c r="C58" s="67"/>
      <c r="D58" s="68"/>
      <c r="E58" s="68"/>
      <c r="F58" s="68"/>
      <c r="G58" s="67"/>
      <c r="H58" s="67"/>
      <c r="I58" s="67"/>
      <c r="J58" s="68"/>
      <c r="K58" s="68"/>
      <c r="S58" s="32"/>
      <c r="T58" s="32"/>
      <c r="U58" s="61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23"/>
      <c r="AG58" s="23"/>
      <c r="AH58" s="27"/>
    </row>
    <row r="59" spans="1:34" x14ac:dyDescent="0.25">
      <c r="A59" s="69"/>
      <c r="B59" s="67"/>
      <c r="C59" s="67"/>
      <c r="D59" s="68"/>
      <c r="E59" s="68"/>
      <c r="F59" s="68"/>
      <c r="G59" s="67"/>
      <c r="H59" s="67"/>
      <c r="I59" s="67"/>
      <c r="J59" s="68"/>
      <c r="K59" s="68"/>
      <c r="S59" s="32"/>
      <c r="T59" s="32"/>
      <c r="U59" s="61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23"/>
      <c r="AG59" s="23"/>
      <c r="AH59" s="27"/>
    </row>
    <row r="60" spans="1:34" x14ac:dyDescent="0.25">
      <c r="A60" s="69"/>
      <c r="B60" s="67"/>
      <c r="C60" s="67"/>
      <c r="D60" s="68"/>
      <c r="E60" s="68"/>
      <c r="F60" s="68"/>
      <c r="G60" s="67"/>
      <c r="H60" s="67"/>
      <c r="I60" s="67"/>
      <c r="J60" s="68"/>
      <c r="K60" s="68"/>
      <c r="S60" s="32"/>
      <c r="T60" s="32"/>
      <c r="U60" s="61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23"/>
      <c r="AG60" s="23"/>
      <c r="AH60" s="27"/>
    </row>
    <row r="61" spans="1:34" x14ac:dyDescent="0.25">
      <c r="A61" s="69"/>
      <c r="B61" s="67"/>
      <c r="C61" s="67"/>
      <c r="D61" s="68"/>
      <c r="E61" s="68"/>
      <c r="F61" s="68"/>
      <c r="G61" s="67"/>
      <c r="H61" s="67"/>
      <c r="I61" s="67"/>
      <c r="J61" s="68"/>
      <c r="K61" s="68"/>
      <c r="S61" s="32"/>
      <c r="T61" s="32"/>
      <c r="U61" s="61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23"/>
      <c r="AG61" s="23"/>
      <c r="AH61" s="27"/>
    </row>
    <row r="62" spans="1:34" x14ac:dyDescent="0.25">
      <c r="A62" s="69"/>
      <c r="B62" s="67"/>
      <c r="C62" s="67"/>
      <c r="D62" s="68"/>
      <c r="E62" s="68"/>
      <c r="F62" s="68"/>
      <c r="G62" s="67"/>
      <c r="H62" s="67"/>
      <c r="I62" s="67"/>
      <c r="J62" s="68"/>
      <c r="K62" s="68"/>
      <c r="S62" s="32"/>
      <c r="T62" s="32"/>
      <c r="U62" s="61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23"/>
      <c r="AG62" s="23"/>
      <c r="AH62" s="27"/>
    </row>
    <row r="63" spans="1:34" x14ac:dyDescent="0.25">
      <c r="A63" s="69"/>
      <c r="B63" s="67"/>
      <c r="C63" s="67"/>
      <c r="D63" s="68"/>
      <c r="E63" s="68"/>
      <c r="F63" s="68"/>
      <c r="G63" s="67"/>
      <c r="H63" s="67"/>
      <c r="I63" s="67"/>
      <c r="J63" s="68"/>
      <c r="K63" s="68"/>
      <c r="S63" s="32"/>
      <c r="T63" s="32"/>
      <c r="U63" s="61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23"/>
      <c r="AG63" s="23"/>
      <c r="AH63" s="27"/>
    </row>
    <row r="64" spans="1:34" x14ac:dyDescent="0.25">
      <c r="A64" s="69"/>
      <c r="B64" s="67"/>
      <c r="C64" s="67"/>
      <c r="D64" s="68"/>
      <c r="E64" s="68"/>
      <c r="F64" s="68"/>
      <c r="G64" s="67"/>
      <c r="H64" s="67"/>
      <c r="I64" s="67"/>
      <c r="J64" s="68"/>
      <c r="K64" s="68"/>
      <c r="S64" s="32"/>
      <c r="T64" s="32"/>
      <c r="U64" s="61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23"/>
      <c r="AG64" s="23"/>
      <c r="AH64" s="27"/>
    </row>
    <row r="65" spans="1:34" x14ac:dyDescent="0.25">
      <c r="A65" s="69"/>
      <c r="B65" s="67"/>
      <c r="C65" s="67"/>
      <c r="D65" s="68"/>
      <c r="E65" s="68"/>
      <c r="F65" s="68"/>
      <c r="G65" s="67"/>
      <c r="H65" s="67"/>
      <c r="I65" s="67"/>
      <c r="J65" s="68"/>
      <c r="K65" s="68"/>
      <c r="S65" s="32"/>
      <c r="T65" s="32"/>
      <c r="U65" s="61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23"/>
      <c r="AG65" s="23"/>
      <c r="AH65" s="27"/>
    </row>
    <row r="66" spans="1:34" x14ac:dyDescent="0.25">
      <c r="A66" s="69"/>
      <c r="B66" s="67"/>
      <c r="C66" s="67"/>
      <c r="D66" s="68"/>
      <c r="E66" s="68"/>
      <c r="F66" s="68"/>
      <c r="G66" s="67"/>
      <c r="H66" s="67"/>
      <c r="I66" s="67"/>
      <c r="J66" s="68"/>
      <c r="K66" s="68"/>
      <c r="S66" s="32"/>
      <c r="T66" s="32"/>
      <c r="U66" s="61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23"/>
      <c r="AG66" s="23"/>
      <c r="AH66" s="27"/>
    </row>
    <row r="67" spans="1:34" x14ac:dyDescent="0.25">
      <c r="A67" s="69"/>
      <c r="B67" s="67"/>
      <c r="C67" s="67"/>
      <c r="D67" s="68"/>
      <c r="E67" s="68"/>
      <c r="F67" s="68"/>
      <c r="G67" s="67"/>
      <c r="H67" s="67"/>
      <c r="I67" s="67"/>
      <c r="J67" s="68"/>
      <c r="K67" s="68"/>
      <c r="S67" s="32"/>
      <c r="T67" s="32"/>
      <c r="U67" s="61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23"/>
      <c r="AG67" s="23"/>
      <c r="AH67" s="27"/>
    </row>
    <row r="68" spans="1:34" x14ac:dyDescent="0.25">
      <c r="A68" s="69"/>
      <c r="B68" s="67"/>
      <c r="C68" s="67"/>
      <c r="D68" s="68"/>
      <c r="E68" s="68"/>
      <c r="F68" s="68"/>
      <c r="G68" s="67"/>
      <c r="H68" s="67"/>
      <c r="I68" s="67"/>
      <c r="J68" s="68"/>
      <c r="K68" s="68"/>
      <c r="S68" s="32"/>
      <c r="T68" s="32"/>
      <c r="U68" s="61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23"/>
      <c r="AG68" s="23"/>
      <c r="AH68" s="27"/>
    </row>
    <row r="69" spans="1:34" x14ac:dyDescent="0.25">
      <c r="A69" s="69"/>
      <c r="B69" s="67"/>
      <c r="C69" s="67"/>
      <c r="D69" s="68"/>
      <c r="E69" s="68"/>
      <c r="F69" s="68"/>
      <c r="G69" s="67"/>
      <c r="H69" s="67"/>
      <c r="I69" s="67"/>
      <c r="J69" s="68"/>
      <c r="K69" s="68"/>
      <c r="S69" s="32"/>
      <c r="T69" s="32"/>
      <c r="U69" s="61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23"/>
      <c r="AG69" s="23"/>
      <c r="AH69" s="27"/>
    </row>
    <row r="70" spans="1:34" x14ac:dyDescent="0.25">
      <c r="A70" s="69"/>
      <c r="B70" s="67"/>
      <c r="C70" s="67"/>
      <c r="D70" s="68"/>
      <c r="E70" s="68"/>
      <c r="F70" s="68"/>
      <c r="G70" s="67"/>
      <c r="H70" s="67"/>
      <c r="I70" s="67"/>
      <c r="J70" s="68"/>
      <c r="K70" s="68"/>
      <c r="S70" s="32"/>
      <c r="T70" s="32"/>
      <c r="U70" s="61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23"/>
      <c r="AG70" s="23"/>
      <c r="AH70" s="27"/>
    </row>
    <row r="71" spans="1:34" x14ac:dyDescent="0.25">
      <c r="A71" s="69"/>
      <c r="B71" s="67"/>
      <c r="C71" s="67"/>
      <c r="D71" s="68"/>
      <c r="E71" s="68"/>
      <c r="F71" s="68"/>
      <c r="G71" s="67"/>
      <c r="H71" s="67"/>
      <c r="I71" s="67"/>
      <c r="J71" s="68"/>
      <c r="K71" s="68"/>
      <c r="S71" s="32"/>
      <c r="T71" s="32"/>
      <c r="U71" s="61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23"/>
      <c r="AG71" s="23"/>
      <c r="AH71" s="27"/>
    </row>
    <row r="72" spans="1:34" x14ac:dyDescent="0.25">
      <c r="A72" s="69"/>
      <c r="B72" s="67"/>
      <c r="C72" s="67"/>
      <c r="D72" s="70"/>
      <c r="E72" s="70"/>
      <c r="F72" s="70"/>
      <c r="G72" s="67"/>
      <c r="H72" s="67"/>
      <c r="I72" s="67"/>
      <c r="J72" s="68"/>
      <c r="K72" s="68"/>
      <c r="S72" s="32"/>
      <c r="T72" s="32"/>
      <c r="U72" s="61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23"/>
      <c r="AG72" s="23"/>
      <c r="AH72" s="27"/>
    </row>
    <row r="73" spans="1:34" x14ac:dyDescent="0.25">
      <c r="A73" s="69"/>
      <c r="B73" s="67"/>
      <c r="C73" s="67"/>
      <c r="D73" s="70"/>
      <c r="E73" s="70"/>
      <c r="F73" s="70"/>
      <c r="G73" s="67"/>
      <c r="H73" s="67"/>
      <c r="I73" s="67"/>
      <c r="J73" s="68"/>
      <c r="K73" s="68"/>
      <c r="S73" s="32"/>
      <c r="T73" s="32"/>
      <c r="U73" s="61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23"/>
      <c r="AG73" s="23"/>
      <c r="AH73" s="27"/>
    </row>
    <row r="74" spans="1:34" x14ac:dyDescent="0.25">
      <c r="A74" s="69"/>
      <c r="B74" s="67"/>
      <c r="C74" s="67"/>
      <c r="D74" s="70"/>
      <c r="E74" s="70"/>
      <c r="F74" s="70"/>
      <c r="G74" s="67"/>
      <c r="H74" s="67"/>
      <c r="I74" s="67"/>
      <c r="J74" s="68"/>
      <c r="K74" s="68"/>
      <c r="S74" s="32"/>
      <c r="T74" s="32"/>
      <c r="U74" s="61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23"/>
      <c r="AG74" s="23"/>
      <c r="AH74" s="27"/>
    </row>
    <row r="75" spans="1:34" x14ac:dyDescent="0.25">
      <c r="A75" s="69"/>
      <c r="B75" s="67"/>
      <c r="C75" s="67"/>
      <c r="D75" s="68"/>
      <c r="E75" s="68"/>
      <c r="F75" s="68"/>
      <c r="G75" s="67"/>
      <c r="H75" s="67"/>
      <c r="I75" s="67"/>
      <c r="J75" s="68"/>
      <c r="K75" s="68"/>
      <c r="S75" s="32"/>
      <c r="T75" s="32"/>
      <c r="U75" s="61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23"/>
      <c r="AG75" s="23"/>
      <c r="AH75" s="27"/>
    </row>
    <row r="76" spans="1:34" x14ac:dyDescent="0.25">
      <c r="A76" s="69"/>
      <c r="B76" s="67"/>
      <c r="C76" s="67"/>
      <c r="D76" s="68"/>
      <c r="E76" s="68"/>
      <c r="F76" s="68"/>
      <c r="G76" s="67"/>
      <c r="H76" s="67"/>
      <c r="I76" s="67"/>
      <c r="J76" s="68"/>
      <c r="K76" s="68"/>
      <c r="S76" s="32"/>
      <c r="T76" s="32"/>
      <c r="U76" s="61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23"/>
      <c r="AG76" s="23"/>
      <c r="AH76" s="27"/>
    </row>
    <row r="77" spans="1:34" x14ac:dyDescent="0.25">
      <c r="A77" s="69"/>
      <c r="B77" s="67"/>
      <c r="C77" s="67"/>
      <c r="D77" s="68"/>
      <c r="E77" s="68"/>
      <c r="F77" s="68"/>
      <c r="G77" s="67"/>
      <c r="H77" s="67"/>
      <c r="I77" s="67"/>
      <c r="J77" s="68"/>
      <c r="K77" s="68"/>
      <c r="S77" s="32"/>
      <c r="T77" s="32"/>
      <c r="U77" s="61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23"/>
      <c r="AG77" s="23"/>
      <c r="AH77" s="27"/>
    </row>
    <row r="78" spans="1:34" x14ac:dyDescent="0.25">
      <c r="A78" s="69"/>
      <c r="B78" s="67"/>
      <c r="C78" s="67"/>
      <c r="D78" s="68"/>
      <c r="E78" s="68"/>
      <c r="F78" s="68"/>
      <c r="G78" s="67"/>
      <c r="H78" s="67"/>
      <c r="I78" s="67"/>
      <c r="J78" s="68"/>
      <c r="K78" s="68"/>
      <c r="S78" s="32"/>
      <c r="T78" s="32"/>
      <c r="U78" s="61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23"/>
      <c r="AG78" s="23"/>
      <c r="AH78" s="27"/>
    </row>
    <row r="79" spans="1:34" x14ac:dyDescent="0.25">
      <c r="A79" s="69"/>
      <c r="B79" s="67"/>
      <c r="C79" s="67"/>
      <c r="D79" s="68"/>
      <c r="E79" s="68"/>
      <c r="F79" s="68"/>
      <c r="G79" s="67"/>
      <c r="H79" s="67"/>
      <c r="I79" s="67"/>
      <c r="J79" s="68"/>
      <c r="K79" s="68"/>
      <c r="S79" s="32"/>
      <c r="T79" s="32"/>
      <c r="U79" s="61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23"/>
      <c r="AG79" s="23"/>
      <c r="AH79" s="27"/>
    </row>
    <row r="80" spans="1:34" x14ac:dyDescent="0.25">
      <c r="A80" s="69"/>
      <c r="B80" s="67"/>
      <c r="C80" s="67"/>
      <c r="D80" s="68"/>
      <c r="E80" s="68"/>
      <c r="F80" s="68"/>
      <c r="G80" s="67"/>
      <c r="H80" s="67"/>
      <c r="I80" s="67"/>
      <c r="J80" s="68"/>
      <c r="K80" s="68"/>
      <c r="S80" s="32"/>
      <c r="T80" s="32"/>
      <c r="U80" s="61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23"/>
      <c r="AG80" s="23"/>
      <c r="AH80" s="27"/>
    </row>
    <row r="81" spans="1:34" x14ac:dyDescent="0.25">
      <c r="A81" s="69"/>
      <c r="B81" s="67"/>
      <c r="C81" s="67"/>
      <c r="D81" s="68"/>
      <c r="E81" s="68"/>
      <c r="F81" s="68"/>
      <c r="G81" s="67"/>
      <c r="H81" s="67"/>
      <c r="I81" s="67"/>
      <c r="J81" s="68"/>
      <c r="K81" s="68"/>
      <c r="S81" s="32"/>
      <c r="T81" s="32"/>
      <c r="U81" s="61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23"/>
      <c r="AG81" s="23"/>
      <c r="AH81" s="27"/>
    </row>
    <row r="82" spans="1:34" x14ac:dyDescent="0.25">
      <c r="A82" s="69"/>
      <c r="B82" s="67"/>
      <c r="C82" s="67"/>
      <c r="D82" s="68"/>
      <c r="E82" s="68"/>
      <c r="F82" s="68"/>
      <c r="G82" s="67"/>
      <c r="H82" s="67"/>
      <c r="I82" s="67"/>
      <c r="J82" s="68"/>
      <c r="K82" s="68"/>
      <c r="S82" s="32"/>
      <c r="T82" s="32"/>
      <c r="U82" s="61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23"/>
      <c r="AG82" s="23"/>
      <c r="AH82" s="27"/>
    </row>
    <row r="83" spans="1:34" x14ac:dyDescent="0.25">
      <c r="A83" s="69"/>
      <c r="B83" s="67"/>
      <c r="C83" s="67"/>
      <c r="D83" s="68"/>
      <c r="E83" s="68"/>
      <c r="F83" s="68"/>
      <c r="G83" s="67"/>
      <c r="H83" s="67"/>
      <c r="I83" s="67"/>
      <c r="J83" s="68"/>
      <c r="K83" s="68"/>
      <c r="S83" s="32"/>
      <c r="T83" s="32"/>
      <c r="U83" s="61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23"/>
      <c r="AG83" s="23"/>
      <c r="AH83" s="27"/>
    </row>
    <row r="84" spans="1:34" x14ac:dyDescent="0.25">
      <c r="A84" s="69"/>
      <c r="B84" s="67"/>
      <c r="C84" s="67"/>
      <c r="D84" s="68"/>
      <c r="E84" s="68"/>
      <c r="F84" s="68"/>
      <c r="G84" s="67"/>
      <c r="H84" s="67"/>
      <c r="I84" s="67"/>
      <c r="J84" s="68"/>
      <c r="K84" s="68"/>
      <c r="S84" s="32"/>
      <c r="T84" s="32"/>
      <c r="U84" s="61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23"/>
      <c r="AG84" s="23"/>
      <c r="AH84" s="27"/>
    </row>
    <row r="85" spans="1:34" x14ac:dyDescent="0.25">
      <c r="A85" s="69"/>
      <c r="B85" s="67"/>
      <c r="C85" s="67"/>
      <c r="D85" s="68"/>
      <c r="E85" s="68"/>
      <c r="F85" s="68"/>
      <c r="G85" s="67"/>
      <c r="H85" s="67"/>
      <c r="I85" s="67"/>
      <c r="J85" s="68"/>
      <c r="K85" s="68"/>
      <c r="S85" s="32"/>
      <c r="T85" s="32"/>
      <c r="U85" s="61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23"/>
      <c r="AG85" s="23"/>
      <c r="AH85" s="27"/>
    </row>
    <row r="86" spans="1:34" x14ac:dyDescent="0.25">
      <c r="A86" s="69"/>
      <c r="B86" s="67"/>
      <c r="C86" s="67"/>
      <c r="D86" s="68"/>
      <c r="E86" s="68"/>
      <c r="F86" s="68"/>
      <c r="G86" s="67"/>
      <c r="H86" s="67"/>
      <c r="I86" s="67"/>
      <c r="J86" s="68"/>
      <c r="K86" s="68"/>
      <c r="S86" s="32"/>
      <c r="T86" s="32"/>
      <c r="U86" s="61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23"/>
      <c r="AG86" s="23"/>
      <c r="AH86" s="27"/>
    </row>
    <row r="87" spans="1:34" x14ac:dyDescent="0.25">
      <c r="A87" s="69"/>
      <c r="B87" s="67"/>
      <c r="C87" s="67"/>
      <c r="D87" s="68"/>
      <c r="E87" s="68"/>
      <c r="F87" s="68"/>
      <c r="G87" s="67"/>
      <c r="H87" s="67"/>
      <c r="I87" s="67"/>
      <c r="J87" s="68"/>
      <c r="K87" s="68"/>
      <c r="S87" s="32"/>
      <c r="T87" s="32"/>
      <c r="U87" s="61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23"/>
      <c r="AG87" s="23"/>
      <c r="AH87" s="27"/>
    </row>
    <row r="88" spans="1:34" x14ac:dyDescent="0.25">
      <c r="A88" s="69"/>
      <c r="B88" s="67"/>
      <c r="C88" s="67"/>
      <c r="D88" s="68"/>
      <c r="E88" s="68"/>
      <c r="F88" s="68"/>
      <c r="G88" s="67"/>
      <c r="H88" s="67"/>
      <c r="I88" s="67"/>
      <c r="J88" s="68"/>
      <c r="K88" s="68"/>
      <c r="S88" s="32"/>
      <c r="T88" s="32"/>
      <c r="U88" s="61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23"/>
      <c r="AG88" s="23"/>
      <c r="AH88" s="27"/>
    </row>
    <row r="89" spans="1:34" x14ac:dyDescent="0.25">
      <c r="A89" s="69"/>
      <c r="B89" s="67"/>
      <c r="C89" s="67"/>
      <c r="D89" s="68"/>
      <c r="E89" s="68"/>
      <c r="F89" s="68"/>
      <c r="G89" s="67"/>
      <c r="H89" s="67"/>
      <c r="I89" s="67"/>
      <c r="J89" s="68"/>
      <c r="K89" s="68"/>
      <c r="S89" s="32"/>
      <c r="T89" s="32"/>
      <c r="U89" s="61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23"/>
      <c r="AG89" s="23"/>
      <c r="AH89" s="27"/>
    </row>
    <row r="90" spans="1:34" x14ac:dyDescent="0.25">
      <c r="A90" s="69"/>
      <c r="B90" s="67"/>
      <c r="C90" s="67"/>
      <c r="D90" s="68"/>
      <c r="E90" s="68"/>
      <c r="F90" s="68"/>
      <c r="G90" s="67"/>
      <c r="H90" s="67"/>
      <c r="I90" s="67"/>
      <c r="J90" s="68"/>
      <c r="K90" s="68"/>
      <c r="S90" s="32"/>
      <c r="T90" s="32"/>
      <c r="U90" s="61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23"/>
      <c r="AG90" s="23"/>
      <c r="AH90" s="27"/>
    </row>
    <row r="91" spans="1:34" x14ac:dyDescent="0.25">
      <c r="A91" s="69"/>
      <c r="B91" s="67"/>
      <c r="C91" s="67"/>
      <c r="D91" s="68"/>
      <c r="E91" s="68"/>
      <c r="F91" s="68"/>
      <c r="G91" s="67"/>
      <c r="H91" s="67"/>
      <c r="I91" s="67"/>
      <c r="J91" s="68"/>
      <c r="K91" s="68"/>
      <c r="S91" s="32"/>
      <c r="T91" s="32"/>
      <c r="U91" s="61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23"/>
      <c r="AG91" s="23"/>
      <c r="AH91" s="27"/>
    </row>
    <row r="92" spans="1:34" x14ac:dyDescent="0.25">
      <c r="A92" s="69"/>
      <c r="B92" s="67"/>
      <c r="C92" s="67"/>
      <c r="D92" s="68"/>
      <c r="E92" s="68"/>
      <c r="F92" s="68"/>
      <c r="G92" s="67"/>
      <c r="H92" s="67"/>
      <c r="I92" s="67"/>
      <c r="J92" s="68"/>
      <c r="K92" s="68"/>
      <c r="S92" s="32"/>
      <c r="T92" s="32"/>
      <c r="U92" s="61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23"/>
      <c r="AG92" s="23"/>
      <c r="AH92" s="27"/>
    </row>
    <row r="93" spans="1:34" x14ac:dyDescent="0.25">
      <c r="A93" s="69"/>
      <c r="B93" s="67"/>
      <c r="C93" s="67"/>
      <c r="D93" s="68"/>
      <c r="E93" s="68"/>
      <c r="F93" s="68"/>
      <c r="G93" s="67"/>
      <c r="H93" s="67"/>
      <c r="I93" s="67"/>
      <c r="J93" s="68"/>
      <c r="K93" s="68"/>
      <c r="S93" s="32"/>
      <c r="T93" s="32"/>
      <c r="U93" s="61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23"/>
      <c r="AG93" s="23"/>
      <c r="AH93" s="27"/>
    </row>
    <row r="94" spans="1:34" x14ac:dyDescent="0.25">
      <c r="A94" s="69"/>
      <c r="B94" s="67"/>
      <c r="C94" s="67"/>
      <c r="D94" s="68"/>
      <c r="E94" s="68"/>
      <c r="F94" s="68"/>
      <c r="G94" s="67"/>
      <c r="H94" s="67"/>
      <c r="I94" s="67"/>
      <c r="J94" s="68"/>
      <c r="K94" s="68"/>
      <c r="S94" s="32"/>
      <c r="T94" s="32"/>
      <c r="U94" s="61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23"/>
      <c r="AG94" s="23"/>
      <c r="AH94" s="27"/>
    </row>
    <row r="95" spans="1:34" x14ac:dyDescent="0.25">
      <c r="A95" s="69"/>
      <c r="B95" s="67"/>
      <c r="C95" s="67"/>
      <c r="D95" s="68"/>
      <c r="E95" s="68"/>
      <c r="F95" s="68"/>
      <c r="G95" s="67"/>
      <c r="H95" s="67"/>
      <c r="I95" s="67"/>
      <c r="J95" s="68"/>
      <c r="K95" s="68"/>
      <c r="S95" s="32"/>
      <c r="T95" s="32"/>
      <c r="U95" s="61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23"/>
      <c r="AG95" s="23"/>
      <c r="AH95" s="27"/>
    </row>
    <row r="96" spans="1:34" x14ac:dyDescent="0.25">
      <c r="A96" s="69"/>
      <c r="B96" s="67"/>
      <c r="C96" s="67"/>
      <c r="D96" s="70"/>
      <c r="E96" s="70"/>
      <c r="F96" s="70"/>
      <c r="G96" s="67"/>
      <c r="H96" s="67"/>
      <c r="I96" s="67"/>
      <c r="J96" s="68"/>
      <c r="K96" s="68"/>
      <c r="S96" s="32"/>
      <c r="T96" s="32"/>
      <c r="U96" s="61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23"/>
      <c r="AG96" s="23"/>
      <c r="AH96" s="27"/>
    </row>
    <row r="97" spans="1:34" x14ac:dyDescent="0.25">
      <c r="A97" s="69"/>
      <c r="B97" s="67"/>
      <c r="C97" s="67"/>
      <c r="D97" s="70"/>
      <c r="E97" s="70"/>
      <c r="F97" s="70"/>
      <c r="G97" s="67"/>
      <c r="H97" s="67"/>
      <c r="I97" s="67"/>
      <c r="J97" s="68"/>
      <c r="K97" s="68"/>
      <c r="S97" s="32"/>
      <c r="T97" s="32"/>
      <c r="U97" s="61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23"/>
      <c r="AG97" s="23"/>
      <c r="AH97" s="27"/>
    </row>
    <row r="98" spans="1:34" x14ac:dyDescent="0.25">
      <c r="A98" s="69"/>
      <c r="B98" s="67"/>
      <c r="C98" s="67"/>
      <c r="D98" s="70"/>
      <c r="E98" s="70"/>
      <c r="F98" s="70"/>
      <c r="G98" s="67"/>
      <c r="H98" s="67"/>
      <c r="I98" s="67"/>
      <c r="J98" s="68"/>
      <c r="K98" s="68"/>
      <c r="S98" s="32"/>
      <c r="T98" s="32"/>
      <c r="U98" s="61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23"/>
      <c r="AG98" s="23"/>
      <c r="AH98" s="27"/>
    </row>
    <row r="99" spans="1:34" x14ac:dyDescent="0.25">
      <c r="A99" s="69"/>
      <c r="B99" s="67"/>
      <c r="C99" s="67"/>
      <c r="D99" s="68"/>
      <c r="E99" s="68"/>
      <c r="F99" s="68"/>
      <c r="G99" s="67"/>
      <c r="H99" s="67"/>
      <c r="I99" s="67"/>
      <c r="J99" s="68"/>
      <c r="K99" s="68"/>
      <c r="S99" s="32"/>
      <c r="T99" s="32"/>
      <c r="U99" s="61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23"/>
      <c r="AG99" s="23"/>
      <c r="AH99" s="27"/>
    </row>
    <row r="100" spans="1:34" x14ac:dyDescent="0.25">
      <c r="A100" s="69"/>
      <c r="B100" s="67"/>
      <c r="C100" s="67"/>
      <c r="D100" s="68"/>
      <c r="E100" s="68"/>
      <c r="F100" s="68"/>
      <c r="G100" s="67"/>
      <c r="H100" s="67"/>
      <c r="I100" s="67"/>
      <c r="J100" s="68"/>
      <c r="K100" s="68"/>
      <c r="S100" s="32"/>
      <c r="T100" s="32"/>
      <c r="U100" s="61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23"/>
      <c r="AG100" s="23"/>
      <c r="AH100" s="27"/>
    </row>
    <row r="101" spans="1:34" x14ac:dyDescent="0.25">
      <c r="A101" s="69"/>
      <c r="B101" s="67"/>
      <c r="C101" s="67"/>
      <c r="D101" s="68"/>
      <c r="E101" s="68"/>
      <c r="F101" s="68"/>
      <c r="G101" s="67"/>
      <c r="H101" s="67"/>
      <c r="I101" s="67"/>
      <c r="J101" s="68"/>
      <c r="K101" s="68"/>
      <c r="S101" s="32"/>
      <c r="T101" s="32"/>
      <c r="U101" s="61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23"/>
      <c r="AG101" s="23"/>
      <c r="AH101" s="27"/>
    </row>
    <row r="102" spans="1:34" x14ac:dyDescent="0.25">
      <c r="A102" s="69"/>
      <c r="B102" s="67"/>
      <c r="C102" s="67"/>
      <c r="D102" s="68"/>
      <c r="E102" s="68"/>
      <c r="F102" s="68"/>
      <c r="G102" s="67"/>
      <c r="H102" s="67"/>
      <c r="I102" s="67"/>
      <c r="J102" s="68"/>
      <c r="K102" s="68"/>
      <c r="S102" s="32"/>
      <c r="T102" s="32"/>
      <c r="U102" s="61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23"/>
      <c r="AG102" s="23"/>
      <c r="AH102" s="27"/>
    </row>
    <row r="103" spans="1:34" x14ac:dyDescent="0.25">
      <c r="A103" s="69"/>
      <c r="B103" s="67"/>
      <c r="C103" s="67"/>
      <c r="D103" s="68"/>
      <c r="E103" s="68"/>
      <c r="F103" s="68"/>
      <c r="G103" s="67"/>
      <c r="H103" s="67"/>
      <c r="I103" s="67"/>
      <c r="J103" s="68"/>
      <c r="K103" s="68"/>
      <c r="S103" s="32"/>
      <c r="T103" s="32"/>
      <c r="U103" s="61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23"/>
      <c r="AG103" s="23"/>
      <c r="AH103" s="27"/>
    </row>
    <row r="104" spans="1:34" x14ac:dyDescent="0.25">
      <c r="A104" s="69"/>
      <c r="B104" s="67"/>
      <c r="C104" s="67"/>
      <c r="D104" s="68"/>
      <c r="E104" s="68"/>
      <c r="F104" s="68"/>
      <c r="G104" s="67"/>
      <c r="H104" s="67"/>
      <c r="I104" s="67"/>
      <c r="J104" s="68"/>
      <c r="K104" s="68"/>
      <c r="S104" s="32"/>
      <c r="T104" s="32"/>
      <c r="U104" s="61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23"/>
      <c r="AG104" s="23"/>
      <c r="AH104" s="27"/>
    </row>
    <row r="105" spans="1:34" x14ac:dyDescent="0.25">
      <c r="A105" s="69"/>
      <c r="B105" s="67"/>
      <c r="C105" s="67"/>
      <c r="D105" s="68"/>
      <c r="E105" s="68"/>
      <c r="F105" s="68"/>
      <c r="G105" s="67"/>
      <c r="H105" s="67"/>
      <c r="I105" s="67"/>
      <c r="J105" s="68"/>
      <c r="K105" s="68"/>
      <c r="S105" s="32"/>
      <c r="T105" s="32"/>
      <c r="U105" s="61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23"/>
      <c r="AG105" s="23"/>
      <c r="AH105" s="27"/>
    </row>
    <row r="106" spans="1:34" x14ac:dyDescent="0.25">
      <c r="A106" s="69"/>
      <c r="B106" s="67"/>
      <c r="C106" s="67"/>
      <c r="D106" s="68"/>
      <c r="E106" s="68"/>
      <c r="F106" s="68"/>
      <c r="G106" s="67"/>
      <c r="H106" s="67"/>
      <c r="I106" s="67"/>
      <c r="J106" s="68"/>
      <c r="K106" s="68"/>
      <c r="S106" s="32"/>
      <c r="T106" s="32"/>
      <c r="U106" s="61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23"/>
      <c r="AG106" s="23"/>
      <c r="AH106" s="27"/>
    </row>
    <row r="107" spans="1:34" x14ac:dyDescent="0.25">
      <c r="A107" s="69"/>
      <c r="B107" s="67"/>
      <c r="C107" s="67"/>
      <c r="D107" s="68"/>
      <c r="E107" s="68"/>
      <c r="F107" s="68"/>
      <c r="G107" s="67"/>
      <c r="H107" s="67"/>
      <c r="I107" s="67"/>
      <c r="J107" s="68"/>
      <c r="K107" s="68"/>
      <c r="S107" s="32"/>
      <c r="T107" s="32"/>
      <c r="U107" s="61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23"/>
      <c r="AG107" s="23"/>
      <c r="AH107" s="27"/>
    </row>
    <row r="108" spans="1:34" x14ac:dyDescent="0.25">
      <c r="A108" s="69"/>
      <c r="B108" s="67"/>
      <c r="C108" s="67"/>
      <c r="D108" s="68"/>
      <c r="E108" s="68"/>
      <c r="F108" s="68"/>
      <c r="G108" s="67"/>
      <c r="H108" s="67"/>
      <c r="I108" s="67"/>
      <c r="J108" s="68"/>
      <c r="K108" s="68"/>
      <c r="S108" s="32"/>
      <c r="T108" s="32"/>
      <c r="U108" s="61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23"/>
      <c r="AG108" s="23"/>
      <c r="AH108" s="27"/>
    </row>
    <row r="109" spans="1:34" x14ac:dyDescent="0.25">
      <c r="A109" s="69"/>
      <c r="B109" s="67"/>
      <c r="C109" s="67"/>
      <c r="D109" s="68"/>
      <c r="E109" s="68"/>
      <c r="F109" s="68"/>
      <c r="G109" s="67"/>
      <c r="H109" s="67"/>
      <c r="I109" s="67"/>
      <c r="J109" s="68"/>
      <c r="K109" s="68"/>
      <c r="S109" s="32"/>
      <c r="T109" s="32"/>
      <c r="U109" s="61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23"/>
      <c r="AG109" s="23"/>
      <c r="AH109" s="27"/>
    </row>
    <row r="110" spans="1:34" x14ac:dyDescent="0.25">
      <c r="A110" s="69"/>
      <c r="B110" s="67"/>
      <c r="C110" s="67"/>
      <c r="D110" s="68"/>
      <c r="E110" s="68"/>
      <c r="F110" s="68"/>
      <c r="G110" s="67"/>
      <c r="H110" s="67"/>
      <c r="I110" s="67"/>
      <c r="J110" s="68"/>
      <c r="K110" s="68"/>
      <c r="S110" s="32"/>
      <c r="T110" s="32"/>
      <c r="U110" s="61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23"/>
      <c r="AG110" s="23"/>
      <c r="AH110" s="27"/>
    </row>
    <row r="111" spans="1:34" x14ac:dyDescent="0.25">
      <c r="A111" s="69"/>
      <c r="B111" s="67"/>
      <c r="C111" s="67"/>
      <c r="D111" s="68"/>
      <c r="E111" s="68"/>
      <c r="F111" s="68"/>
      <c r="G111" s="67"/>
      <c r="H111" s="67"/>
      <c r="I111" s="67"/>
      <c r="J111" s="68"/>
      <c r="K111" s="68"/>
      <c r="S111" s="32"/>
      <c r="T111" s="32"/>
      <c r="U111" s="61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23"/>
      <c r="AG111" s="23"/>
      <c r="AH111" s="27"/>
    </row>
    <row r="112" spans="1:34" x14ac:dyDescent="0.25">
      <c r="A112" s="69"/>
      <c r="B112" s="67"/>
      <c r="C112" s="67"/>
      <c r="D112" s="68"/>
      <c r="E112" s="68"/>
      <c r="F112" s="68"/>
      <c r="G112" s="67"/>
      <c r="H112" s="67"/>
      <c r="I112" s="67"/>
      <c r="J112" s="68"/>
      <c r="K112" s="68"/>
      <c r="S112" s="32"/>
      <c r="T112" s="32"/>
      <c r="U112" s="61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23"/>
      <c r="AG112" s="23"/>
      <c r="AH112" s="27"/>
    </row>
    <row r="113" spans="1:34" x14ac:dyDescent="0.25">
      <c r="A113" s="69"/>
      <c r="B113" s="67"/>
      <c r="C113" s="67"/>
      <c r="D113" s="68"/>
      <c r="E113" s="68"/>
      <c r="F113" s="68"/>
      <c r="G113" s="67"/>
      <c r="H113" s="67"/>
      <c r="I113" s="67"/>
      <c r="J113" s="68"/>
      <c r="K113" s="68"/>
      <c r="S113" s="32"/>
      <c r="T113" s="32"/>
      <c r="U113" s="61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23"/>
      <c r="AG113" s="23"/>
      <c r="AH113" s="27"/>
    </row>
    <row r="114" spans="1:34" x14ac:dyDescent="0.25">
      <c r="A114" s="69"/>
      <c r="B114" s="67"/>
      <c r="C114" s="67"/>
      <c r="D114" s="68"/>
      <c r="E114" s="68"/>
      <c r="F114" s="68"/>
      <c r="G114" s="67"/>
      <c r="H114" s="67"/>
      <c r="I114" s="67"/>
      <c r="J114" s="68"/>
      <c r="K114" s="68"/>
      <c r="S114" s="32"/>
      <c r="T114" s="32"/>
      <c r="U114" s="61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23"/>
      <c r="AG114" s="23"/>
      <c r="AH114" s="27"/>
    </row>
    <row r="115" spans="1:34" x14ac:dyDescent="0.25">
      <c r="A115" s="69"/>
      <c r="B115" s="67"/>
      <c r="C115" s="67"/>
      <c r="D115" s="68"/>
      <c r="E115" s="68"/>
      <c r="F115" s="68"/>
      <c r="G115" s="67"/>
      <c r="H115" s="67"/>
      <c r="I115" s="67"/>
      <c r="J115" s="68"/>
      <c r="K115" s="68"/>
      <c r="S115" s="32"/>
      <c r="T115" s="32"/>
      <c r="U115" s="61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23"/>
      <c r="AG115" s="23"/>
      <c r="AH115" s="27"/>
    </row>
    <row r="116" spans="1:34" x14ac:dyDescent="0.25">
      <c r="A116" s="69"/>
      <c r="B116" s="67"/>
      <c r="C116" s="67"/>
      <c r="D116" s="68"/>
      <c r="E116" s="68"/>
      <c r="F116" s="68"/>
      <c r="G116" s="67"/>
      <c r="H116" s="67"/>
      <c r="I116" s="67"/>
      <c r="J116" s="68"/>
      <c r="K116" s="68"/>
      <c r="S116" s="32"/>
      <c r="T116" s="32"/>
      <c r="U116" s="61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23"/>
      <c r="AG116" s="23"/>
      <c r="AH116" s="27"/>
    </row>
    <row r="117" spans="1:34" x14ac:dyDescent="0.25">
      <c r="A117" s="69"/>
      <c r="B117" s="67"/>
      <c r="C117" s="67"/>
      <c r="D117" s="68"/>
      <c r="E117" s="68"/>
      <c r="F117" s="68"/>
      <c r="G117" s="67"/>
      <c r="H117" s="67"/>
      <c r="I117" s="67"/>
      <c r="J117" s="68"/>
      <c r="K117" s="68"/>
      <c r="S117" s="32"/>
      <c r="T117" s="32"/>
      <c r="U117" s="61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23"/>
      <c r="AG117" s="23"/>
      <c r="AH117" s="27"/>
    </row>
    <row r="118" spans="1:34" x14ac:dyDescent="0.25">
      <c r="A118" s="69"/>
      <c r="B118" s="67"/>
      <c r="C118" s="67"/>
      <c r="D118" s="68"/>
      <c r="E118" s="68"/>
      <c r="F118" s="68"/>
      <c r="G118" s="67"/>
      <c r="H118" s="67"/>
      <c r="I118" s="67"/>
      <c r="J118" s="68"/>
      <c r="K118" s="68"/>
      <c r="S118" s="32"/>
      <c r="T118" s="32"/>
      <c r="U118" s="61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23"/>
      <c r="AG118" s="23"/>
      <c r="AH118" s="27"/>
    </row>
    <row r="119" spans="1:34" x14ac:dyDescent="0.25">
      <c r="A119" s="69"/>
      <c r="B119" s="67"/>
      <c r="C119" s="67"/>
      <c r="D119" s="68"/>
      <c r="E119" s="68"/>
      <c r="F119" s="68"/>
      <c r="G119" s="67"/>
      <c r="H119" s="67"/>
      <c r="I119" s="67"/>
      <c r="J119" s="68"/>
      <c r="K119" s="68"/>
      <c r="S119" s="32"/>
      <c r="T119" s="32"/>
      <c r="U119" s="61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23"/>
      <c r="AG119" s="23"/>
      <c r="AH119" s="27"/>
    </row>
    <row r="120" spans="1:34" x14ac:dyDescent="0.25">
      <c r="A120" s="69"/>
      <c r="B120" s="67"/>
      <c r="C120" s="67"/>
      <c r="D120" s="70"/>
      <c r="E120" s="70"/>
      <c r="F120" s="70"/>
      <c r="G120" s="67"/>
      <c r="H120" s="67"/>
      <c r="I120" s="67"/>
      <c r="J120" s="68"/>
      <c r="K120" s="68"/>
      <c r="S120" s="32"/>
      <c r="T120" s="32"/>
      <c r="U120" s="61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23"/>
      <c r="AG120" s="23"/>
      <c r="AH120" s="27"/>
    </row>
    <row r="121" spans="1:34" x14ac:dyDescent="0.25">
      <c r="A121" s="69"/>
      <c r="B121" s="67"/>
      <c r="C121" s="67"/>
      <c r="D121" s="70"/>
      <c r="E121" s="70"/>
      <c r="F121" s="70"/>
      <c r="G121" s="67"/>
      <c r="H121" s="67"/>
      <c r="I121" s="67"/>
      <c r="J121" s="68"/>
      <c r="K121" s="68"/>
      <c r="S121" s="32"/>
      <c r="T121" s="32"/>
      <c r="U121" s="61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23"/>
      <c r="AG121" s="23"/>
      <c r="AH121" s="27"/>
    </row>
    <row r="122" spans="1:34" x14ac:dyDescent="0.25">
      <c r="A122" s="69"/>
      <c r="B122" s="67"/>
      <c r="C122" s="67"/>
      <c r="D122" s="70"/>
      <c r="E122" s="70"/>
      <c r="F122" s="70"/>
      <c r="G122" s="67"/>
      <c r="H122" s="67"/>
      <c r="I122" s="67"/>
      <c r="J122" s="68"/>
      <c r="K122" s="68"/>
      <c r="S122" s="32"/>
      <c r="T122" s="32"/>
      <c r="U122" s="61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23"/>
      <c r="AG122" s="23"/>
      <c r="AH122" s="27"/>
    </row>
    <row r="123" spans="1:34" x14ac:dyDescent="0.25">
      <c r="A123" s="69"/>
      <c r="B123" s="67"/>
      <c r="C123" s="67"/>
      <c r="D123" s="68"/>
      <c r="E123" s="68"/>
      <c r="F123" s="68"/>
      <c r="G123" s="67"/>
      <c r="H123" s="67"/>
      <c r="I123" s="67"/>
      <c r="J123" s="68"/>
      <c r="K123" s="68"/>
      <c r="S123" s="32"/>
      <c r="T123" s="32"/>
      <c r="U123" s="61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23"/>
      <c r="AG123" s="23"/>
      <c r="AH123" s="27"/>
    </row>
    <row r="124" spans="1:34" x14ac:dyDescent="0.25">
      <c r="A124" s="69"/>
      <c r="B124" s="67"/>
      <c r="C124" s="67"/>
      <c r="D124" s="68"/>
      <c r="E124" s="68"/>
      <c r="F124" s="68"/>
      <c r="G124" s="67"/>
      <c r="H124" s="67"/>
      <c r="I124" s="67"/>
      <c r="J124" s="68"/>
      <c r="K124" s="68"/>
      <c r="S124" s="32"/>
      <c r="T124" s="32"/>
      <c r="U124" s="61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23"/>
      <c r="AG124" s="23"/>
      <c r="AH124" s="27"/>
    </row>
    <row r="125" spans="1:34" x14ac:dyDescent="0.25">
      <c r="A125" s="69"/>
      <c r="B125" s="67"/>
      <c r="C125" s="67"/>
      <c r="D125" s="68"/>
      <c r="E125" s="68"/>
      <c r="F125" s="68"/>
      <c r="G125" s="67"/>
      <c r="H125" s="67"/>
      <c r="I125" s="67"/>
      <c r="J125" s="68"/>
      <c r="K125" s="68"/>
      <c r="S125" s="32"/>
      <c r="T125" s="32"/>
      <c r="U125" s="61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23"/>
      <c r="AG125" s="23"/>
      <c r="AH125" s="27"/>
    </row>
    <row r="126" spans="1:34" x14ac:dyDescent="0.25">
      <c r="A126" s="69"/>
      <c r="B126" s="67"/>
      <c r="C126" s="67"/>
      <c r="D126" s="68"/>
      <c r="E126" s="68"/>
      <c r="F126" s="68"/>
      <c r="G126" s="67"/>
      <c r="H126" s="67"/>
      <c r="I126" s="67"/>
      <c r="J126" s="68"/>
      <c r="K126" s="68"/>
      <c r="S126" s="32"/>
      <c r="T126" s="32"/>
      <c r="U126" s="61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23"/>
      <c r="AG126" s="23"/>
      <c r="AH126" s="27"/>
    </row>
    <row r="127" spans="1:34" x14ac:dyDescent="0.25">
      <c r="A127" s="69"/>
      <c r="B127" s="67"/>
      <c r="C127" s="67"/>
      <c r="D127" s="68"/>
      <c r="E127" s="68"/>
      <c r="F127" s="68"/>
      <c r="G127" s="67"/>
      <c r="H127" s="67"/>
      <c r="I127" s="67"/>
      <c r="J127" s="68"/>
      <c r="K127" s="68"/>
      <c r="S127" s="32"/>
      <c r="T127" s="32"/>
      <c r="U127" s="61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23"/>
      <c r="AG127" s="23"/>
      <c r="AH127" s="27"/>
    </row>
    <row r="128" spans="1:34" x14ac:dyDescent="0.25">
      <c r="A128" s="69"/>
      <c r="B128" s="67"/>
      <c r="C128" s="67"/>
      <c r="D128" s="68"/>
      <c r="E128" s="68"/>
      <c r="F128" s="68"/>
      <c r="G128" s="67"/>
      <c r="H128" s="67"/>
      <c r="I128" s="67"/>
      <c r="J128" s="68"/>
      <c r="K128" s="68"/>
      <c r="S128" s="32"/>
      <c r="T128" s="32"/>
      <c r="U128" s="61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23"/>
      <c r="AG128" s="23"/>
      <c r="AH128" s="27"/>
    </row>
    <row r="129" spans="1:34" x14ac:dyDescent="0.25">
      <c r="A129" s="69"/>
      <c r="B129" s="67"/>
      <c r="C129" s="67"/>
      <c r="D129" s="68"/>
      <c r="E129" s="68"/>
      <c r="F129" s="68"/>
      <c r="G129" s="67"/>
      <c r="H129" s="67"/>
      <c r="I129" s="67"/>
      <c r="J129" s="68"/>
      <c r="K129" s="68"/>
      <c r="S129" s="32"/>
      <c r="T129" s="32"/>
      <c r="U129" s="61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23"/>
      <c r="AG129" s="23"/>
      <c r="AH129" s="27"/>
    </row>
    <row r="130" spans="1:34" x14ac:dyDescent="0.25">
      <c r="A130" s="69"/>
      <c r="B130" s="67"/>
      <c r="C130" s="67"/>
      <c r="D130" s="68"/>
      <c r="E130" s="68"/>
      <c r="F130" s="68"/>
      <c r="G130" s="67"/>
      <c r="H130" s="67"/>
      <c r="I130" s="67"/>
      <c r="J130" s="68"/>
      <c r="K130" s="68"/>
      <c r="S130" s="32"/>
      <c r="T130" s="32"/>
      <c r="U130" s="61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23"/>
      <c r="AG130" s="23"/>
      <c r="AH130" s="27"/>
    </row>
    <row r="131" spans="1:34" x14ac:dyDescent="0.25">
      <c r="A131" s="69"/>
      <c r="B131" s="67"/>
      <c r="C131" s="67"/>
      <c r="D131" s="68"/>
      <c r="E131" s="68"/>
      <c r="F131" s="68"/>
      <c r="G131" s="67"/>
      <c r="H131" s="67"/>
      <c r="I131" s="67"/>
      <c r="J131" s="68"/>
      <c r="K131" s="68"/>
      <c r="S131" s="32"/>
      <c r="T131" s="32"/>
      <c r="U131" s="61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23"/>
      <c r="AG131" s="23"/>
      <c r="AH131" s="27"/>
    </row>
    <row r="132" spans="1:34" x14ac:dyDescent="0.25">
      <c r="A132" s="69"/>
      <c r="B132" s="67"/>
      <c r="C132" s="67"/>
      <c r="D132" s="68"/>
      <c r="E132" s="68"/>
      <c r="F132" s="68"/>
      <c r="G132" s="67"/>
      <c r="H132" s="67"/>
      <c r="I132" s="67"/>
      <c r="J132" s="68"/>
      <c r="K132" s="68"/>
      <c r="S132" s="32"/>
      <c r="T132" s="32"/>
      <c r="U132" s="61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23"/>
      <c r="AG132" s="23"/>
      <c r="AH132" s="27"/>
    </row>
    <row r="133" spans="1:34" x14ac:dyDescent="0.25">
      <c r="A133" s="69"/>
      <c r="B133" s="67"/>
      <c r="C133" s="67"/>
      <c r="D133" s="68"/>
      <c r="E133" s="68"/>
      <c r="F133" s="68"/>
      <c r="G133" s="67"/>
      <c r="H133" s="67"/>
      <c r="I133" s="67"/>
      <c r="J133" s="68"/>
      <c r="K133" s="68"/>
      <c r="S133" s="32"/>
      <c r="T133" s="32"/>
      <c r="U133" s="61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23"/>
      <c r="AG133" s="23"/>
      <c r="AH133" s="27"/>
    </row>
    <row r="134" spans="1:34" x14ac:dyDescent="0.25">
      <c r="A134" s="69"/>
      <c r="B134" s="67"/>
      <c r="C134" s="67"/>
      <c r="D134" s="68"/>
      <c r="E134" s="68"/>
      <c r="F134" s="68"/>
      <c r="G134" s="67"/>
      <c r="H134" s="67"/>
      <c r="I134" s="67"/>
      <c r="J134" s="68"/>
      <c r="K134" s="68"/>
      <c r="S134" s="32"/>
      <c r="T134" s="32"/>
      <c r="U134" s="61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23"/>
      <c r="AG134" s="23"/>
      <c r="AH134" s="27"/>
    </row>
    <row r="135" spans="1:34" x14ac:dyDescent="0.25">
      <c r="A135" s="69"/>
      <c r="B135" s="67"/>
      <c r="C135" s="67"/>
      <c r="D135" s="68"/>
      <c r="E135" s="68"/>
      <c r="F135" s="68"/>
      <c r="G135" s="67"/>
      <c r="H135" s="67"/>
      <c r="I135" s="67"/>
      <c r="J135" s="68"/>
      <c r="K135" s="68"/>
      <c r="S135" s="32"/>
      <c r="T135" s="32"/>
      <c r="U135" s="61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23"/>
      <c r="AG135" s="23"/>
      <c r="AH135" s="27"/>
    </row>
    <row r="136" spans="1:34" x14ac:dyDescent="0.25">
      <c r="A136" s="69"/>
      <c r="B136" s="67"/>
      <c r="C136" s="67"/>
      <c r="D136" s="68"/>
      <c r="E136" s="68"/>
      <c r="F136" s="68"/>
      <c r="G136" s="67"/>
      <c r="H136" s="67"/>
      <c r="I136" s="67"/>
      <c r="J136" s="68"/>
      <c r="K136" s="68"/>
      <c r="S136" s="32"/>
      <c r="T136" s="32"/>
      <c r="U136" s="61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23"/>
      <c r="AG136" s="23"/>
      <c r="AH136" s="27"/>
    </row>
    <row r="137" spans="1:34" x14ac:dyDescent="0.25">
      <c r="A137" s="69"/>
      <c r="B137" s="67"/>
      <c r="C137" s="67"/>
      <c r="D137" s="68"/>
      <c r="E137" s="68"/>
      <c r="F137" s="68"/>
      <c r="G137" s="67"/>
      <c r="H137" s="67"/>
      <c r="I137" s="67"/>
      <c r="J137" s="68"/>
      <c r="K137" s="68"/>
      <c r="S137" s="32"/>
      <c r="T137" s="32"/>
      <c r="U137" s="61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23"/>
      <c r="AG137" s="23"/>
      <c r="AH137" s="27"/>
    </row>
    <row r="138" spans="1:34" x14ac:dyDescent="0.25">
      <c r="A138" s="69"/>
      <c r="B138" s="67"/>
      <c r="C138" s="67"/>
      <c r="D138" s="68"/>
      <c r="E138" s="68"/>
      <c r="F138" s="68"/>
      <c r="G138" s="67"/>
      <c r="H138" s="67"/>
      <c r="I138" s="67"/>
      <c r="J138" s="68"/>
      <c r="K138" s="68"/>
      <c r="S138" s="32"/>
      <c r="T138" s="32"/>
      <c r="U138" s="61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23"/>
      <c r="AG138" s="23"/>
      <c r="AH138" s="27"/>
    </row>
    <row r="139" spans="1:34" x14ac:dyDescent="0.25">
      <c r="A139" s="69"/>
      <c r="B139" s="67"/>
      <c r="C139" s="67"/>
      <c r="D139" s="68"/>
      <c r="E139" s="68"/>
      <c r="F139" s="68"/>
      <c r="G139" s="67"/>
      <c r="H139" s="67"/>
      <c r="I139" s="67"/>
      <c r="J139" s="68"/>
      <c r="K139" s="68"/>
      <c r="S139" s="32"/>
      <c r="T139" s="32"/>
      <c r="U139" s="61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23"/>
      <c r="AG139" s="23"/>
      <c r="AH139" s="27"/>
    </row>
    <row r="140" spans="1:34" x14ac:dyDescent="0.25">
      <c r="A140" s="69"/>
      <c r="B140" s="67"/>
      <c r="C140" s="67"/>
      <c r="D140" s="68"/>
      <c r="E140" s="68"/>
      <c r="F140" s="68"/>
      <c r="G140" s="67"/>
      <c r="H140" s="67"/>
      <c r="I140" s="67"/>
      <c r="J140" s="68"/>
      <c r="K140" s="68"/>
      <c r="S140" s="32"/>
      <c r="T140" s="32"/>
      <c r="U140" s="61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23"/>
      <c r="AG140" s="23"/>
      <c r="AH140" s="27"/>
    </row>
    <row r="141" spans="1:34" x14ac:dyDescent="0.25">
      <c r="A141" s="69"/>
      <c r="B141" s="67"/>
      <c r="C141" s="67"/>
      <c r="D141" s="68"/>
      <c r="E141" s="68"/>
      <c r="F141" s="68"/>
      <c r="G141" s="67"/>
      <c r="H141" s="67"/>
      <c r="I141" s="67"/>
      <c r="J141" s="68"/>
      <c r="K141" s="68"/>
      <c r="S141" s="32"/>
      <c r="T141" s="32"/>
      <c r="U141" s="61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23"/>
      <c r="AG141" s="23"/>
      <c r="AH141" s="27"/>
    </row>
    <row r="142" spans="1:34" x14ac:dyDescent="0.25">
      <c r="A142" s="69"/>
      <c r="B142" s="67"/>
      <c r="C142" s="67"/>
      <c r="D142" s="68"/>
      <c r="E142" s="68"/>
      <c r="F142" s="68"/>
      <c r="G142" s="67"/>
      <c r="H142" s="67"/>
      <c r="I142" s="67"/>
      <c r="J142" s="68"/>
      <c r="K142" s="68"/>
      <c r="S142" s="32"/>
      <c r="T142" s="32"/>
      <c r="U142" s="61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23"/>
      <c r="AG142" s="23"/>
      <c r="AH142" s="27"/>
    </row>
    <row r="143" spans="1:34" x14ac:dyDescent="0.25">
      <c r="A143" s="69"/>
      <c r="B143" s="67"/>
      <c r="C143" s="67"/>
      <c r="D143" s="68"/>
      <c r="E143" s="68"/>
      <c r="F143" s="68"/>
      <c r="G143" s="67"/>
      <c r="H143" s="67"/>
      <c r="I143" s="67"/>
      <c r="J143" s="68"/>
      <c r="K143" s="68"/>
      <c r="S143" s="32"/>
      <c r="T143" s="32"/>
      <c r="U143" s="61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23"/>
      <c r="AG143" s="23"/>
      <c r="AH143" s="27"/>
    </row>
    <row r="144" spans="1:34" x14ac:dyDescent="0.25">
      <c r="A144" s="69"/>
      <c r="B144" s="67"/>
      <c r="C144" s="67"/>
      <c r="D144" s="70"/>
      <c r="E144" s="70"/>
      <c r="F144" s="70"/>
      <c r="G144" s="67"/>
      <c r="H144" s="67"/>
      <c r="I144" s="67"/>
      <c r="J144" s="68"/>
      <c r="K144" s="68"/>
      <c r="S144" s="32"/>
      <c r="T144" s="32"/>
      <c r="U144" s="61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23"/>
      <c r="AG144" s="23"/>
      <c r="AH144" s="27"/>
    </row>
    <row r="145" spans="1:34" x14ac:dyDescent="0.25">
      <c r="A145" s="69"/>
      <c r="B145" s="67"/>
      <c r="C145" s="67"/>
      <c r="D145" s="70"/>
      <c r="E145" s="70"/>
      <c r="F145" s="70"/>
      <c r="G145" s="67"/>
      <c r="H145" s="67"/>
      <c r="I145" s="67"/>
      <c r="J145" s="68"/>
      <c r="K145" s="68"/>
      <c r="S145" s="32"/>
      <c r="T145" s="32"/>
      <c r="U145" s="61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23"/>
      <c r="AG145" s="23"/>
      <c r="AH145" s="27"/>
    </row>
    <row r="146" spans="1:34" x14ac:dyDescent="0.25">
      <c r="A146" s="69"/>
      <c r="B146" s="67"/>
      <c r="C146" s="67"/>
      <c r="D146" s="70"/>
      <c r="E146" s="70"/>
      <c r="F146" s="70"/>
      <c r="G146" s="67"/>
      <c r="H146" s="67"/>
      <c r="I146" s="67"/>
      <c r="J146" s="68"/>
      <c r="K146" s="68"/>
      <c r="S146" s="32"/>
      <c r="T146" s="32"/>
      <c r="U146" s="61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23"/>
      <c r="AG146" s="23"/>
      <c r="AH146" s="27"/>
    </row>
    <row r="147" spans="1:34" x14ac:dyDescent="0.25">
      <c r="A147" s="69"/>
      <c r="B147" s="67"/>
      <c r="C147" s="67"/>
      <c r="D147" s="68"/>
      <c r="E147" s="68"/>
      <c r="F147" s="68"/>
      <c r="G147" s="67"/>
      <c r="H147" s="67"/>
      <c r="I147" s="67"/>
      <c r="J147" s="68"/>
      <c r="K147" s="68"/>
      <c r="S147" s="32"/>
      <c r="T147" s="32"/>
      <c r="U147" s="61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23"/>
      <c r="AG147" s="23"/>
      <c r="AH147" s="27"/>
    </row>
    <row r="148" spans="1:34" x14ac:dyDescent="0.25">
      <c r="A148" s="69"/>
      <c r="B148" s="67"/>
      <c r="C148" s="67"/>
      <c r="D148" s="68"/>
      <c r="E148" s="68"/>
      <c r="F148" s="68"/>
      <c r="G148" s="67"/>
      <c r="H148" s="67"/>
      <c r="I148" s="67"/>
      <c r="J148" s="68"/>
      <c r="K148" s="68"/>
      <c r="S148" s="32"/>
      <c r="T148" s="32"/>
      <c r="U148" s="61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23"/>
      <c r="AG148" s="23"/>
      <c r="AH148" s="27"/>
    </row>
    <row r="149" spans="1:34" x14ac:dyDescent="0.25">
      <c r="A149" s="69"/>
      <c r="B149" s="67"/>
      <c r="C149" s="67"/>
      <c r="D149" s="68"/>
      <c r="E149" s="68"/>
      <c r="F149" s="68"/>
      <c r="G149" s="67"/>
      <c r="H149" s="67"/>
      <c r="I149" s="67"/>
      <c r="J149" s="68"/>
      <c r="K149" s="68"/>
      <c r="S149" s="32"/>
      <c r="T149" s="32"/>
      <c r="U149" s="61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23"/>
      <c r="AG149" s="23"/>
      <c r="AH149" s="27"/>
    </row>
    <row r="150" spans="1:34" x14ac:dyDescent="0.25">
      <c r="A150" s="69"/>
      <c r="B150" s="67"/>
      <c r="C150" s="67"/>
      <c r="D150" s="68"/>
      <c r="E150" s="68"/>
      <c r="F150" s="68"/>
      <c r="G150" s="67"/>
      <c r="H150" s="67"/>
      <c r="I150" s="67"/>
      <c r="J150" s="68"/>
      <c r="K150" s="68"/>
      <c r="S150" s="32"/>
      <c r="T150" s="32"/>
      <c r="U150" s="61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23"/>
      <c r="AG150" s="23"/>
      <c r="AH150" s="27"/>
    </row>
    <row r="151" spans="1:34" x14ac:dyDescent="0.25">
      <c r="A151" s="69"/>
      <c r="B151" s="67"/>
      <c r="C151" s="67"/>
      <c r="D151" s="68"/>
      <c r="E151" s="68"/>
      <c r="F151" s="68"/>
      <c r="G151" s="67"/>
      <c r="H151" s="67"/>
      <c r="I151" s="67"/>
      <c r="J151" s="68"/>
      <c r="K151" s="68"/>
      <c r="S151" s="32"/>
      <c r="T151" s="32"/>
      <c r="U151" s="61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23"/>
      <c r="AG151" s="23"/>
      <c r="AH151" s="27"/>
    </row>
    <row r="152" spans="1:34" x14ac:dyDescent="0.25">
      <c r="A152" s="69"/>
      <c r="B152" s="67"/>
      <c r="C152" s="67"/>
      <c r="D152" s="68"/>
      <c r="E152" s="68"/>
      <c r="F152" s="68"/>
      <c r="G152" s="67"/>
      <c r="H152" s="67"/>
      <c r="I152" s="67"/>
      <c r="J152" s="68"/>
      <c r="K152" s="68"/>
      <c r="S152" s="32"/>
      <c r="T152" s="32"/>
      <c r="U152" s="61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23"/>
      <c r="AG152" s="23"/>
      <c r="AH152" s="27"/>
    </row>
    <row r="153" spans="1:34" x14ac:dyDescent="0.25">
      <c r="A153" s="69"/>
      <c r="B153" s="67"/>
      <c r="C153" s="67"/>
      <c r="D153" s="68"/>
      <c r="E153" s="68"/>
      <c r="F153" s="68"/>
      <c r="G153" s="67"/>
      <c r="H153" s="67"/>
      <c r="I153" s="67"/>
      <c r="J153" s="68"/>
      <c r="K153" s="68"/>
      <c r="S153" s="32"/>
      <c r="T153" s="32"/>
      <c r="U153" s="61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23"/>
      <c r="AG153" s="23"/>
      <c r="AH153" s="27"/>
    </row>
    <row r="154" spans="1:34" x14ac:dyDescent="0.25">
      <c r="A154" s="69"/>
      <c r="B154" s="67"/>
      <c r="C154" s="67"/>
      <c r="D154" s="68"/>
      <c r="E154" s="68"/>
      <c r="F154" s="68"/>
      <c r="G154" s="67"/>
      <c r="H154" s="67"/>
      <c r="I154" s="67"/>
      <c r="J154" s="68"/>
      <c r="K154" s="68"/>
      <c r="S154" s="32"/>
      <c r="T154" s="32"/>
      <c r="U154" s="61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23"/>
      <c r="AG154" s="23"/>
      <c r="AH154" s="27"/>
    </row>
    <row r="155" spans="1:34" x14ac:dyDescent="0.25">
      <c r="A155" s="69"/>
      <c r="B155" s="67"/>
      <c r="C155" s="67"/>
      <c r="D155" s="68"/>
      <c r="E155" s="68"/>
      <c r="F155" s="68"/>
      <c r="G155" s="67"/>
      <c r="H155" s="67"/>
      <c r="I155" s="67"/>
      <c r="J155" s="68"/>
      <c r="K155" s="68"/>
      <c r="S155" s="32"/>
      <c r="T155" s="32"/>
      <c r="U155" s="61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23"/>
      <c r="AG155" s="23"/>
      <c r="AH155" s="27"/>
    </row>
    <row r="156" spans="1:34" x14ac:dyDescent="0.25">
      <c r="A156" s="69"/>
      <c r="B156" s="67"/>
      <c r="C156" s="67"/>
      <c r="D156" s="68"/>
      <c r="E156" s="68"/>
      <c r="F156" s="68"/>
      <c r="G156" s="67"/>
      <c r="H156" s="67"/>
      <c r="I156" s="67"/>
      <c r="J156" s="68"/>
      <c r="K156" s="68"/>
      <c r="S156" s="32"/>
      <c r="T156" s="32"/>
      <c r="U156" s="61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23"/>
      <c r="AG156" s="23"/>
      <c r="AH156" s="27"/>
    </row>
    <row r="157" spans="1:34" x14ac:dyDescent="0.25">
      <c r="A157" s="69"/>
      <c r="B157" s="67"/>
      <c r="C157" s="67"/>
      <c r="D157" s="68"/>
      <c r="E157" s="68"/>
      <c r="F157" s="68"/>
      <c r="G157" s="67"/>
      <c r="H157" s="67"/>
      <c r="I157" s="67"/>
      <c r="J157" s="68"/>
      <c r="K157" s="68"/>
      <c r="S157" s="32"/>
      <c r="T157" s="32"/>
      <c r="U157" s="61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23"/>
      <c r="AG157" s="23"/>
      <c r="AH157" s="27"/>
    </row>
    <row r="158" spans="1:34" x14ac:dyDescent="0.25">
      <c r="A158" s="69"/>
      <c r="B158" s="67"/>
      <c r="C158" s="67"/>
      <c r="D158" s="68"/>
      <c r="E158" s="68"/>
      <c r="F158" s="68"/>
      <c r="G158" s="67"/>
      <c r="H158" s="67"/>
      <c r="I158" s="67"/>
      <c r="J158" s="68"/>
      <c r="K158" s="68"/>
      <c r="S158" s="32"/>
      <c r="T158" s="32"/>
      <c r="U158" s="61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23"/>
      <c r="AG158" s="23"/>
      <c r="AH158" s="27"/>
    </row>
    <row r="159" spans="1:34" x14ac:dyDescent="0.25">
      <c r="A159" s="69"/>
      <c r="B159" s="67"/>
      <c r="C159" s="67"/>
      <c r="D159" s="68"/>
      <c r="E159" s="68"/>
      <c r="F159" s="68"/>
      <c r="G159" s="67"/>
      <c r="H159" s="67"/>
      <c r="I159" s="67"/>
      <c r="J159" s="68"/>
      <c r="K159" s="68"/>
      <c r="S159" s="32"/>
      <c r="T159" s="32"/>
      <c r="U159" s="61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23"/>
      <c r="AG159" s="23"/>
      <c r="AH159" s="27"/>
    </row>
    <row r="160" spans="1:34" x14ac:dyDescent="0.25">
      <c r="A160" s="69"/>
      <c r="B160" s="67"/>
      <c r="C160" s="67"/>
      <c r="D160" s="68"/>
      <c r="E160" s="68"/>
      <c r="F160" s="68"/>
      <c r="G160" s="67"/>
      <c r="H160" s="67"/>
      <c r="I160" s="67"/>
      <c r="J160" s="68"/>
      <c r="K160" s="68"/>
      <c r="S160" s="32"/>
      <c r="T160" s="32"/>
      <c r="U160" s="61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23"/>
      <c r="AG160" s="23"/>
      <c r="AH160" s="27"/>
    </row>
    <row r="161" spans="1:34" x14ac:dyDescent="0.25">
      <c r="A161" s="69"/>
      <c r="B161" s="67"/>
      <c r="C161" s="67"/>
      <c r="D161" s="68"/>
      <c r="E161" s="68"/>
      <c r="F161" s="68"/>
      <c r="G161" s="67"/>
      <c r="H161" s="67"/>
      <c r="I161" s="67"/>
      <c r="J161" s="68"/>
      <c r="K161" s="68"/>
      <c r="S161" s="32"/>
      <c r="T161" s="32"/>
      <c r="U161" s="61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23"/>
      <c r="AG161" s="23"/>
      <c r="AH161" s="27"/>
    </row>
    <row r="162" spans="1:34" x14ac:dyDescent="0.25">
      <c r="A162" s="69"/>
      <c r="B162" s="67"/>
      <c r="C162" s="67"/>
      <c r="D162" s="68"/>
      <c r="E162" s="68"/>
      <c r="F162" s="68"/>
      <c r="G162" s="67"/>
      <c r="H162" s="67"/>
      <c r="I162" s="67"/>
      <c r="J162" s="68"/>
      <c r="K162" s="68"/>
      <c r="S162" s="32"/>
      <c r="T162" s="32"/>
      <c r="U162" s="61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23"/>
      <c r="AG162" s="23"/>
      <c r="AH162" s="27"/>
    </row>
    <row r="163" spans="1:34" x14ac:dyDescent="0.25">
      <c r="A163" s="69"/>
      <c r="B163" s="67"/>
      <c r="C163" s="67"/>
      <c r="D163" s="68"/>
      <c r="E163" s="68"/>
      <c r="F163" s="68"/>
      <c r="G163" s="67"/>
      <c r="H163" s="67"/>
      <c r="I163" s="67"/>
      <c r="J163" s="68"/>
      <c r="K163" s="68"/>
      <c r="S163" s="32"/>
      <c r="T163" s="32"/>
      <c r="U163" s="61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23"/>
      <c r="AG163" s="23"/>
      <c r="AH163" s="27"/>
    </row>
    <row r="164" spans="1:34" x14ac:dyDescent="0.25">
      <c r="A164" s="69"/>
      <c r="B164" s="67"/>
      <c r="C164" s="67"/>
      <c r="D164" s="68"/>
      <c r="E164" s="68"/>
      <c r="F164" s="68"/>
      <c r="G164" s="67"/>
      <c r="H164" s="67"/>
      <c r="I164" s="67"/>
      <c r="J164" s="68"/>
      <c r="K164" s="68"/>
      <c r="S164" s="32"/>
      <c r="T164" s="32"/>
      <c r="U164" s="61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23"/>
      <c r="AG164" s="23"/>
      <c r="AH164" s="27"/>
    </row>
    <row r="165" spans="1:34" x14ac:dyDescent="0.25">
      <c r="A165" s="69"/>
      <c r="B165" s="67"/>
      <c r="C165" s="67"/>
      <c r="D165" s="68"/>
      <c r="E165" s="68"/>
      <c r="F165" s="68"/>
      <c r="G165" s="67"/>
      <c r="H165" s="67"/>
      <c r="I165" s="67"/>
      <c r="J165" s="68"/>
      <c r="K165" s="68"/>
      <c r="S165" s="32"/>
      <c r="T165" s="32"/>
      <c r="U165" s="61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23"/>
      <c r="AG165" s="23"/>
      <c r="AH165" s="27"/>
    </row>
    <row r="166" spans="1:34" x14ac:dyDescent="0.25">
      <c r="A166" s="69"/>
      <c r="B166" s="67"/>
      <c r="C166" s="67"/>
      <c r="D166" s="68"/>
      <c r="E166" s="68"/>
      <c r="F166" s="68"/>
      <c r="G166" s="67"/>
      <c r="H166" s="67"/>
      <c r="I166" s="67"/>
      <c r="J166" s="68"/>
      <c r="K166" s="68"/>
      <c r="S166" s="32"/>
      <c r="T166" s="32"/>
      <c r="U166" s="61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23"/>
      <c r="AG166" s="23"/>
      <c r="AH166" s="27"/>
    </row>
    <row r="167" spans="1:34" x14ac:dyDescent="0.25">
      <c r="A167" s="69"/>
      <c r="B167" s="67"/>
      <c r="C167" s="67"/>
      <c r="D167" s="68"/>
      <c r="E167" s="68"/>
      <c r="F167" s="68"/>
      <c r="G167" s="67"/>
      <c r="H167" s="67"/>
      <c r="I167" s="67"/>
      <c r="J167" s="68"/>
      <c r="K167" s="68"/>
      <c r="S167" s="32"/>
      <c r="T167" s="32"/>
      <c r="U167" s="61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23"/>
      <c r="AG167" s="23"/>
      <c r="AH167" s="27"/>
    </row>
    <row r="168" spans="1:34" x14ac:dyDescent="0.25">
      <c r="A168" s="69"/>
      <c r="B168" s="67"/>
      <c r="C168" s="67"/>
      <c r="D168" s="70"/>
      <c r="E168" s="70"/>
      <c r="F168" s="70"/>
      <c r="G168" s="67"/>
      <c r="H168" s="67"/>
      <c r="I168" s="67"/>
      <c r="J168" s="68"/>
      <c r="K168" s="68"/>
      <c r="S168" s="32"/>
      <c r="T168" s="32"/>
      <c r="U168" s="61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23"/>
      <c r="AG168" s="23"/>
      <c r="AH168" s="27"/>
    </row>
    <row r="169" spans="1:34" x14ac:dyDescent="0.25">
      <c r="A169" s="69"/>
      <c r="B169" s="67"/>
      <c r="C169" s="67"/>
      <c r="D169" s="70"/>
      <c r="E169" s="70"/>
      <c r="F169" s="70"/>
      <c r="G169" s="67"/>
      <c r="H169" s="67"/>
      <c r="I169" s="67"/>
      <c r="J169" s="68"/>
      <c r="K169" s="68"/>
      <c r="S169" s="32"/>
      <c r="T169" s="32"/>
      <c r="U169" s="61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23"/>
      <c r="AG169" s="23"/>
      <c r="AH169" s="27"/>
    </row>
    <row r="170" spans="1:34" x14ac:dyDescent="0.25">
      <c r="A170" s="69"/>
      <c r="B170" s="67"/>
      <c r="C170" s="67"/>
      <c r="D170" s="70"/>
      <c r="E170" s="70"/>
      <c r="F170" s="70"/>
      <c r="G170" s="67"/>
      <c r="H170" s="67"/>
      <c r="I170" s="67"/>
      <c r="J170" s="68"/>
      <c r="K170" s="68"/>
      <c r="S170" s="32"/>
      <c r="T170" s="32"/>
      <c r="U170" s="61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23"/>
      <c r="AG170" s="23"/>
      <c r="AH170" s="27"/>
    </row>
    <row r="171" spans="1:34" x14ac:dyDescent="0.25">
      <c r="A171" s="69"/>
      <c r="B171" s="67"/>
      <c r="C171" s="67"/>
      <c r="D171" s="68"/>
      <c r="E171" s="68"/>
      <c r="F171" s="68"/>
      <c r="G171" s="67"/>
      <c r="H171" s="67"/>
      <c r="I171" s="67"/>
      <c r="J171" s="68"/>
      <c r="K171" s="68"/>
      <c r="S171" s="32"/>
      <c r="T171" s="32"/>
      <c r="U171" s="61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23"/>
      <c r="AG171" s="23"/>
      <c r="AH171" s="27"/>
    </row>
    <row r="172" spans="1:34" x14ac:dyDescent="0.25">
      <c r="A172" s="69"/>
      <c r="B172" s="67"/>
      <c r="C172" s="67"/>
      <c r="D172" s="68"/>
      <c r="E172" s="68"/>
      <c r="F172" s="68"/>
      <c r="G172" s="67"/>
      <c r="H172" s="67"/>
      <c r="I172" s="67"/>
      <c r="J172" s="68"/>
      <c r="K172" s="68"/>
      <c r="S172" s="32"/>
      <c r="T172" s="32"/>
      <c r="U172" s="61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23"/>
      <c r="AG172" s="23"/>
      <c r="AH172" s="27"/>
    </row>
    <row r="173" spans="1:34" x14ac:dyDescent="0.25">
      <c r="A173" s="69"/>
      <c r="B173" s="67"/>
      <c r="C173" s="67"/>
      <c r="D173" s="68"/>
      <c r="E173" s="68"/>
      <c r="F173" s="68"/>
      <c r="G173" s="67"/>
      <c r="H173" s="67"/>
      <c r="I173" s="67"/>
      <c r="J173" s="68"/>
      <c r="K173" s="68"/>
      <c r="S173" s="32"/>
      <c r="T173" s="32"/>
      <c r="U173" s="61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23"/>
      <c r="AG173" s="23"/>
      <c r="AH173" s="27"/>
    </row>
    <row r="174" spans="1:34" x14ac:dyDescent="0.25">
      <c r="A174" s="69"/>
      <c r="B174" s="67"/>
      <c r="C174" s="67"/>
      <c r="D174" s="68"/>
      <c r="E174" s="68"/>
      <c r="F174" s="68"/>
      <c r="G174" s="67"/>
      <c r="H174" s="67"/>
      <c r="I174" s="67"/>
      <c r="J174" s="68"/>
      <c r="K174" s="68"/>
      <c r="S174" s="32"/>
      <c r="T174" s="32"/>
      <c r="U174" s="61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23"/>
      <c r="AG174" s="23"/>
      <c r="AH174" s="27"/>
    </row>
    <row r="175" spans="1:34" x14ac:dyDescent="0.25">
      <c r="A175" s="69"/>
      <c r="B175" s="67"/>
      <c r="C175" s="67"/>
      <c r="D175" s="68"/>
      <c r="E175" s="68"/>
      <c r="F175" s="68"/>
      <c r="G175" s="67"/>
      <c r="H175" s="67"/>
      <c r="I175" s="67"/>
      <c r="J175" s="68"/>
      <c r="K175" s="68"/>
      <c r="S175" s="32"/>
      <c r="T175" s="32"/>
      <c r="U175" s="61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23"/>
      <c r="AG175" s="23"/>
      <c r="AH175" s="27"/>
    </row>
    <row r="176" spans="1:34" x14ac:dyDescent="0.25">
      <c r="A176" s="69"/>
      <c r="B176" s="67"/>
      <c r="C176" s="67"/>
      <c r="D176" s="68"/>
      <c r="E176" s="68"/>
      <c r="F176" s="68"/>
      <c r="G176" s="67"/>
      <c r="H176" s="67"/>
      <c r="I176" s="67"/>
      <c r="J176" s="68"/>
      <c r="K176" s="68"/>
      <c r="S176" s="32"/>
      <c r="T176" s="32"/>
      <c r="U176" s="61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23"/>
      <c r="AG176" s="23"/>
      <c r="AH176" s="27"/>
    </row>
    <row r="177" spans="1:34" x14ac:dyDescent="0.25">
      <c r="A177" s="69"/>
      <c r="B177" s="67"/>
      <c r="C177" s="67"/>
      <c r="D177" s="68"/>
      <c r="E177" s="68"/>
      <c r="F177" s="68"/>
      <c r="G177" s="67"/>
      <c r="H177" s="67"/>
      <c r="I177" s="67"/>
      <c r="J177" s="68"/>
      <c r="K177" s="68"/>
      <c r="S177" s="32"/>
      <c r="T177" s="32"/>
      <c r="U177" s="61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23"/>
      <c r="AG177" s="23"/>
      <c r="AH177" s="27"/>
    </row>
    <row r="178" spans="1:34" x14ac:dyDescent="0.25">
      <c r="A178" s="69"/>
      <c r="B178" s="67"/>
      <c r="C178" s="67"/>
      <c r="D178" s="68"/>
      <c r="E178" s="68"/>
      <c r="F178" s="68"/>
      <c r="G178" s="67"/>
      <c r="H178" s="67"/>
      <c r="I178" s="67"/>
      <c r="J178" s="68"/>
      <c r="K178" s="68"/>
      <c r="S178" s="32"/>
      <c r="T178" s="32"/>
      <c r="U178" s="61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23"/>
      <c r="AG178" s="23"/>
      <c r="AH178" s="27"/>
    </row>
    <row r="179" spans="1:34" x14ac:dyDescent="0.25">
      <c r="A179" s="69"/>
      <c r="B179" s="67"/>
      <c r="C179" s="67"/>
      <c r="D179" s="68"/>
      <c r="E179" s="68"/>
      <c r="F179" s="68"/>
      <c r="G179" s="67"/>
      <c r="H179" s="67"/>
      <c r="I179" s="67"/>
      <c r="J179" s="68"/>
      <c r="K179" s="68"/>
      <c r="S179" s="32"/>
      <c r="T179" s="32"/>
      <c r="U179" s="61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23"/>
      <c r="AG179" s="23"/>
      <c r="AH179" s="27"/>
    </row>
    <row r="180" spans="1:34" x14ac:dyDescent="0.25">
      <c r="A180" s="69"/>
      <c r="B180" s="67"/>
      <c r="C180" s="67"/>
      <c r="D180" s="68"/>
      <c r="E180" s="68"/>
      <c r="F180" s="68"/>
      <c r="G180" s="67"/>
      <c r="H180" s="67"/>
      <c r="I180" s="67"/>
      <c r="J180" s="68"/>
      <c r="K180" s="68"/>
      <c r="S180" s="32"/>
      <c r="T180" s="32"/>
      <c r="U180" s="61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23"/>
      <c r="AG180" s="23"/>
      <c r="AH180" s="27"/>
    </row>
    <row r="181" spans="1:34" x14ac:dyDescent="0.25">
      <c r="A181" s="69"/>
      <c r="B181" s="67"/>
      <c r="C181" s="67"/>
      <c r="D181" s="68"/>
      <c r="E181" s="68"/>
      <c r="F181" s="68"/>
      <c r="G181" s="67"/>
      <c r="H181" s="67"/>
      <c r="I181" s="67"/>
      <c r="J181" s="68"/>
      <c r="K181" s="68"/>
      <c r="S181" s="32"/>
      <c r="T181" s="32"/>
      <c r="U181" s="61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23"/>
      <c r="AG181" s="23"/>
      <c r="AH181" s="27"/>
    </row>
    <row r="182" spans="1:34" x14ac:dyDescent="0.25">
      <c r="A182" s="69"/>
      <c r="B182" s="67"/>
      <c r="C182" s="67"/>
      <c r="D182" s="68"/>
      <c r="E182" s="68"/>
      <c r="F182" s="68"/>
      <c r="G182" s="67"/>
      <c r="H182" s="67"/>
      <c r="I182" s="67"/>
      <c r="J182" s="68"/>
      <c r="K182" s="68"/>
      <c r="S182" s="32"/>
      <c r="T182" s="32"/>
      <c r="U182" s="61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23"/>
      <c r="AG182" s="23"/>
      <c r="AH182" s="27"/>
    </row>
    <row r="183" spans="1:34" x14ac:dyDescent="0.25">
      <c r="A183" s="69"/>
      <c r="B183" s="67"/>
      <c r="C183" s="67"/>
      <c r="D183" s="68"/>
      <c r="E183" s="68"/>
      <c r="F183" s="68"/>
      <c r="G183" s="67"/>
      <c r="H183" s="67"/>
      <c r="I183" s="67"/>
      <c r="J183" s="68"/>
      <c r="K183" s="68"/>
      <c r="S183" s="32"/>
      <c r="T183" s="32"/>
      <c r="U183" s="61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23"/>
      <c r="AG183" s="23"/>
      <c r="AH183" s="27"/>
    </row>
    <row r="184" spans="1:34" x14ac:dyDescent="0.25">
      <c r="A184" s="69"/>
      <c r="B184" s="67"/>
      <c r="C184" s="67"/>
      <c r="D184" s="68"/>
      <c r="E184" s="68"/>
      <c r="F184" s="68"/>
      <c r="G184" s="67"/>
      <c r="H184" s="67"/>
      <c r="I184" s="67"/>
      <c r="J184" s="68"/>
      <c r="K184" s="68"/>
      <c r="S184" s="32"/>
      <c r="T184" s="32"/>
      <c r="U184" s="61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23"/>
      <c r="AG184" s="23"/>
      <c r="AH184" s="27"/>
    </row>
    <row r="185" spans="1:34" x14ac:dyDescent="0.25">
      <c r="A185" s="69"/>
      <c r="B185" s="67"/>
      <c r="C185" s="67"/>
      <c r="D185" s="68"/>
      <c r="E185" s="68"/>
      <c r="F185" s="68"/>
      <c r="G185" s="67"/>
      <c r="H185" s="67"/>
      <c r="I185" s="67"/>
      <c r="J185" s="68"/>
      <c r="K185" s="68"/>
      <c r="S185" s="32"/>
      <c r="T185" s="32"/>
      <c r="U185" s="61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23"/>
      <c r="AG185" s="23"/>
      <c r="AH185" s="27"/>
    </row>
    <row r="186" spans="1:34" x14ac:dyDescent="0.25">
      <c r="A186" s="69"/>
      <c r="B186" s="67"/>
      <c r="C186" s="67"/>
      <c r="D186" s="68"/>
      <c r="E186" s="68"/>
      <c r="F186" s="68"/>
      <c r="G186" s="67"/>
      <c r="H186" s="67"/>
      <c r="I186" s="67"/>
      <c r="J186" s="68"/>
      <c r="K186" s="68"/>
      <c r="S186" s="32"/>
      <c r="T186" s="32"/>
      <c r="U186" s="61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23"/>
      <c r="AG186" s="23"/>
      <c r="AH186" s="27"/>
    </row>
    <row r="187" spans="1:34" x14ac:dyDescent="0.25">
      <c r="A187" s="69"/>
      <c r="B187" s="67"/>
      <c r="C187" s="67"/>
      <c r="D187" s="68"/>
      <c r="E187" s="68"/>
      <c r="F187" s="68"/>
      <c r="G187" s="67"/>
      <c r="H187" s="67"/>
      <c r="I187" s="67"/>
      <c r="J187" s="68"/>
      <c r="K187" s="68"/>
      <c r="S187" s="32"/>
      <c r="T187" s="32"/>
      <c r="U187" s="61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23"/>
      <c r="AG187" s="23"/>
      <c r="AH187" s="27"/>
    </row>
    <row r="188" spans="1:34" x14ac:dyDescent="0.25">
      <c r="A188" s="69"/>
      <c r="B188" s="67"/>
      <c r="C188" s="67"/>
      <c r="D188" s="68"/>
      <c r="E188" s="68"/>
      <c r="F188" s="68"/>
      <c r="G188" s="67"/>
      <c r="H188" s="67"/>
      <c r="I188" s="67"/>
      <c r="J188" s="68"/>
      <c r="K188" s="68"/>
      <c r="S188" s="32"/>
      <c r="T188" s="32"/>
      <c r="U188" s="61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23"/>
      <c r="AG188" s="23"/>
      <c r="AH188" s="27"/>
    </row>
    <row r="189" spans="1:34" x14ac:dyDescent="0.25">
      <c r="A189" s="69"/>
      <c r="B189" s="67"/>
      <c r="C189" s="67"/>
      <c r="D189" s="68"/>
      <c r="E189" s="68"/>
      <c r="F189" s="68"/>
      <c r="G189" s="67"/>
      <c r="H189" s="67"/>
      <c r="I189" s="67"/>
      <c r="J189" s="68"/>
      <c r="K189" s="68"/>
      <c r="S189" s="32"/>
      <c r="T189" s="32"/>
      <c r="U189" s="61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23"/>
      <c r="AG189" s="23"/>
      <c r="AH189" s="27"/>
    </row>
    <row r="190" spans="1:34" x14ac:dyDescent="0.25">
      <c r="A190" s="69"/>
      <c r="B190" s="67"/>
      <c r="C190" s="67"/>
      <c r="D190" s="68"/>
      <c r="E190" s="68"/>
      <c r="F190" s="68"/>
      <c r="G190" s="67"/>
      <c r="H190" s="67"/>
      <c r="I190" s="67"/>
      <c r="J190" s="68"/>
      <c r="K190" s="68"/>
      <c r="S190" s="32"/>
      <c r="T190" s="32"/>
      <c r="U190" s="61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23"/>
      <c r="AG190" s="23"/>
      <c r="AH190" s="27"/>
    </row>
    <row r="191" spans="1:34" x14ac:dyDescent="0.25">
      <c r="A191" s="69"/>
      <c r="B191" s="67"/>
      <c r="C191" s="67"/>
      <c r="D191" s="68"/>
      <c r="E191" s="68"/>
      <c r="F191" s="68"/>
      <c r="G191" s="67"/>
      <c r="H191" s="67"/>
      <c r="I191" s="67"/>
      <c r="J191" s="68"/>
      <c r="K191" s="68"/>
      <c r="S191" s="32"/>
      <c r="T191" s="32"/>
      <c r="U191" s="61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23"/>
      <c r="AG191" s="23"/>
      <c r="AH191" s="27"/>
    </row>
    <row r="192" spans="1:34" x14ac:dyDescent="0.25">
      <c r="A192" s="69"/>
      <c r="B192" s="67"/>
      <c r="C192" s="67"/>
      <c r="D192" s="70"/>
      <c r="E192" s="70"/>
      <c r="F192" s="70"/>
      <c r="G192" s="67"/>
      <c r="H192" s="67"/>
      <c r="I192" s="67"/>
      <c r="J192" s="68"/>
      <c r="K192" s="68"/>
      <c r="S192" s="32"/>
      <c r="T192" s="32"/>
      <c r="U192" s="61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23"/>
      <c r="AG192" s="23"/>
      <c r="AH192" s="27"/>
    </row>
    <row r="193" spans="1:34" x14ac:dyDescent="0.25">
      <c r="A193" s="69"/>
      <c r="B193" s="67"/>
      <c r="C193" s="67"/>
      <c r="D193" s="70"/>
      <c r="E193" s="70"/>
      <c r="F193" s="70"/>
      <c r="G193" s="67"/>
      <c r="H193" s="67"/>
      <c r="I193" s="67"/>
      <c r="J193" s="68"/>
      <c r="K193" s="68"/>
      <c r="S193" s="32"/>
      <c r="T193" s="32"/>
      <c r="U193" s="61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23"/>
      <c r="AG193" s="23"/>
      <c r="AH193" s="27"/>
    </row>
    <row r="194" spans="1:34" x14ac:dyDescent="0.25">
      <c r="A194" s="69"/>
      <c r="B194" s="67"/>
      <c r="C194" s="67"/>
      <c r="D194" s="70"/>
      <c r="E194" s="70"/>
      <c r="F194" s="70"/>
      <c r="G194" s="67"/>
      <c r="H194" s="67"/>
      <c r="I194" s="67"/>
      <c r="J194" s="68"/>
      <c r="K194" s="68"/>
      <c r="S194" s="32"/>
      <c r="T194" s="32"/>
      <c r="U194" s="61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23"/>
      <c r="AG194" s="23"/>
      <c r="AH194" s="27"/>
    </row>
    <row r="195" spans="1:34" x14ac:dyDescent="0.25">
      <c r="A195" s="69"/>
      <c r="B195" s="67"/>
      <c r="C195" s="67"/>
      <c r="D195" s="68"/>
      <c r="E195" s="68"/>
      <c r="F195" s="68"/>
      <c r="G195" s="67"/>
      <c r="H195" s="67"/>
      <c r="I195" s="67"/>
      <c r="J195" s="68"/>
      <c r="K195" s="68"/>
      <c r="S195" s="32"/>
      <c r="T195" s="32"/>
      <c r="U195" s="61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23"/>
      <c r="AG195" s="23"/>
      <c r="AH195" s="27"/>
    </row>
    <row r="196" spans="1:34" x14ac:dyDescent="0.25">
      <c r="A196" s="69"/>
      <c r="B196" s="67"/>
      <c r="C196" s="67"/>
      <c r="D196" s="68"/>
      <c r="E196" s="68"/>
      <c r="F196" s="68"/>
      <c r="G196" s="67"/>
      <c r="H196" s="67"/>
      <c r="I196" s="67"/>
      <c r="J196" s="68"/>
      <c r="K196" s="68"/>
      <c r="S196" s="32"/>
      <c r="T196" s="32"/>
      <c r="U196" s="61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23"/>
      <c r="AG196" s="23"/>
      <c r="AH196" s="27"/>
    </row>
    <row r="197" spans="1:34" x14ac:dyDescent="0.25">
      <c r="A197" s="69"/>
      <c r="B197" s="67"/>
      <c r="C197" s="67"/>
      <c r="D197" s="68"/>
      <c r="E197" s="68"/>
      <c r="F197" s="68"/>
      <c r="G197" s="67"/>
      <c r="H197" s="67"/>
      <c r="I197" s="67"/>
      <c r="J197" s="68"/>
      <c r="K197" s="68"/>
      <c r="S197" s="32"/>
      <c r="T197" s="32"/>
      <c r="U197" s="61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23"/>
      <c r="AG197" s="23"/>
      <c r="AH197" s="27"/>
    </row>
    <row r="198" spans="1:34" x14ac:dyDescent="0.25">
      <c r="A198" s="69"/>
      <c r="B198" s="67"/>
      <c r="C198" s="67"/>
      <c r="D198" s="68"/>
      <c r="E198" s="68"/>
      <c r="F198" s="68"/>
      <c r="G198" s="67"/>
      <c r="H198" s="67"/>
      <c r="I198" s="67"/>
      <c r="J198" s="68"/>
      <c r="K198" s="68"/>
      <c r="S198" s="32"/>
      <c r="T198" s="32"/>
      <c r="U198" s="61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23"/>
      <c r="AG198" s="23"/>
      <c r="AH198" s="27"/>
    </row>
    <row r="199" spans="1:34" x14ac:dyDescent="0.25">
      <c r="A199" s="69"/>
      <c r="B199" s="67"/>
      <c r="C199" s="67"/>
      <c r="D199" s="68"/>
      <c r="E199" s="68"/>
      <c r="F199" s="68"/>
      <c r="G199" s="67"/>
      <c r="H199" s="67"/>
      <c r="I199" s="67"/>
      <c r="J199" s="68"/>
      <c r="K199" s="68"/>
      <c r="S199" s="32"/>
      <c r="T199" s="32"/>
      <c r="U199" s="61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23"/>
      <c r="AG199" s="23"/>
      <c r="AH199" s="27"/>
    </row>
    <row r="200" spans="1:34" x14ac:dyDescent="0.25">
      <c r="A200" s="69"/>
      <c r="B200" s="67"/>
      <c r="C200" s="67"/>
      <c r="D200" s="68"/>
      <c r="E200" s="68"/>
      <c r="F200" s="68"/>
      <c r="G200" s="67"/>
      <c r="H200" s="67"/>
      <c r="I200" s="67"/>
      <c r="J200" s="68"/>
      <c r="K200" s="68"/>
      <c r="S200" s="32"/>
      <c r="T200" s="32"/>
      <c r="U200" s="61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23"/>
      <c r="AG200" s="23"/>
      <c r="AH200" s="27"/>
    </row>
    <row r="201" spans="1:34" x14ac:dyDescent="0.25">
      <c r="A201" s="69"/>
      <c r="B201" s="67"/>
      <c r="C201" s="67"/>
      <c r="D201" s="68"/>
      <c r="E201" s="68"/>
      <c r="F201" s="68"/>
      <c r="G201" s="67"/>
      <c r="H201" s="67"/>
      <c r="I201" s="67"/>
      <c r="J201" s="68"/>
      <c r="K201" s="68"/>
      <c r="S201" s="32"/>
      <c r="T201" s="32"/>
      <c r="U201" s="61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23"/>
      <c r="AG201" s="23"/>
      <c r="AH201" s="27"/>
    </row>
    <row r="202" spans="1:34" x14ac:dyDescent="0.25">
      <c r="A202" s="69"/>
      <c r="B202" s="67"/>
      <c r="C202" s="67"/>
      <c r="D202" s="68"/>
      <c r="E202" s="68"/>
      <c r="F202" s="68"/>
      <c r="G202" s="67"/>
      <c r="H202" s="67"/>
      <c r="I202" s="67"/>
      <c r="J202" s="68"/>
      <c r="K202" s="68"/>
      <c r="S202" s="32"/>
      <c r="T202" s="32"/>
      <c r="U202" s="61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23"/>
      <c r="AG202" s="23"/>
      <c r="AH202" s="27"/>
    </row>
    <row r="203" spans="1:34" x14ac:dyDescent="0.25">
      <c r="A203" s="69"/>
      <c r="B203" s="67"/>
      <c r="C203" s="67"/>
      <c r="D203" s="68"/>
      <c r="E203" s="68"/>
      <c r="F203" s="68"/>
      <c r="G203" s="67"/>
      <c r="H203" s="67"/>
      <c r="I203" s="67"/>
      <c r="J203" s="68"/>
      <c r="K203" s="68"/>
      <c r="S203" s="32"/>
      <c r="T203" s="32"/>
      <c r="U203" s="61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23"/>
      <c r="AG203" s="23"/>
      <c r="AH203" s="27"/>
    </row>
    <row r="204" spans="1:34" x14ac:dyDescent="0.25">
      <c r="A204" s="69"/>
      <c r="B204" s="67"/>
      <c r="C204" s="67"/>
      <c r="D204" s="68"/>
      <c r="E204" s="68"/>
      <c r="F204" s="68"/>
      <c r="G204" s="67"/>
      <c r="H204" s="67"/>
      <c r="I204" s="67"/>
      <c r="J204" s="68"/>
      <c r="K204" s="68"/>
      <c r="S204" s="32"/>
      <c r="T204" s="32"/>
      <c r="U204" s="61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23"/>
      <c r="AG204" s="23"/>
      <c r="AH204" s="27"/>
    </row>
    <row r="205" spans="1:34" x14ac:dyDescent="0.25">
      <c r="A205" s="69"/>
      <c r="B205" s="67"/>
      <c r="C205" s="67"/>
      <c r="D205" s="68"/>
      <c r="E205" s="68"/>
      <c r="F205" s="68"/>
      <c r="G205" s="67"/>
      <c r="H205" s="67"/>
      <c r="I205" s="67"/>
      <c r="J205" s="68"/>
      <c r="K205" s="68"/>
      <c r="S205" s="32"/>
      <c r="T205" s="32"/>
      <c r="U205" s="61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23"/>
      <c r="AG205" s="23"/>
      <c r="AH205" s="27"/>
    </row>
    <row r="206" spans="1:34" x14ac:dyDescent="0.25">
      <c r="A206" s="69"/>
      <c r="B206" s="67"/>
      <c r="C206" s="67"/>
      <c r="D206" s="68"/>
      <c r="E206" s="68"/>
      <c r="F206" s="68"/>
      <c r="G206" s="67"/>
      <c r="H206" s="67"/>
      <c r="I206" s="67"/>
      <c r="J206" s="68"/>
      <c r="K206" s="68"/>
      <c r="S206" s="32"/>
      <c r="T206" s="32"/>
      <c r="U206" s="61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23"/>
      <c r="AG206" s="23"/>
      <c r="AH206" s="27"/>
    </row>
    <row r="207" spans="1:34" x14ac:dyDescent="0.25">
      <c r="A207" s="69"/>
      <c r="B207" s="67"/>
      <c r="C207" s="67"/>
      <c r="D207" s="68"/>
      <c r="E207" s="68"/>
      <c r="F207" s="68"/>
      <c r="G207" s="67"/>
      <c r="H207" s="67"/>
      <c r="I207" s="67"/>
      <c r="J207" s="68"/>
      <c r="K207" s="68"/>
      <c r="S207" s="32"/>
      <c r="T207" s="32"/>
      <c r="U207" s="61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23"/>
      <c r="AG207" s="23"/>
      <c r="AH207" s="27"/>
    </row>
    <row r="208" spans="1:34" x14ac:dyDescent="0.25">
      <c r="A208" s="69"/>
      <c r="B208" s="67"/>
      <c r="C208" s="67"/>
      <c r="D208" s="68"/>
      <c r="E208" s="68"/>
      <c r="F208" s="68"/>
      <c r="G208" s="67"/>
      <c r="H208" s="67"/>
      <c r="I208" s="67"/>
      <c r="J208" s="68"/>
      <c r="K208" s="68"/>
      <c r="S208" s="32"/>
      <c r="T208" s="32"/>
      <c r="U208" s="61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23"/>
      <c r="AG208" s="23"/>
      <c r="AH208" s="27"/>
    </row>
    <row r="209" spans="1:34" x14ac:dyDescent="0.25">
      <c r="A209" s="69"/>
      <c r="B209" s="67"/>
      <c r="C209" s="67"/>
      <c r="D209" s="68"/>
      <c r="E209" s="68"/>
      <c r="F209" s="68"/>
      <c r="G209" s="67"/>
      <c r="H209" s="67"/>
      <c r="I209" s="67"/>
      <c r="J209" s="68"/>
      <c r="K209" s="68"/>
      <c r="S209" s="32"/>
      <c r="T209" s="32"/>
      <c r="U209" s="61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23"/>
      <c r="AG209" s="23"/>
      <c r="AH209" s="27"/>
    </row>
    <row r="210" spans="1:34" x14ac:dyDescent="0.25">
      <c r="A210" s="69"/>
      <c r="B210" s="67"/>
      <c r="C210" s="67"/>
      <c r="D210" s="68"/>
      <c r="E210" s="68"/>
      <c r="F210" s="68"/>
      <c r="G210" s="67"/>
      <c r="H210" s="67"/>
      <c r="I210" s="67"/>
      <c r="J210" s="68"/>
      <c r="K210" s="68"/>
      <c r="S210" s="32"/>
      <c r="T210" s="32"/>
      <c r="U210" s="61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23"/>
      <c r="AG210" s="23"/>
      <c r="AH210" s="27"/>
    </row>
    <row r="211" spans="1:34" x14ac:dyDescent="0.25">
      <c r="A211" s="69"/>
      <c r="B211" s="67"/>
      <c r="C211" s="67"/>
      <c r="D211" s="68"/>
      <c r="E211" s="68"/>
      <c r="F211" s="68"/>
      <c r="G211" s="67"/>
      <c r="H211" s="67"/>
      <c r="I211" s="67"/>
      <c r="J211" s="68"/>
      <c r="K211" s="68"/>
      <c r="S211" s="32"/>
      <c r="T211" s="32"/>
      <c r="U211" s="61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23"/>
      <c r="AG211" s="23"/>
      <c r="AH211" s="27"/>
    </row>
    <row r="212" spans="1:34" x14ac:dyDescent="0.25">
      <c r="A212" s="69"/>
      <c r="B212" s="67"/>
      <c r="C212" s="67"/>
      <c r="D212" s="68"/>
      <c r="E212" s="68"/>
      <c r="F212" s="68"/>
      <c r="G212" s="67"/>
      <c r="H212" s="67"/>
      <c r="I212" s="67"/>
      <c r="J212" s="68"/>
      <c r="K212" s="68"/>
      <c r="S212" s="32"/>
      <c r="T212" s="32"/>
      <c r="U212" s="61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23"/>
      <c r="AG212" s="23"/>
      <c r="AH212" s="27"/>
    </row>
    <row r="213" spans="1:34" x14ac:dyDescent="0.25">
      <c r="A213" s="69"/>
      <c r="B213" s="67"/>
      <c r="C213" s="67"/>
      <c r="D213" s="68"/>
      <c r="E213" s="68"/>
      <c r="F213" s="68"/>
      <c r="G213" s="67"/>
      <c r="H213" s="67"/>
      <c r="I213" s="67"/>
      <c r="J213" s="68"/>
      <c r="K213" s="68"/>
      <c r="S213" s="32"/>
      <c r="T213" s="32"/>
      <c r="U213" s="61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23"/>
      <c r="AG213" s="23"/>
      <c r="AH213" s="27"/>
    </row>
    <row r="214" spans="1:34" x14ac:dyDescent="0.25">
      <c r="A214" s="69"/>
      <c r="B214" s="67"/>
      <c r="C214" s="67"/>
      <c r="D214" s="68"/>
      <c r="E214" s="68"/>
      <c r="F214" s="68"/>
      <c r="G214" s="67"/>
      <c r="H214" s="67"/>
      <c r="I214" s="67"/>
      <c r="J214" s="68"/>
      <c r="K214" s="68"/>
      <c r="S214" s="32"/>
      <c r="T214" s="32"/>
      <c r="U214" s="61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23"/>
      <c r="AG214" s="23"/>
      <c r="AH214" s="27"/>
    </row>
    <row r="215" spans="1:34" x14ac:dyDescent="0.25">
      <c r="A215" s="69"/>
      <c r="B215" s="67"/>
      <c r="C215" s="67"/>
      <c r="D215" s="68"/>
      <c r="E215" s="68"/>
      <c r="F215" s="68"/>
      <c r="G215" s="67"/>
      <c r="H215" s="67"/>
      <c r="I215" s="67"/>
      <c r="J215" s="68"/>
      <c r="K215" s="68"/>
      <c r="S215" s="32"/>
      <c r="T215" s="32"/>
      <c r="U215" s="61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23"/>
      <c r="AG215" s="23"/>
      <c r="AH215" s="27"/>
    </row>
    <row r="216" spans="1:34" x14ac:dyDescent="0.25">
      <c r="A216" s="69"/>
      <c r="B216" s="67"/>
      <c r="C216" s="67"/>
      <c r="D216" s="70"/>
      <c r="E216" s="70"/>
      <c r="F216" s="70"/>
      <c r="G216" s="67"/>
      <c r="H216" s="67"/>
      <c r="I216" s="67"/>
      <c r="J216" s="68"/>
      <c r="K216" s="68"/>
      <c r="S216" s="32"/>
      <c r="T216" s="32"/>
      <c r="U216" s="61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23"/>
      <c r="AG216" s="23"/>
      <c r="AH216" s="27"/>
    </row>
    <row r="217" spans="1:34" x14ac:dyDescent="0.25">
      <c r="A217" s="69"/>
      <c r="B217" s="67"/>
      <c r="C217" s="67"/>
      <c r="D217" s="70"/>
      <c r="E217" s="70"/>
      <c r="F217" s="70"/>
      <c r="G217" s="67"/>
      <c r="H217" s="67"/>
      <c r="I217" s="67"/>
      <c r="J217" s="68"/>
      <c r="K217" s="68"/>
      <c r="S217" s="32"/>
      <c r="T217" s="32"/>
      <c r="U217" s="61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23"/>
      <c r="AG217" s="23"/>
      <c r="AH217" s="27"/>
    </row>
    <row r="218" spans="1:34" x14ac:dyDescent="0.25">
      <c r="A218" s="69"/>
      <c r="B218" s="67"/>
      <c r="C218" s="67"/>
      <c r="D218" s="70"/>
      <c r="E218" s="70"/>
      <c r="F218" s="70"/>
      <c r="G218" s="67"/>
      <c r="H218" s="67"/>
      <c r="I218" s="67"/>
      <c r="J218" s="68"/>
      <c r="K218" s="68"/>
      <c r="S218" s="32"/>
      <c r="T218" s="32"/>
      <c r="U218" s="61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23"/>
      <c r="AG218" s="23"/>
      <c r="AH218" s="27"/>
    </row>
    <row r="219" spans="1:34" x14ac:dyDescent="0.25">
      <c r="A219" s="69"/>
      <c r="B219" s="67"/>
      <c r="C219" s="67"/>
      <c r="D219" s="68"/>
      <c r="E219" s="68"/>
      <c r="F219" s="68"/>
      <c r="G219" s="67"/>
      <c r="H219" s="67"/>
      <c r="I219" s="67"/>
      <c r="J219" s="68"/>
      <c r="K219" s="68"/>
      <c r="S219" s="32"/>
      <c r="T219" s="32"/>
      <c r="U219" s="61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23"/>
      <c r="AG219" s="23"/>
      <c r="AH219" s="27"/>
    </row>
    <row r="220" spans="1:34" x14ac:dyDescent="0.25">
      <c r="A220" s="69"/>
      <c r="B220" s="67"/>
      <c r="C220" s="67"/>
      <c r="D220" s="68"/>
      <c r="E220" s="68"/>
      <c r="F220" s="68"/>
      <c r="G220" s="67"/>
      <c r="H220" s="67"/>
      <c r="I220" s="67"/>
      <c r="J220" s="68"/>
      <c r="K220" s="68"/>
      <c r="S220" s="32"/>
      <c r="T220" s="32"/>
      <c r="U220" s="61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23"/>
      <c r="AG220" s="23"/>
      <c r="AH220" s="27"/>
    </row>
    <row r="221" spans="1:34" x14ac:dyDescent="0.25">
      <c r="A221" s="69"/>
      <c r="B221" s="67"/>
      <c r="C221" s="67"/>
      <c r="D221" s="68"/>
      <c r="E221" s="68"/>
      <c r="F221" s="68"/>
      <c r="G221" s="67"/>
      <c r="H221" s="67"/>
      <c r="I221" s="67"/>
      <c r="J221" s="68"/>
      <c r="K221" s="68"/>
      <c r="S221" s="32"/>
      <c r="T221" s="32"/>
      <c r="U221" s="61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23"/>
      <c r="AG221" s="23"/>
      <c r="AH221" s="27"/>
    </row>
    <row r="222" spans="1:34" x14ac:dyDescent="0.25">
      <c r="A222" s="69"/>
      <c r="B222" s="67"/>
      <c r="C222" s="67"/>
      <c r="D222" s="68"/>
      <c r="E222" s="68"/>
      <c r="F222" s="68"/>
      <c r="G222" s="67"/>
      <c r="H222" s="67"/>
      <c r="I222" s="67"/>
      <c r="J222" s="68"/>
      <c r="K222" s="68"/>
      <c r="S222" s="32"/>
      <c r="T222" s="32"/>
      <c r="U222" s="61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23"/>
      <c r="AG222" s="23"/>
      <c r="AH222" s="27"/>
    </row>
    <row r="223" spans="1:34" x14ac:dyDescent="0.25">
      <c r="A223" s="69"/>
      <c r="B223" s="67"/>
      <c r="C223" s="67"/>
      <c r="D223" s="68"/>
      <c r="E223" s="68"/>
      <c r="F223" s="68"/>
      <c r="G223" s="67"/>
      <c r="H223" s="67"/>
      <c r="I223" s="67"/>
      <c r="J223" s="68"/>
      <c r="K223" s="68"/>
      <c r="S223" s="32"/>
      <c r="T223" s="32"/>
      <c r="U223" s="61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23"/>
      <c r="AG223" s="23"/>
      <c r="AH223" s="27"/>
    </row>
    <row r="224" spans="1:34" x14ac:dyDescent="0.25">
      <c r="A224" s="69"/>
      <c r="B224" s="67"/>
      <c r="C224" s="67"/>
      <c r="D224" s="68"/>
      <c r="E224" s="68"/>
      <c r="F224" s="68"/>
      <c r="G224" s="67"/>
      <c r="H224" s="67"/>
      <c r="I224" s="67"/>
      <c r="J224" s="68"/>
      <c r="K224" s="68"/>
      <c r="S224" s="32"/>
      <c r="T224" s="32"/>
      <c r="U224" s="61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23"/>
      <c r="AG224" s="23"/>
      <c r="AH224" s="27"/>
    </row>
    <row r="225" spans="1:34" x14ac:dyDescent="0.25">
      <c r="A225" s="69"/>
      <c r="B225" s="67"/>
      <c r="C225" s="67"/>
      <c r="D225" s="68"/>
      <c r="E225" s="68"/>
      <c r="F225" s="68"/>
      <c r="G225" s="67"/>
      <c r="H225" s="67"/>
      <c r="I225" s="67"/>
      <c r="J225" s="68"/>
      <c r="K225" s="68"/>
      <c r="S225" s="32"/>
      <c r="T225" s="32"/>
      <c r="U225" s="61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23"/>
      <c r="AG225" s="23"/>
      <c r="AH225" s="27"/>
    </row>
    <row r="226" spans="1:34" x14ac:dyDescent="0.25">
      <c r="A226" s="69"/>
      <c r="B226" s="67"/>
      <c r="C226" s="67"/>
      <c r="D226" s="68"/>
      <c r="E226" s="68"/>
      <c r="F226" s="68"/>
      <c r="G226" s="67"/>
      <c r="H226" s="67"/>
      <c r="I226" s="67"/>
      <c r="J226" s="68"/>
      <c r="K226" s="68"/>
      <c r="S226" s="32"/>
      <c r="T226" s="32"/>
      <c r="U226" s="61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23"/>
      <c r="AG226" s="23"/>
      <c r="AH226" s="27"/>
    </row>
    <row r="227" spans="1:34" x14ac:dyDescent="0.25">
      <c r="A227" s="69"/>
      <c r="B227" s="67"/>
      <c r="C227" s="67"/>
      <c r="D227" s="68"/>
      <c r="E227" s="68"/>
      <c r="F227" s="68"/>
      <c r="G227" s="67"/>
      <c r="H227" s="67"/>
      <c r="I227" s="67"/>
      <c r="J227" s="68"/>
      <c r="K227" s="68"/>
      <c r="S227" s="32"/>
      <c r="T227" s="32"/>
      <c r="U227" s="61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23"/>
      <c r="AG227" s="23"/>
      <c r="AH227" s="27"/>
    </row>
    <row r="228" spans="1:34" x14ac:dyDescent="0.25">
      <c r="A228" s="69"/>
      <c r="B228" s="67"/>
      <c r="C228" s="67"/>
      <c r="D228" s="68"/>
      <c r="E228" s="68"/>
      <c r="F228" s="68"/>
      <c r="G228" s="67"/>
      <c r="H228" s="67"/>
      <c r="I228" s="67"/>
      <c r="J228" s="68"/>
      <c r="K228" s="68"/>
      <c r="S228" s="32"/>
      <c r="T228" s="32"/>
      <c r="U228" s="61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23"/>
      <c r="AG228" s="23"/>
      <c r="AH228" s="27"/>
    </row>
    <row r="229" spans="1:34" x14ac:dyDescent="0.25">
      <c r="A229" s="69"/>
      <c r="B229" s="67"/>
      <c r="C229" s="67"/>
      <c r="D229" s="68"/>
      <c r="E229" s="68"/>
      <c r="F229" s="68"/>
      <c r="G229" s="67"/>
      <c r="H229" s="67"/>
      <c r="I229" s="67"/>
      <c r="J229" s="68"/>
      <c r="K229" s="68"/>
      <c r="S229" s="32"/>
      <c r="T229" s="32"/>
      <c r="U229" s="61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23"/>
      <c r="AG229" s="23"/>
      <c r="AH229" s="27"/>
    </row>
    <row r="230" spans="1:34" x14ac:dyDescent="0.25">
      <c r="A230" s="69"/>
      <c r="B230" s="67"/>
      <c r="C230" s="67"/>
      <c r="D230" s="68"/>
      <c r="E230" s="68"/>
      <c r="F230" s="68"/>
      <c r="G230" s="67"/>
      <c r="H230" s="67"/>
      <c r="I230" s="67"/>
      <c r="J230" s="68"/>
      <c r="K230" s="68"/>
      <c r="S230" s="32"/>
      <c r="T230" s="32"/>
      <c r="U230" s="61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23"/>
      <c r="AG230" s="23"/>
      <c r="AH230" s="27"/>
    </row>
    <row r="231" spans="1:34" x14ac:dyDescent="0.25">
      <c r="A231" s="69"/>
      <c r="B231" s="67"/>
      <c r="C231" s="67"/>
      <c r="D231" s="68"/>
      <c r="E231" s="68"/>
      <c r="F231" s="68"/>
      <c r="G231" s="67"/>
      <c r="H231" s="67"/>
      <c r="I231" s="67"/>
      <c r="J231" s="68"/>
      <c r="K231" s="68"/>
      <c r="S231" s="32"/>
      <c r="T231" s="32"/>
      <c r="U231" s="61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23"/>
      <c r="AG231" s="23"/>
      <c r="AH231" s="27"/>
    </row>
    <row r="232" spans="1:34" x14ac:dyDescent="0.25">
      <c r="A232" s="69"/>
      <c r="B232" s="67"/>
      <c r="C232" s="67"/>
      <c r="D232" s="68"/>
      <c r="E232" s="68"/>
      <c r="F232" s="68"/>
      <c r="G232" s="67"/>
      <c r="H232" s="67"/>
      <c r="I232" s="67"/>
      <c r="J232" s="68"/>
      <c r="K232" s="68"/>
      <c r="S232" s="32"/>
      <c r="T232" s="32"/>
      <c r="U232" s="61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23"/>
      <c r="AG232" s="23"/>
      <c r="AH232" s="27"/>
    </row>
    <row r="233" spans="1:34" x14ac:dyDescent="0.25">
      <c r="A233" s="69"/>
      <c r="B233" s="67"/>
      <c r="C233" s="67"/>
      <c r="D233" s="68"/>
      <c r="E233" s="68"/>
      <c r="F233" s="68"/>
      <c r="G233" s="67"/>
      <c r="H233" s="67"/>
      <c r="I233" s="67"/>
      <c r="J233" s="68"/>
      <c r="K233" s="68"/>
      <c r="S233" s="32"/>
      <c r="T233" s="32"/>
      <c r="U233" s="61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23"/>
      <c r="AG233" s="23"/>
      <c r="AH233" s="27"/>
    </row>
    <row r="234" spans="1:34" x14ac:dyDescent="0.25">
      <c r="A234" s="69"/>
      <c r="B234" s="67"/>
      <c r="C234" s="67"/>
      <c r="D234" s="68"/>
      <c r="E234" s="68"/>
      <c r="F234" s="68"/>
      <c r="G234" s="67"/>
      <c r="H234" s="67"/>
      <c r="I234" s="67"/>
      <c r="J234" s="68"/>
      <c r="K234" s="68"/>
      <c r="S234" s="32"/>
      <c r="T234" s="32"/>
      <c r="U234" s="61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23"/>
      <c r="AG234" s="23"/>
      <c r="AH234" s="27"/>
    </row>
    <row r="235" spans="1:34" x14ac:dyDescent="0.25">
      <c r="A235" s="69"/>
      <c r="B235" s="67"/>
      <c r="C235" s="67"/>
      <c r="D235" s="68"/>
      <c r="E235" s="68"/>
      <c r="F235" s="68"/>
      <c r="G235" s="67"/>
      <c r="H235" s="67"/>
      <c r="I235" s="67"/>
      <c r="J235" s="68"/>
      <c r="K235" s="68"/>
      <c r="S235" s="32"/>
      <c r="T235" s="32"/>
      <c r="U235" s="61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23"/>
      <c r="AG235" s="23"/>
      <c r="AH235" s="27"/>
    </row>
    <row r="236" spans="1:34" x14ac:dyDescent="0.25">
      <c r="A236" s="69"/>
      <c r="B236" s="67"/>
      <c r="C236" s="67"/>
      <c r="D236" s="68"/>
      <c r="E236" s="68"/>
      <c r="F236" s="68"/>
      <c r="G236" s="67"/>
      <c r="H236" s="67"/>
      <c r="I236" s="67"/>
      <c r="J236" s="68"/>
      <c r="K236" s="68"/>
      <c r="S236" s="32"/>
      <c r="T236" s="32"/>
      <c r="U236" s="61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23"/>
      <c r="AG236" s="23"/>
      <c r="AH236" s="27"/>
    </row>
    <row r="237" spans="1:34" x14ac:dyDescent="0.25">
      <c r="A237" s="69"/>
      <c r="B237" s="67"/>
      <c r="C237" s="67"/>
      <c r="D237" s="68"/>
      <c r="E237" s="68"/>
      <c r="F237" s="68"/>
      <c r="G237" s="67"/>
      <c r="H237" s="67"/>
      <c r="I237" s="67"/>
      <c r="J237" s="68"/>
      <c r="K237" s="68"/>
      <c r="S237" s="32"/>
      <c r="T237" s="32"/>
      <c r="U237" s="61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23"/>
      <c r="AG237" s="23"/>
      <c r="AH237" s="27"/>
    </row>
    <row r="238" spans="1:34" x14ac:dyDescent="0.25">
      <c r="A238" s="69"/>
      <c r="B238" s="67"/>
      <c r="C238" s="67"/>
      <c r="D238" s="68"/>
      <c r="E238" s="68"/>
      <c r="F238" s="68"/>
      <c r="G238" s="67"/>
      <c r="H238" s="67"/>
      <c r="I238" s="67"/>
      <c r="J238" s="68"/>
      <c r="K238" s="68"/>
      <c r="S238" s="32"/>
      <c r="T238" s="32"/>
      <c r="U238" s="61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23"/>
      <c r="AG238" s="23"/>
      <c r="AH238" s="27"/>
    </row>
    <row r="239" spans="1:34" x14ac:dyDescent="0.25">
      <c r="A239" s="69"/>
      <c r="B239" s="67"/>
      <c r="C239" s="67"/>
      <c r="D239" s="68"/>
      <c r="E239" s="68"/>
      <c r="F239" s="68"/>
      <c r="G239" s="67"/>
      <c r="H239" s="67"/>
      <c r="I239" s="67"/>
      <c r="J239" s="68"/>
      <c r="K239" s="68"/>
      <c r="S239" s="32"/>
      <c r="T239" s="32"/>
      <c r="U239" s="61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23"/>
      <c r="AG239" s="23"/>
      <c r="AH239" s="27"/>
    </row>
    <row r="240" spans="1:34" x14ac:dyDescent="0.25">
      <c r="A240" s="69"/>
      <c r="B240" s="67"/>
      <c r="C240" s="67"/>
      <c r="D240" s="70"/>
      <c r="E240" s="70"/>
      <c r="F240" s="70"/>
      <c r="G240" s="67"/>
      <c r="H240" s="67"/>
      <c r="I240" s="67"/>
      <c r="J240" s="68"/>
      <c r="K240" s="68"/>
      <c r="S240" s="32"/>
      <c r="T240" s="32"/>
      <c r="U240" s="61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23"/>
      <c r="AG240" s="23"/>
      <c r="AH240" s="27"/>
    </row>
    <row r="241" spans="1:34" x14ac:dyDescent="0.25">
      <c r="A241" s="69"/>
      <c r="B241" s="67"/>
      <c r="C241" s="67"/>
      <c r="D241" s="70"/>
      <c r="E241" s="70"/>
      <c r="F241" s="70"/>
      <c r="G241" s="67"/>
      <c r="H241" s="67"/>
      <c r="I241" s="67"/>
      <c r="J241" s="68"/>
      <c r="K241" s="68"/>
      <c r="S241" s="32"/>
      <c r="T241" s="32"/>
      <c r="U241" s="61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23"/>
      <c r="AG241" s="23"/>
      <c r="AH241" s="27"/>
    </row>
    <row r="242" spans="1:34" x14ac:dyDescent="0.25">
      <c r="A242" s="69"/>
      <c r="B242" s="67"/>
      <c r="C242" s="67"/>
      <c r="D242" s="70"/>
      <c r="E242" s="70"/>
      <c r="F242" s="70"/>
      <c r="G242" s="67"/>
      <c r="H242" s="67"/>
      <c r="I242" s="67"/>
      <c r="J242" s="68"/>
      <c r="K242" s="68"/>
      <c r="S242" s="32"/>
      <c r="T242" s="32"/>
      <c r="U242" s="61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23"/>
      <c r="AG242" s="23"/>
      <c r="AH242" s="27"/>
    </row>
    <row r="243" spans="1:34" x14ac:dyDescent="0.25">
      <c r="A243" s="69"/>
      <c r="B243" s="67"/>
      <c r="C243" s="67"/>
      <c r="D243" s="68"/>
      <c r="E243" s="68"/>
      <c r="F243" s="68"/>
      <c r="G243" s="67"/>
      <c r="H243" s="67"/>
      <c r="I243" s="67"/>
      <c r="J243" s="68"/>
      <c r="K243" s="68"/>
      <c r="S243" s="32"/>
      <c r="T243" s="32"/>
      <c r="U243" s="61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23"/>
      <c r="AG243" s="23"/>
      <c r="AH243" s="27"/>
    </row>
    <row r="244" spans="1:34" x14ac:dyDescent="0.25">
      <c r="A244" s="69"/>
      <c r="B244" s="67"/>
      <c r="C244" s="67"/>
      <c r="D244" s="68"/>
      <c r="E244" s="68"/>
      <c r="F244" s="68"/>
      <c r="G244" s="67"/>
      <c r="H244" s="67"/>
      <c r="I244" s="67"/>
      <c r="J244" s="68"/>
      <c r="K244" s="68"/>
      <c r="S244" s="32"/>
      <c r="T244" s="32"/>
      <c r="U244" s="61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23"/>
      <c r="AG244" s="23"/>
      <c r="AH244" s="27"/>
    </row>
    <row r="245" spans="1:34" x14ac:dyDescent="0.25">
      <c r="A245" s="69"/>
      <c r="B245" s="67"/>
      <c r="C245" s="67"/>
      <c r="D245" s="68"/>
      <c r="E245" s="68"/>
      <c r="F245" s="68"/>
      <c r="G245" s="67"/>
      <c r="H245" s="67"/>
      <c r="I245" s="67"/>
      <c r="J245" s="68"/>
      <c r="K245" s="68"/>
      <c r="S245" s="32"/>
      <c r="T245" s="32"/>
      <c r="U245" s="61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23"/>
      <c r="AG245" s="23"/>
      <c r="AH245" s="27"/>
    </row>
    <row r="246" spans="1:34" x14ac:dyDescent="0.25">
      <c r="A246" s="69"/>
      <c r="B246" s="67"/>
      <c r="C246" s="67"/>
      <c r="D246" s="68"/>
      <c r="E246" s="68"/>
      <c r="F246" s="68"/>
      <c r="G246" s="67"/>
      <c r="H246" s="67"/>
      <c r="I246" s="67"/>
      <c r="J246" s="68"/>
      <c r="K246" s="68"/>
      <c r="S246" s="32"/>
      <c r="T246" s="32"/>
      <c r="U246" s="61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23"/>
      <c r="AG246" s="23"/>
      <c r="AH246" s="27"/>
    </row>
    <row r="247" spans="1:34" x14ac:dyDescent="0.25">
      <c r="A247" s="69"/>
      <c r="B247" s="67"/>
      <c r="C247" s="67"/>
      <c r="D247" s="68"/>
      <c r="E247" s="68"/>
      <c r="F247" s="68"/>
      <c r="G247" s="67"/>
      <c r="H247" s="67"/>
      <c r="I247" s="67"/>
      <c r="J247" s="68"/>
      <c r="K247" s="68"/>
      <c r="S247" s="32"/>
      <c r="T247" s="32"/>
      <c r="U247" s="61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23"/>
      <c r="AG247" s="23"/>
      <c r="AH247" s="27"/>
    </row>
    <row r="248" spans="1:34" x14ac:dyDescent="0.25">
      <c r="A248" s="69"/>
      <c r="B248" s="67"/>
      <c r="C248" s="67"/>
      <c r="D248" s="68"/>
      <c r="E248" s="68"/>
      <c r="F248" s="68"/>
      <c r="G248" s="67"/>
      <c r="H248" s="67"/>
      <c r="I248" s="67"/>
      <c r="J248" s="68"/>
      <c r="K248" s="68"/>
      <c r="S248" s="32"/>
      <c r="T248" s="32"/>
      <c r="U248" s="61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23"/>
      <c r="AG248" s="23"/>
      <c r="AH248" s="27"/>
    </row>
    <row r="249" spans="1:34" x14ac:dyDescent="0.25">
      <c r="A249" s="69"/>
      <c r="B249" s="67"/>
      <c r="C249" s="67"/>
      <c r="D249" s="68"/>
      <c r="E249" s="68"/>
      <c r="F249" s="68"/>
      <c r="G249" s="67"/>
      <c r="H249" s="67"/>
      <c r="I249" s="67"/>
      <c r="J249" s="68"/>
      <c r="K249" s="68"/>
      <c r="S249" s="32"/>
      <c r="T249" s="32"/>
      <c r="U249" s="61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23"/>
      <c r="AG249" s="23"/>
      <c r="AH249" s="27"/>
    </row>
    <row r="250" spans="1:34" x14ac:dyDescent="0.25">
      <c r="A250" s="69"/>
      <c r="B250" s="67"/>
      <c r="C250" s="67"/>
      <c r="D250" s="68"/>
      <c r="E250" s="68"/>
      <c r="F250" s="68"/>
      <c r="G250" s="67"/>
      <c r="H250" s="67"/>
      <c r="I250" s="67"/>
      <c r="J250" s="68"/>
      <c r="K250" s="68"/>
      <c r="S250" s="32"/>
      <c r="T250" s="32"/>
      <c r="U250" s="61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23"/>
      <c r="AG250" s="23"/>
      <c r="AH250" s="27"/>
    </row>
    <row r="251" spans="1:34" x14ac:dyDescent="0.25">
      <c r="A251" s="69"/>
      <c r="B251" s="67"/>
      <c r="C251" s="67"/>
      <c r="D251" s="68"/>
      <c r="E251" s="68"/>
      <c r="F251" s="68"/>
      <c r="G251" s="67"/>
      <c r="H251" s="67"/>
      <c r="I251" s="67"/>
      <c r="J251" s="68"/>
      <c r="K251" s="68"/>
      <c r="S251" s="32"/>
      <c r="T251" s="32"/>
      <c r="U251" s="61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23"/>
      <c r="AG251" s="23"/>
      <c r="AH251" s="27"/>
    </row>
    <row r="252" spans="1:34" x14ac:dyDescent="0.25">
      <c r="A252" s="69"/>
      <c r="B252" s="67"/>
      <c r="C252" s="67"/>
      <c r="D252" s="68"/>
      <c r="E252" s="68"/>
      <c r="F252" s="68"/>
      <c r="G252" s="67"/>
      <c r="H252" s="67"/>
      <c r="I252" s="67"/>
      <c r="J252" s="68"/>
      <c r="K252" s="68"/>
      <c r="S252" s="32"/>
      <c r="T252" s="32"/>
      <c r="U252" s="61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23"/>
      <c r="AG252" s="23"/>
      <c r="AH252" s="27"/>
    </row>
    <row r="253" spans="1:34" x14ac:dyDescent="0.25">
      <c r="A253" s="69"/>
      <c r="B253" s="67"/>
      <c r="C253" s="67"/>
      <c r="D253" s="68"/>
      <c r="E253" s="68"/>
      <c r="F253" s="68"/>
      <c r="G253" s="67"/>
      <c r="H253" s="67"/>
      <c r="I253" s="67"/>
      <c r="J253" s="68"/>
      <c r="K253" s="68"/>
      <c r="S253" s="32"/>
      <c r="T253" s="32"/>
      <c r="U253" s="61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23"/>
      <c r="AG253" s="23"/>
      <c r="AH253" s="27"/>
    </row>
    <row r="254" spans="1:34" x14ac:dyDescent="0.25">
      <c r="A254" s="69"/>
      <c r="B254" s="67"/>
      <c r="C254" s="67"/>
      <c r="D254" s="68"/>
      <c r="E254" s="68"/>
      <c r="F254" s="68"/>
      <c r="G254" s="67"/>
      <c r="H254" s="67"/>
      <c r="I254" s="67"/>
      <c r="J254" s="68"/>
      <c r="K254" s="68"/>
      <c r="S254" s="32"/>
      <c r="T254" s="32"/>
      <c r="U254" s="61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23"/>
      <c r="AG254" s="23"/>
      <c r="AH254" s="27"/>
    </row>
    <row r="255" spans="1:34" x14ac:dyDescent="0.25">
      <c r="A255" s="69"/>
      <c r="B255" s="67"/>
      <c r="C255" s="67"/>
      <c r="D255" s="68"/>
      <c r="E255" s="68"/>
      <c r="F255" s="68"/>
      <c r="G255" s="67"/>
      <c r="H255" s="67"/>
      <c r="I255" s="67"/>
      <c r="J255" s="68"/>
      <c r="K255" s="68"/>
      <c r="S255" s="32"/>
      <c r="T255" s="32"/>
      <c r="U255" s="61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23"/>
      <c r="AG255" s="23"/>
      <c r="AH255" s="27"/>
    </row>
    <row r="256" spans="1:34" x14ac:dyDescent="0.25">
      <c r="A256" s="69"/>
      <c r="B256" s="67"/>
      <c r="C256" s="67"/>
      <c r="D256" s="68"/>
      <c r="E256" s="68"/>
      <c r="F256" s="68"/>
      <c r="G256" s="67"/>
      <c r="H256" s="67"/>
      <c r="I256" s="67"/>
      <c r="J256" s="68"/>
      <c r="K256" s="68"/>
      <c r="S256" s="32"/>
      <c r="T256" s="32"/>
      <c r="U256" s="61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23"/>
      <c r="AG256" s="23"/>
      <c r="AH256" s="27"/>
    </row>
    <row r="257" spans="1:34" x14ac:dyDescent="0.25">
      <c r="A257" s="69"/>
      <c r="B257" s="67"/>
      <c r="C257" s="67"/>
      <c r="D257" s="68"/>
      <c r="E257" s="68"/>
      <c r="F257" s="68"/>
      <c r="G257" s="67"/>
      <c r="H257" s="67"/>
      <c r="I257" s="67"/>
      <c r="J257" s="68"/>
      <c r="K257" s="68"/>
      <c r="S257" s="32"/>
      <c r="T257" s="32"/>
      <c r="U257" s="61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23"/>
      <c r="AG257" s="23"/>
      <c r="AH257" s="27"/>
    </row>
    <row r="258" spans="1:34" x14ac:dyDescent="0.25">
      <c r="A258" s="69"/>
      <c r="B258" s="67"/>
      <c r="C258" s="67"/>
      <c r="D258" s="68"/>
      <c r="E258" s="68"/>
      <c r="F258" s="68"/>
      <c r="G258" s="67"/>
      <c r="H258" s="67"/>
      <c r="I258" s="67"/>
      <c r="J258" s="68"/>
      <c r="K258" s="68"/>
      <c r="S258" s="32"/>
      <c r="T258" s="32"/>
      <c r="U258" s="61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23"/>
      <c r="AG258" s="23"/>
      <c r="AH258" s="27"/>
    </row>
    <row r="259" spans="1:34" x14ac:dyDescent="0.25">
      <c r="A259" s="69"/>
      <c r="B259" s="67"/>
      <c r="C259" s="67"/>
      <c r="D259" s="68"/>
      <c r="E259" s="68"/>
      <c r="F259" s="68"/>
      <c r="G259" s="67"/>
      <c r="H259" s="67"/>
      <c r="I259" s="67"/>
      <c r="J259" s="68"/>
      <c r="K259" s="68"/>
      <c r="S259" s="32"/>
      <c r="T259" s="32"/>
      <c r="U259" s="61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23"/>
      <c r="AG259" s="23"/>
      <c r="AH259" s="27"/>
    </row>
    <row r="260" spans="1:34" x14ac:dyDescent="0.25">
      <c r="A260" s="69"/>
      <c r="B260" s="67"/>
      <c r="C260" s="67"/>
      <c r="D260" s="68"/>
      <c r="E260" s="68"/>
      <c r="F260" s="68"/>
      <c r="G260" s="67"/>
      <c r="H260" s="67"/>
      <c r="I260" s="67"/>
      <c r="J260" s="68"/>
      <c r="K260" s="68"/>
      <c r="S260" s="32"/>
      <c r="T260" s="32"/>
      <c r="U260" s="61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23"/>
      <c r="AG260" s="23"/>
      <c r="AH260" s="27"/>
    </row>
    <row r="261" spans="1:34" x14ac:dyDescent="0.25">
      <c r="A261" s="69"/>
      <c r="B261" s="67"/>
      <c r="C261" s="67"/>
      <c r="D261" s="68"/>
      <c r="E261" s="68"/>
      <c r="F261" s="68"/>
      <c r="G261" s="67"/>
      <c r="H261" s="67"/>
      <c r="I261" s="67"/>
      <c r="J261" s="68"/>
      <c r="K261" s="68"/>
      <c r="S261" s="32"/>
      <c r="T261" s="32"/>
      <c r="U261" s="61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23"/>
      <c r="AG261" s="23"/>
      <c r="AH261" s="27"/>
    </row>
    <row r="262" spans="1:34" x14ac:dyDescent="0.25">
      <c r="A262" s="69"/>
      <c r="B262" s="67"/>
      <c r="C262" s="67"/>
      <c r="D262" s="68"/>
      <c r="E262" s="68"/>
      <c r="F262" s="68"/>
      <c r="G262" s="67"/>
      <c r="H262" s="67"/>
      <c r="I262" s="67"/>
      <c r="J262" s="68"/>
      <c r="K262" s="68"/>
      <c r="S262" s="32"/>
      <c r="T262" s="32"/>
      <c r="U262" s="61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23"/>
      <c r="AG262" s="23"/>
      <c r="AH262" s="27"/>
    </row>
    <row r="263" spans="1:34" x14ac:dyDescent="0.25">
      <c r="A263" s="69"/>
      <c r="B263" s="67"/>
      <c r="C263" s="67"/>
      <c r="D263" s="68"/>
      <c r="E263" s="68"/>
      <c r="F263" s="68"/>
      <c r="G263" s="67"/>
      <c r="H263" s="67"/>
      <c r="I263" s="67"/>
      <c r="J263" s="68"/>
      <c r="K263" s="68"/>
      <c r="S263" s="32"/>
      <c r="T263" s="32"/>
      <c r="U263" s="61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23"/>
      <c r="AG263" s="23"/>
      <c r="AH263" s="27"/>
    </row>
    <row r="264" spans="1:34" x14ac:dyDescent="0.25">
      <c r="A264" s="69"/>
      <c r="B264" s="67"/>
      <c r="C264" s="67"/>
      <c r="D264" s="70"/>
      <c r="E264" s="70"/>
      <c r="F264" s="70"/>
      <c r="G264" s="67"/>
      <c r="H264" s="67"/>
      <c r="I264" s="67"/>
      <c r="J264" s="68"/>
      <c r="K264" s="68"/>
      <c r="S264" s="32"/>
      <c r="T264" s="32"/>
      <c r="U264" s="61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23"/>
      <c r="AG264" s="23"/>
      <c r="AH264" s="27"/>
    </row>
    <row r="265" spans="1:34" x14ac:dyDescent="0.25">
      <c r="A265" s="69"/>
      <c r="B265" s="67"/>
      <c r="C265" s="67"/>
      <c r="D265" s="70"/>
      <c r="E265" s="70"/>
      <c r="F265" s="70"/>
      <c r="G265" s="67"/>
      <c r="H265" s="67"/>
      <c r="I265" s="67"/>
      <c r="J265" s="68"/>
      <c r="K265" s="68"/>
      <c r="S265" s="32"/>
      <c r="T265" s="32"/>
      <c r="U265" s="61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23"/>
      <c r="AG265" s="23"/>
      <c r="AH265" s="27"/>
    </row>
    <row r="266" spans="1:34" x14ac:dyDescent="0.25">
      <c r="A266" s="69"/>
      <c r="B266" s="67"/>
      <c r="C266" s="67"/>
      <c r="D266" s="70"/>
      <c r="E266" s="70"/>
      <c r="F266" s="70"/>
      <c r="G266" s="67"/>
      <c r="H266" s="67"/>
      <c r="I266" s="67"/>
      <c r="J266" s="68"/>
      <c r="K266" s="68"/>
      <c r="S266" s="32"/>
      <c r="T266" s="32"/>
      <c r="U266" s="61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23"/>
      <c r="AG266" s="23"/>
      <c r="AH266" s="27"/>
    </row>
    <row r="267" spans="1:34" x14ac:dyDescent="0.25">
      <c r="A267" s="69"/>
      <c r="B267" s="67"/>
      <c r="C267" s="67"/>
      <c r="D267" s="68"/>
      <c r="E267" s="68"/>
      <c r="F267" s="68"/>
      <c r="G267" s="67"/>
      <c r="H267" s="67"/>
      <c r="I267" s="67"/>
      <c r="J267" s="68"/>
      <c r="K267" s="68"/>
      <c r="S267" s="32"/>
      <c r="T267" s="32"/>
      <c r="U267" s="61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23"/>
      <c r="AG267" s="23"/>
      <c r="AH267" s="27"/>
    </row>
    <row r="268" spans="1:34" x14ac:dyDescent="0.25">
      <c r="A268" s="69"/>
      <c r="B268" s="67"/>
      <c r="C268" s="67"/>
      <c r="D268" s="68"/>
      <c r="E268" s="68"/>
      <c r="F268" s="68"/>
      <c r="G268" s="67"/>
      <c r="H268" s="67"/>
      <c r="I268" s="67"/>
      <c r="J268" s="68"/>
      <c r="K268" s="68"/>
      <c r="S268" s="32"/>
      <c r="T268" s="32"/>
      <c r="U268" s="61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23"/>
      <c r="AG268" s="23"/>
      <c r="AH268" s="27"/>
    </row>
    <row r="269" spans="1:34" x14ac:dyDescent="0.25">
      <c r="A269" s="69"/>
      <c r="B269" s="67"/>
      <c r="C269" s="67"/>
      <c r="D269" s="68"/>
      <c r="E269" s="68"/>
      <c r="F269" s="68"/>
      <c r="G269" s="67"/>
      <c r="H269" s="67"/>
      <c r="I269" s="67"/>
      <c r="J269" s="68"/>
      <c r="K269" s="68"/>
      <c r="S269" s="32"/>
      <c r="T269" s="32"/>
      <c r="U269" s="61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23"/>
      <c r="AG269" s="23"/>
      <c r="AH269" s="27"/>
    </row>
    <row r="270" spans="1:34" x14ac:dyDescent="0.25">
      <c r="A270" s="69"/>
      <c r="B270" s="67"/>
      <c r="C270" s="67"/>
      <c r="D270" s="68"/>
      <c r="E270" s="68"/>
      <c r="F270" s="68"/>
      <c r="G270" s="67"/>
      <c r="H270" s="67"/>
      <c r="I270" s="67"/>
      <c r="J270" s="68"/>
      <c r="K270" s="68"/>
      <c r="S270" s="32"/>
      <c r="T270" s="32"/>
      <c r="U270" s="61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23"/>
      <c r="AG270" s="23"/>
      <c r="AH270" s="27"/>
    </row>
    <row r="271" spans="1:34" x14ac:dyDescent="0.25">
      <c r="A271" s="69"/>
      <c r="B271" s="67"/>
      <c r="C271" s="67"/>
      <c r="D271" s="68"/>
      <c r="E271" s="68"/>
      <c r="F271" s="68"/>
      <c r="G271" s="67"/>
      <c r="H271" s="67"/>
      <c r="I271" s="67"/>
      <c r="J271" s="68"/>
      <c r="K271" s="68"/>
      <c r="S271" s="32"/>
      <c r="T271" s="32"/>
      <c r="U271" s="61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23"/>
      <c r="AG271" s="23"/>
      <c r="AH271" s="27"/>
    </row>
    <row r="272" spans="1:34" x14ac:dyDescent="0.25">
      <c r="A272" s="69"/>
      <c r="B272" s="67"/>
      <c r="C272" s="67"/>
      <c r="D272" s="68"/>
      <c r="E272" s="68"/>
      <c r="F272" s="68"/>
      <c r="G272" s="67"/>
      <c r="H272" s="67"/>
      <c r="I272" s="67"/>
      <c r="J272" s="68"/>
      <c r="K272" s="68"/>
      <c r="S272" s="32"/>
      <c r="T272" s="32"/>
      <c r="U272" s="61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23"/>
      <c r="AG272" s="23"/>
      <c r="AH272" s="27"/>
    </row>
    <row r="273" spans="1:34" x14ac:dyDescent="0.25">
      <c r="A273" s="69"/>
      <c r="B273" s="67"/>
      <c r="C273" s="67"/>
      <c r="D273" s="68"/>
      <c r="E273" s="68"/>
      <c r="F273" s="68"/>
      <c r="G273" s="67"/>
      <c r="H273" s="67"/>
      <c r="I273" s="67"/>
      <c r="J273" s="68"/>
      <c r="K273" s="68"/>
      <c r="S273" s="32"/>
      <c r="T273" s="32"/>
      <c r="U273" s="61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23"/>
      <c r="AG273" s="23"/>
      <c r="AH273" s="27"/>
    </row>
    <row r="274" spans="1:34" x14ac:dyDescent="0.25">
      <c r="A274" s="69"/>
      <c r="B274" s="67"/>
      <c r="C274" s="67"/>
      <c r="D274" s="68"/>
      <c r="E274" s="68"/>
      <c r="F274" s="68"/>
      <c r="G274" s="67"/>
      <c r="H274" s="67"/>
      <c r="I274" s="67"/>
      <c r="J274" s="68"/>
      <c r="K274" s="68"/>
      <c r="S274" s="32"/>
      <c r="T274" s="32"/>
      <c r="U274" s="61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23"/>
      <c r="AG274" s="23"/>
      <c r="AH274" s="27"/>
    </row>
    <row r="275" spans="1:34" x14ac:dyDescent="0.25">
      <c r="A275" s="69"/>
      <c r="B275" s="67"/>
      <c r="C275" s="67"/>
      <c r="D275" s="68"/>
      <c r="E275" s="68"/>
      <c r="F275" s="68"/>
      <c r="G275" s="67"/>
      <c r="H275" s="67"/>
      <c r="I275" s="67"/>
      <c r="J275" s="68"/>
      <c r="K275" s="68"/>
      <c r="S275" s="32"/>
      <c r="T275" s="32"/>
      <c r="U275" s="61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23"/>
      <c r="AG275" s="23"/>
      <c r="AH275" s="27"/>
    </row>
    <row r="276" spans="1:34" x14ac:dyDescent="0.25">
      <c r="A276" s="69"/>
      <c r="B276" s="67"/>
      <c r="C276" s="67"/>
      <c r="D276" s="68"/>
      <c r="E276" s="68"/>
      <c r="F276" s="68"/>
      <c r="G276" s="67"/>
      <c r="H276" s="67"/>
      <c r="I276" s="67"/>
      <c r="J276" s="68"/>
      <c r="K276" s="68"/>
      <c r="S276" s="32"/>
      <c r="T276" s="32"/>
      <c r="U276" s="61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23"/>
      <c r="AG276" s="23"/>
      <c r="AH276" s="27"/>
    </row>
    <row r="277" spans="1:34" x14ac:dyDescent="0.25">
      <c r="A277" s="69"/>
      <c r="B277" s="67"/>
      <c r="C277" s="67"/>
      <c r="D277" s="68"/>
      <c r="E277" s="68"/>
      <c r="F277" s="68"/>
      <c r="G277" s="67"/>
      <c r="H277" s="67"/>
      <c r="I277" s="67"/>
      <c r="J277" s="68"/>
      <c r="K277" s="68"/>
      <c r="S277" s="32"/>
      <c r="T277" s="32"/>
      <c r="U277" s="61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23"/>
      <c r="AG277" s="23"/>
      <c r="AH277" s="27"/>
    </row>
    <row r="278" spans="1:34" x14ac:dyDescent="0.25">
      <c r="A278" s="69"/>
      <c r="B278" s="67"/>
      <c r="C278" s="67"/>
      <c r="D278" s="68"/>
      <c r="E278" s="68"/>
      <c r="F278" s="68"/>
      <c r="G278" s="67"/>
      <c r="H278" s="67"/>
      <c r="I278" s="67"/>
      <c r="J278" s="68"/>
      <c r="K278" s="68"/>
      <c r="S278" s="32"/>
      <c r="T278" s="32"/>
      <c r="U278" s="61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23"/>
      <c r="AG278" s="23"/>
      <c r="AH278" s="27"/>
    </row>
    <row r="279" spans="1:34" x14ac:dyDescent="0.25">
      <c r="A279" s="69"/>
      <c r="B279" s="67"/>
      <c r="C279" s="67"/>
      <c r="D279" s="68"/>
      <c r="E279" s="68"/>
      <c r="F279" s="68"/>
      <c r="G279" s="67"/>
      <c r="H279" s="67"/>
      <c r="I279" s="67"/>
      <c r="J279" s="68"/>
      <c r="K279" s="68"/>
      <c r="S279" s="32"/>
      <c r="T279" s="32"/>
      <c r="U279" s="61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23"/>
      <c r="AG279" s="23"/>
      <c r="AH279" s="27"/>
    </row>
    <row r="280" spans="1:34" x14ac:dyDescent="0.25">
      <c r="A280" s="69"/>
      <c r="B280" s="67"/>
      <c r="C280" s="67"/>
      <c r="D280" s="68"/>
      <c r="E280" s="68"/>
      <c r="F280" s="68"/>
      <c r="G280" s="67"/>
      <c r="H280" s="67"/>
      <c r="I280" s="67"/>
      <c r="J280" s="68"/>
      <c r="K280" s="68"/>
      <c r="S280" s="32"/>
      <c r="T280" s="32"/>
      <c r="U280" s="61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23"/>
      <c r="AG280" s="23"/>
      <c r="AH280" s="27"/>
    </row>
    <row r="281" spans="1:34" x14ac:dyDescent="0.25">
      <c r="A281" s="69"/>
      <c r="B281" s="67"/>
      <c r="C281" s="67"/>
      <c r="D281" s="68"/>
      <c r="E281" s="68"/>
      <c r="F281" s="68"/>
      <c r="G281" s="67"/>
      <c r="H281" s="67"/>
      <c r="I281" s="67"/>
      <c r="J281" s="68"/>
      <c r="K281" s="68"/>
      <c r="S281" s="32"/>
      <c r="T281" s="32"/>
      <c r="U281" s="61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23"/>
      <c r="AG281" s="23"/>
      <c r="AH281" s="27"/>
    </row>
    <row r="282" spans="1:34" x14ac:dyDescent="0.25">
      <c r="A282" s="69"/>
      <c r="B282" s="67"/>
      <c r="C282" s="67"/>
      <c r="D282" s="68"/>
      <c r="E282" s="68"/>
      <c r="F282" s="68"/>
      <c r="G282" s="67"/>
      <c r="H282" s="67"/>
      <c r="I282" s="67"/>
      <c r="J282" s="68"/>
      <c r="K282" s="68"/>
      <c r="S282" s="32"/>
      <c r="T282" s="32"/>
      <c r="U282" s="61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23"/>
      <c r="AG282" s="23"/>
      <c r="AH282" s="27"/>
    </row>
    <row r="283" spans="1:34" x14ac:dyDescent="0.25">
      <c r="A283" s="69"/>
      <c r="B283" s="67"/>
      <c r="C283" s="67"/>
      <c r="D283" s="68"/>
      <c r="E283" s="68"/>
      <c r="F283" s="68"/>
      <c r="G283" s="67"/>
      <c r="H283" s="67"/>
      <c r="I283" s="67"/>
      <c r="J283" s="68"/>
      <c r="K283" s="68"/>
      <c r="S283" s="32"/>
      <c r="T283" s="32"/>
      <c r="U283" s="61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23"/>
      <c r="AG283" s="23"/>
      <c r="AH283" s="27"/>
    </row>
    <row r="284" spans="1:34" x14ac:dyDescent="0.25">
      <c r="A284" s="69"/>
      <c r="B284" s="67"/>
      <c r="C284" s="67"/>
      <c r="D284" s="68"/>
      <c r="E284" s="68"/>
      <c r="F284" s="68"/>
      <c r="G284" s="67"/>
      <c r="H284" s="67"/>
      <c r="I284" s="67"/>
      <c r="J284" s="68"/>
      <c r="K284" s="68"/>
      <c r="S284" s="32"/>
      <c r="T284" s="32"/>
      <c r="U284" s="61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23"/>
      <c r="AG284" s="23"/>
      <c r="AH284" s="27"/>
    </row>
    <row r="285" spans="1:34" x14ac:dyDescent="0.25">
      <c r="A285" s="69"/>
      <c r="B285" s="67"/>
      <c r="C285" s="67"/>
      <c r="D285" s="68"/>
      <c r="E285" s="68"/>
      <c r="F285" s="68"/>
      <c r="G285" s="67"/>
      <c r="H285" s="67"/>
      <c r="I285" s="67"/>
      <c r="J285" s="68"/>
      <c r="K285" s="68"/>
      <c r="S285" s="32"/>
      <c r="T285" s="32"/>
      <c r="U285" s="61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23"/>
      <c r="AG285" s="23"/>
      <c r="AH285" s="27"/>
    </row>
    <row r="286" spans="1:34" x14ac:dyDescent="0.25">
      <c r="A286" s="69"/>
      <c r="B286" s="67"/>
      <c r="C286" s="67"/>
      <c r="D286" s="68"/>
      <c r="E286" s="68"/>
      <c r="F286" s="68"/>
      <c r="G286" s="67"/>
      <c r="H286" s="67"/>
      <c r="I286" s="67"/>
      <c r="J286" s="68"/>
      <c r="K286" s="68"/>
      <c r="S286" s="32"/>
      <c r="T286" s="32"/>
      <c r="U286" s="61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23"/>
      <c r="AG286" s="23"/>
      <c r="AH286" s="27"/>
    </row>
    <row r="287" spans="1:34" x14ac:dyDescent="0.25">
      <c r="A287" s="69"/>
      <c r="B287" s="67"/>
      <c r="C287" s="67"/>
      <c r="D287" s="68"/>
      <c r="E287" s="68"/>
      <c r="F287" s="68"/>
      <c r="G287" s="67"/>
      <c r="H287" s="67"/>
      <c r="I287" s="67"/>
      <c r="J287" s="68"/>
      <c r="K287" s="68"/>
      <c r="S287" s="32"/>
      <c r="T287" s="32"/>
      <c r="U287" s="61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23"/>
      <c r="AG287" s="23"/>
      <c r="AH287" s="27"/>
    </row>
    <row r="288" spans="1:34" x14ac:dyDescent="0.25">
      <c r="A288" s="69"/>
      <c r="B288" s="67"/>
      <c r="C288" s="67"/>
      <c r="D288" s="70"/>
      <c r="E288" s="70"/>
      <c r="F288" s="70"/>
      <c r="G288" s="67"/>
      <c r="H288" s="67"/>
      <c r="I288" s="67"/>
      <c r="J288" s="68"/>
      <c r="K288" s="68"/>
      <c r="S288" s="32"/>
      <c r="T288" s="32"/>
      <c r="U288" s="61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23"/>
      <c r="AG288" s="23"/>
      <c r="AH288" s="27"/>
    </row>
    <row r="289" spans="1:34" x14ac:dyDescent="0.25">
      <c r="A289" s="69"/>
      <c r="B289" s="67"/>
      <c r="C289" s="67"/>
      <c r="D289" s="70"/>
      <c r="E289" s="70"/>
      <c r="F289" s="70"/>
      <c r="G289" s="67"/>
      <c r="H289" s="67"/>
      <c r="I289" s="67"/>
      <c r="J289" s="68"/>
      <c r="K289" s="68"/>
      <c r="S289" s="32"/>
      <c r="T289" s="32"/>
      <c r="U289" s="61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23"/>
      <c r="AG289" s="23"/>
      <c r="AH289" s="27"/>
    </row>
    <row r="290" spans="1:34" x14ac:dyDescent="0.25">
      <c r="A290" s="69"/>
      <c r="B290" s="67"/>
      <c r="C290" s="67"/>
      <c r="D290" s="70"/>
      <c r="E290" s="70"/>
      <c r="F290" s="70"/>
      <c r="G290" s="67"/>
      <c r="H290" s="67"/>
      <c r="I290" s="67"/>
      <c r="J290" s="68"/>
      <c r="K290" s="68"/>
      <c r="S290" s="32"/>
      <c r="T290" s="32"/>
      <c r="U290" s="61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23"/>
      <c r="AG290" s="23"/>
      <c r="AH290" s="27"/>
    </row>
    <row r="291" spans="1:34" x14ac:dyDescent="0.25">
      <c r="A291" s="69"/>
      <c r="B291" s="67"/>
      <c r="C291" s="67"/>
      <c r="D291" s="68"/>
      <c r="E291" s="68"/>
      <c r="F291" s="68"/>
      <c r="G291" s="67"/>
      <c r="H291" s="67"/>
      <c r="I291" s="67"/>
      <c r="J291" s="68"/>
      <c r="K291" s="68"/>
      <c r="S291" s="32"/>
      <c r="T291" s="32"/>
      <c r="U291" s="61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23"/>
      <c r="AG291" s="23"/>
      <c r="AH291" s="27"/>
    </row>
    <row r="292" spans="1:34" x14ac:dyDescent="0.25">
      <c r="A292" s="69"/>
      <c r="B292" s="67"/>
      <c r="C292" s="67"/>
      <c r="D292" s="68"/>
      <c r="E292" s="68"/>
      <c r="F292" s="68"/>
      <c r="G292" s="67"/>
      <c r="H292" s="67"/>
      <c r="I292" s="67"/>
      <c r="J292" s="68"/>
      <c r="K292" s="68"/>
      <c r="S292" s="32"/>
      <c r="T292" s="32"/>
      <c r="U292" s="61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23"/>
      <c r="AG292" s="23"/>
      <c r="AH292" s="27"/>
    </row>
    <row r="293" spans="1:34" x14ac:dyDescent="0.25">
      <c r="A293" s="69"/>
      <c r="B293" s="67"/>
      <c r="C293" s="67"/>
      <c r="D293" s="68"/>
      <c r="E293" s="68"/>
      <c r="F293" s="68"/>
      <c r="G293" s="67"/>
      <c r="H293" s="67"/>
      <c r="I293" s="67"/>
      <c r="J293" s="68"/>
      <c r="K293" s="68"/>
      <c r="S293" s="32"/>
      <c r="T293" s="32"/>
      <c r="U293" s="61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23"/>
      <c r="AG293" s="23"/>
      <c r="AH293" s="27"/>
    </row>
    <row r="294" spans="1:34" x14ac:dyDescent="0.25">
      <c r="A294" s="69"/>
      <c r="B294" s="67"/>
      <c r="C294" s="67"/>
      <c r="D294" s="68"/>
      <c r="E294" s="68"/>
      <c r="F294" s="68"/>
      <c r="G294" s="67"/>
      <c r="H294" s="67"/>
      <c r="I294" s="67"/>
      <c r="J294" s="68"/>
      <c r="K294" s="68"/>
      <c r="S294" s="32"/>
      <c r="T294" s="32"/>
      <c r="U294" s="61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23"/>
      <c r="AG294" s="23"/>
      <c r="AH294" s="27"/>
    </row>
    <row r="295" spans="1:34" x14ac:dyDescent="0.25">
      <c r="A295" s="69"/>
      <c r="B295" s="67"/>
      <c r="C295" s="67"/>
      <c r="D295" s="68"/>
      <c r="E295" s="68"/>
      <c r="F295" s="68"/>
      <c r="G295" s="67"/>
      <c r="H295" s="67"/>
      <c r="I295" s="67"/>
      <c r="J295" s="68"/>
      <c r="K295" s="68"/>
      <c r="S295" s="32"/>
      <c r="T295" s="32"/>
      <c r="U295" s="61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23"/>
      <c r="AG295" s="23"/>
      <c r="AH295" s="27"/>
    </row>
    <row r="296" spans="1:34" x14ac:dyDescent="0.25">
      <c r="A296" s="69"/>
      <c r="B296" s="67"/>
      <c r="C296" s="67"/>
      <c r="D296" s="68"/>
      <c r="E296" s="68"/>
      <c r="F296" s="68"/>
      <c r="G296" s="67"/>
      <c r="H296" s="67"/>
      <c r="I296" s="67"/>
      <c r="J296" s="68"/>
      <c r="K296" s="68"/>
      <c r="S296" s="32"/>
      <c r="T296" s="32"/>
      <c r="U296" s="61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23"/>
      <c r="AG296" s="23"/>
      <c r="AH296" s="27"/>
    </row>
    <row r="297" spans="1:34" x14ac:dyDescent="0.25">
      <c r="A297" s="69"/>
      <c r="B297" s="67"/>
      <c r="C297" s="67"/>
      <c r="D297" s="68"/>
      <c r="E297" s="68"/>
      <c r="F297" s="68"/>
      <c r="G297" s="67"/>
      <c r="H297" s="67"/>
      <c r="I297" s="67"/>
      <c r="J297" s="68"/>
      <c r="K297" s="68"/>
      <c r="S297" s="32"/>
      <c r="T297" s="32"/>
      <c r="U297" s="61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23"/>
      <c r="AG297" s="23"/>
      <c r="AH297" s="27"/>
    </row>
    <row r="298" spans="1:34" x14ac:dyDescent="0.25">
      <c r="A298" s="69"/>
      <c r="B298" s="67"/>
      <c r="C298" s="67"/>
      <c r="D298" s="68"/>
      <c r="E298" s="68"/>
      <c r="F298" s="68"/>
      <c r="G298" s="67"/>
      <c r="H298" s="67"/>
      <c r="I298" s="67"/>
      <c r="J298" s="68"/>
      <c r="K298" s="68"/>
      <c r="S298" s="32"/>
      <c r="T298" s="32"/>
      <c r="U298" s="61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23"/>
      <c r="AG298" s="23"/>
      <c r="AH298" s="27"/>
    </row>
    <row r="299" spans="1:34" x14ac:dyDescent="0.25">
      <c r="A299" s="69"/>
      <c r="B299" s="67"/>
      <c r="C299" s="67"/>
      <c r="D299" s="68"/>
      <c r="E299" s="68"/>
      <c r="F299" s="68"/>
      <c r="G299" s="67"/>
      <c r="H299" s="67"/>
      <c r="I299" s="67"/>
      <c r="J299" s="68"/>
      <c r="K299" s="68"/>
      <c r="S299" s="32"/>
      <c r="T299" s="32"/>
      <c r="U299" s="61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23"/>
      <c r="AG299" s="23"/>
      <c r="AH299" s="27"/>
    </row>
    <row r="300" spans="1:34" x14ac:dyDescent="0.25">
      <c r="A300" s="69"/>
      <c r="B300" s="67"/>
      <c r="C300" s="67"/>
      <c r="D300" s="68"/>
      <c r="E300" s="68"/>
      <c r="F300" s="68"/>
      <c r="G300" s="67"/>
      <c r="H300" s="67"/>
      <c r="I300" s="67"/>
      <c r="J300" s="68"/>
      <c r="K300" s="68"/>
      <c r="S300" s="32"/>
      <c r="T300" s="32"/>
      <c r="U300" s="61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23"/>
      <c r="AG300" s="23"/>
      <c r="AH300" s="27"/>
    </row>
    <row r="301" spans="1:34" x14ac:dyDescent="0.25">
      <c r="A301" s="69"/>
      <c r="B301" s="67"/>
      <c r="C301" s="67"/>
      <c r="D301" s="68"/>
      <c r="E301" s="68"/>
      <c r="F301" s="68"/>
      <c r="G301" s="67"/>
      <c r="H301" s="67"/>
      <c r="I301" s="67"/>
      <c r="J301" s="68"/>
      <c r="K301" s="68"/>
      <c r="S301" s="32"/>
      <c r="T301" s="32"/>
      <c r="U301" s="61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23"/>
      <c r="AG301" s="23"/>
      <c r="AH301" s="27"/>
    </row>
    <row r="302" spans="1:34" x14ac:dyDescent="0.25">
      <c r="A302" s="69"/>
      <c r="B302" s="67"/>
      <c r="C302" s="67"/>
      <c r="D302" s="68"/>
      <c r="E302" s="68"/>
      <c r="F302" s="68"/>
      <c r="G302" s="67"/>
      <c r="H302" s="67"/>
      <c r="I302" s="67"/>
      <c r="J302" s="68"/>
      <c r="K302" s="68"/>
      <c r="S302" s="32"/>
      <c r="T302" s="32"/>
      <c r="U302" s="61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23"/>
      <c r="AG302" s="23"/>
      <c r="AH302" s="27"/>
    </row>
    <row r="303" spans="1:34" x14ac:dyDescent="0.25">
      <c r="A303" s="69"/>
      <c r="B303" s="67"/>
      <c r="C303" s="67"/>
      <c r="D303" s="68"/>
      <c r="E303" s="68"/>
      <c r="F303" s="68"/>
      <c r="G303" s="67"/>
      <c r="H303" s="67"/>
      <c r="I303" s="67"/>
      <c r="J303" s="68"/>
      <c r="K303" s="68"/>
      <c r="S303" s="32"/>
      <c r="T303" s="32"/>
      <c r="U303" s="61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23"/>
      <c r="AG303" s="23"/>
      <c r="AH303" s="27"/>
    </row>
    <row r="304" spans="1:34" x14ac:dyDescent="0.25">
      <c r="A304" s="69"/>
      <c r="B304" s="67"/>
      <c r="C304" s="67"/>
      <c r="D304" s="68"/>
      <c r="E304" s="68"/>
      <c r="F304" s="68"/>
      <c r="G304" s="67"/>
      <c r="H304" s="67"/>
      <c r="I304" s="67"/>
      <c r="J304" s="68"/>
      <c r="K304" s="68"/>
      <c r="S304" s="32"/>
      <c r="T304" s="32"/>
      <c r="U304" s="61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23"/>
      <c r="AG304" s="23"/>
      <c r="AH304" s="27"/>
    </row>
    <row r="305" spans="1:34" x14ac:dyDescent="0.25">
      <c r="A305" s="69"/>
      <c r="B305" s="67"/>
      <c r="C305" s="67"/>
      <c r="D305" s="68"/>
      <c r="E305" s="68"/>
      <c r="F305" s="68"/>
      <c r="G305" s="67"/>
      <c r="H305" s="67"/>
      <c r="I305" s="67"/>
      <c r="J305" s="68"/>
      <c r="K305" s="68"/>
      <c r="S305" s="32"/>
      <c r="T305" s="32"/>
      <c r="U305" s="61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23"/>
      <c r="AG305" s="23"/>
      <c r="AH305" s="27"/>
    </row>
    <row r="306" spans="1:34" x14ac:dyDescent="0.25">
      <c r="A306" s="69"/>
      <c r="B306" s="67"/>
      <c r="C306" s="67"/>
      <c r="D306" s="68"/>
      <c r="E306" s="68"/>
      <c r="F306" s="68"/>
      <c r="G306" s="67"/>
      <c r="H306" s="67"/>
      <c r="I306" s="67"/>
      <c r="J306" s="68"/>
      <c r="K306" s="68"/>
      <c r="S306" s="32"/>
      <c r="T306" s="32"/>
      <c r="U306" s="61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23"/>
      <c r="AG306" s="23"/>
      <c r="AH306" s="27"/>
    </row>
    <row r="307" spans="1:34" x14ac:dyDescent="0.25">
      <c r="A307" s="69"/>
      <c r="B307" s="67"/>
      <c r="C307" s="67"/>
      <c r="D307" s="68"/>
      <c r="E307" s="68"/>
      <c r="F307" s="68"/>
      <c r="G307" s="67"/>
      <c r="H307" s="67"/>
      <c r="I307" s="67"/>
      <c r="J307" s="68"/>
      <c r="K307" s="68"/>
      <c r="S307" s="32"/>
      <c r="T307" s="32"/>
      <c r="U307" s="61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23"/>
      <c r="AG307" s="23"/>
      <c r="AH307" s="27"/>
    </row>
    <row r="308" spans="1:34" x14ac:dyDescent="0.25">
      <c r="A308" s="69"/>
      <c r="B308" s="67"/>
      <c r="C308" s="67"/>
      <c r="D308" s="68"/>
      <c r="E308" s="68"/>
      <c r="F308" s="68"/>
      <c r="G308" s="67"/>
      <c r="H308" s="67"/>
      <c r="I308" s="67"/>
      <c r="J308" s="68"/>
      <c r="K308" s="68"/>
      <c r="S308" s="32"/>
      <c r="T308" s="32"/>
      <c r="U308" s="61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23"/>
      <c r="AG308" s="23"/>
      <c r="AH308" s="27"/>
    </row>
    <row r="309" spans="1:34" x14ac:dyDescent="0.25">
      <c r="A309" s="69"/>
      <c r="B309" s="67"/>
      <c r="C309" s="67"/>
      <c r="D309" s="68"/>
      <c r="E309" s="68"/>
      <c r="F309" s="68"/>
      <c r="G309" s="67"/>
      <c r="H309" s="67"/>
      <c r="I309" s="67"/>
      <c r="J309" s="68"/>
      <c r="K309" s="68"/>
      <c r="S309" s="32"/>
      <c r="T309" s="32"/>
      <c r="U309" s="61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23"/>
      <c r="AG309" s="23"/>
      <c r="AH309" s="27"/>
    </row>
    <row r="310" spans="1:34" x14ac:dyDescent="0.25">
      <c r="A310" s="69"/>
      <c r="B310" s="67"/>
      <c r="C310" s="67"/>
      <c r="D310" s="68"/>
      <c r="E310" s="68"/>
      <c r="F310" s="68"/>
      <c r="G310" s="67"/>
      <c r="H310" s="67"/>
      <c r="I310" s="67"/>
      <c r="J310" s="68"/>
      <c r="K310" s="68"/>
      <c r="S310" s="32"/>
      <c r="T310" s="32"/>
      <c r="U310" s="61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23"/>
      <c r="AG310" s="23"/>
      <c r="AH310" s="27"/>
    </row>
    <row r="311" spans="1:34" x14ac:dyDescent="0.25">
      <c r="A311" s="69"/>
      <c r="B311" s="67"/>
      <c r="C311" s="67"/>
      <c r="D311" s="68"/>
      <c r="E311" s="68"/>
      <c r="F311" s="68"/>
      <c r="G311" s="67"/>
      <c r="H311" s="67"/>
      <c r="I311" s="67"/>
      <c r="J311" s="68"/>
      <c r="K311" s="68"/>
      <c r="S311" s="32"/>
      <c r="T311" s="32"/>
      <c r="U311" s="61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23"/>
      <c r="AG311" s="23"/>
      <c r="AH311" s="27"/>
    </row>
    <row r="312" spans="1:34" x14ac:dyDescent="0.25">
      <c r="A312" s="69"/>
      <c r="B312" s="67"/>
      <c r="C312" s="67"/>
      <c r="D312" s="70"/>
      <c r="E312" s="70"/>
      <c r="F312" s="70"/>
      <c r="G312" s="67"/>
      <c r="H312" s="67"/>
      <c r="I312" s="67"/>
      <c r="J312" s="68"/>
      <c r="K312" s="68"/>
      <c r="S312" s="32"/>
      <c r="T312" s="32"/>
      <c r="U312" s="61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23"/>
      <c r="AG312" s="23"/>
      <c r="AH312" s="27"/>
    </row>
    <row r="313" spans="1:34" x14ac:dyDescent="0.25">
      <c r="A313" s="69"/>
      <c r="B313" s="67"/>
      <c r="C313" s="67"/>
      <c r="D313" s="70"/>
      <c r="E313" s="70"/>
      <c r="F313" s="70"/>
      <c r="G313" s="67"/>
      <c r="H313" s="67"/>
      <c r="I313" s="67"/>
      <c r="J313" s="68"/>
      <c r="K313" s="68"/>
      <c r="S313" s="32"/>
      <c r="T313" s="32"/>
      <c r="U313" s="61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23"/>
      <c r="AG313" s="23"/>
      <c r="AH313" s="27"/>
    </row>
    <row r="314" spans="1:34" x14ac:dyDescent="0.25">
      <c r="A314" s="69"/>
      <c r="B314" s="67"/>
      <c r="C314" s="67"/>
      <c r="D314" s="70"/>
      <c r="E314" s="70"/>
      <c r="F314" s="70"/>
      <c r="G314" s="67"/>
      <c r="H314" s="67"/>
      <c r="I314" s="67"/>
      <c r="J314" s="68"/>
      <c r="K314" s="68"/>
      <c r="S314" s="32"/>
      <c r="T314" s="32"/>
      <c r="U314" s="61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23"/>
      <c r="AG314" s="23"/>
      <c r="AH314" s="27"/>
    </row>
    <row r="315" spans="1:34" x14ac:dyDescent="0.25">
      <c r="A315" s="69"/>
      <c r="B315" s="67"/>
      <c r="C315" s="67"/>
      <c r="D315" s="68"/>
      <c r="E315" s="68"/>
      <c r="F315" s="68"/>
      <c r="G315" s="67"/>
      <c r="H315" s="67"/>
      <c r="I315" s="67"/>
      <c r="J315" s="68"/>
      <c r="K315" s="68"/>
      <c r="S315" s="32"/>
      <c r="T315" s="32"/>
      <c r="U315" s="61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23"/>
      <c r="AG315" s="23"/>
      <c r="AH315" s="27"/>
    </row>
    <row r="316" spans="1:34" x14ac:dyDescent="0.25">
      <c r="A316" s="69"/>
      <c r="B316" s="67"/>
      <c r="C316" s="67"/>
      <c r="D316" s="68"/>
      <c r="E316" s="68"/>
      <c r="F316" s="68"/>
      <c r="G316" s="67"/>
      <c r="H316" s="67"/>
      <c r="I316" s="67"/>
      <c r="J316" s="68"/>
      <c r="K316" s="68"/>
      <c r="S316" s="32"/>
      <c r="T316" s="32"/>
      <c r="U316" s="61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23"/>
      <c r="AG316" s="23"/>
      <c r="AH316" s="27"/>
    </row>
    <row r="317" spans="1:34" x14ac:dyDescent="0.25">
      <c r="A317" s="69"/>
      <c r="B317" s="67"/>
      <c r="C317" s="67"/>
      <c r="D317" s="68"/>
      <c r="E317" s="68"/>
      <c r="F317" s="68"/>
      <c r="G317" s="67"/>
      <c r="H317" s="67"/>
      <c r="I317" s="67"/>
      <c r="J317" s="68"/>
      <c r="K317" s="68"/>
      <c r="S317" s="32"/>
      <c r="T317" s="32"/>
      <c r="U317" s="61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23"/>
      <c r="AG317" s="23"/>
      <c r="AH317" s="27"/>
    </row>
    <row r="318" spans="1:34" x14ac:dyDescent="0.25">
      <c r="A318" s="69"/>
      <c r="B318" s="67"/>
      <c r="C318" s="67"/>
      <c r="D318" s="68"/>
      <c r="E318" s="68"/>
      <c r="F318" s="68"/>
      <c r="G318" s="67"/>
      <c r="H318" s="67"/>
      <c r="I318" s="67"/>
      <c r="J318" s="68"/>
      <c r="K318" s="68"/>
      <c r="S318" s="32"/>
      <c r="T318" s="32"/>
      <c r="U318" s="61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23"/>
      <c r="AG318" s="23"/>
      <c r="AH318" s="27"/>
    </row>
    <row r="319" spans="1:34" x14ac:dyDescent="0.25">
      <c r="A319" s="69"/>
      <c r="B319" s="67"/>
      <c r="C319" s="67"/>
      <c r="D319" s="68"/>
      <c r="E319" s="68"/>
      <c r="F319" s="68"/>
      <c r="G319" s="67"/>
      <c r="H319" s="67"/>
      <c r="I319" s="67"/>
      <c r="J319" s="68"/>
      <c r="K319" s="68"/>
      <c r="S319" s="32"/>
      <c r="T319" s="32"/>
      <c r="U319" s="61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23"/>
      <c r="AG319" s="23"/>
      <c r="AH319" s="27"/>
    </row>
    <row r="320" spans="1:34" x14ac:dyDescent="0.25">
      <c r="A320" s="69"/>
      <c r="B320" s="67"/>
      <c r="C320" s="67"/>
      <c r="D320" s="68"/>
      <c r="E320" s="68"/>
      <c r="F320" s="68"/>
      <c r="G320" s="67"/>
      <c r="H320" s="67"/>
      <c r="I320" s="67"/>
      <c r="J320" s="68"/>
      <c r="K320" s="68"/>
      <c r="S320" s="32"/>
      <c r="T320" s="32"/>
      <c r="U320" s="61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23"/>
      <c r="AG320" s="23"/>
      <c r="AH320" s="27"/>
    </row>
    <row r="321" spans="1:34" x14ac:dyDescent="0.25">
      <c r="A321" s="69"/>
      <c r="B321" s="67"/>
      <c r="C321" s="67"/>
      <c r="D321" s="68"/>
      <c r="E321" s="68"/>
      <c r="F321" s="68"/>
      <c r="G321" s="67"/>
      <c r="H321" s="67"/>
      <c r="I321" s="67"/>
      <c r="J321" s="68"/>
      <c r="K321" s="68"/>
      <c r="S321" s="32"/>
      <c r="T321" s="32"/>
      <c r="U321" s="61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23"/>
      <c r="AG321" s="23"/>
      <c r="AH321" s="27"/>
    </row>
    <row r="322" spans="1:34" x14ac:dyDescent="0.25">
      <c r="A322" s="69"/>
      <c r="B322" s="67"/>
      <c r="C322" s="67"/>
      <c r="D322" s="68"/>
      <c r="E322" s="68"/>
      <c r="F322" s="68"/>
      <c r="G322" s="67"/>
      <c r="H322" s="67"/>
      <c r="I322" s="67"/>
      <c r="J322" s="68"/>
      <c r="K322" s="68"/>
      <c r="S322" s="32"/>
      <c r="T322" s="32"/>
      <c r="U322" s="61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23"/>
      <c r="AG322" s="23"/>
      <c r="AH322" s="27"/>
    </row>
    <row r="323" spans="1:34" x14ac:dyDescent="0.25">
      <c r="A323" s="69"/>
      <c r="B323" s="67"/>
      <c r="C323" s="67"/>
      <c r="D323" s="68"/>
      <c r="E323" s="68"/>
      <c r="F323" s="68"/>
      <c r="G323" s="67"/>
      <c r="H323" s="67"/>
      <c r="I323" s="67"/>
      <c r="J323" s="68"/>
      <c r="K323" s="68"/>
      <c r="S323" s="32"/>
      <c r="T323" s="32"/>
      <c r="U323" s="61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23"/>
      <c r="AG323" s="23"/>
      <c r="AH323" s="27"/>
    </row>
    <row r="324" spans="1:34" x14ac:dyDescent="0.25">
      <c r="A324" s="69"/>
      <c r="B324" s="67"/>
      <c r="C324" s="67"/>
      <c r="D324" s="68"/>
      <c r="E324" s="68"/>
      <c r="F324" s="68"/>
      <c r="G324" s="67"/>
      <c r="H324" s="67"/>
      <c r="I324" s="67"/>
      <c r="J324" s="68"/>
      <c r="K324" s="68"/>
      <c r="S324" s="32"/>
      <c r="T324" s="32"/>
      <c r="U324" s="61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23"/>
      <c r="AG324" s="23"/>
      <c r="AH324" s="27"/>
    </row>
    <row r="325" spans="1:34" x14ac:dyDescent="0.25">
      <c r="A325" s="69"/>
      <c r="B325" s="67"/>
      <c r="C325" s="67"/>
      <c r="D325" s="68"/>
      <c r="E325" s="68"/>
      <c r="F325" s="68"/>
      <c r="G325" s="67"/>
      <c r="H325" s="67"/>
      <c r="I325" s="67"/>
      <c r="J325" s="68"/>
      <c r="K325" s="68"/>
      <c r="S325" s="32"/>
      <c r="T325" s="32"/>
      <c r="U325" s="61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23"/>
      <c r="AG325" s="23"/>
      <c r="AH325" s="27"/>
    </row>
    <row r="326" spans="1:34" x14ac:dyDescent="0.25">
      <c r="A326" s="69"/>
      <c r="B326" s="67"/>
      <c r="C326" s="67"/>
      <c r="D326" s="68"/>
      <c r="E326" s="68"/>
      <c r="F326" s="68"/>
      <c r="G326" s="67"/>
      <c r="H326" s="67"/>
      <c r="I326" s="67"/>
      <c r="J326" s="68"/>
      <c r="K326" s="68"/>
      <c r="S326" s="32"/>
      <c r="T326" s="32"/>
      <c r="U326" s="61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23"/>
      <c r="AG326" s="23"/>
      <c r="AH326" s="27"/>
    </row>
    <row r="327" spans="1:34" x14ac:dyDescent="0.25">
      <c r="A327" s="69"/>
      <c r="B327" s="67"/>
      <c r="C327" s="67"/>
      <c r="D327" s="68"/>
      <c r="E327" s="68"/>
      <c r="F327" s="68"/>
      <c r="G327" s="67"/>
      <c r="H327" s="67"/>
      <c r="I327" s="67"/>
      <c r="J327" s="68"/>
      <c r="K327" s="68"/>
      <c r="S327" s="32"/>
      <c r="T327" s="32"/>
      <c r="U327" s="61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23"/>
      <c r="AG327" s="23"/>
      <c r="AH327" s="27"/>
    </row>
    <row r="328" spans="1:34" x14ac:dyDescent="0.25">
      <c r="A328" s="69"/>
      <c r="B328" s="67"/>
      <c r="C328" s="67"/>
      <c r="D328" s="68"/>
      <c r="E328" s="68"/>
      <c r="F328" s="68"/>
      <c r="G328" s="67"/>
      <c r="H328" s="67"/>
      <c r="I328" s="67"/>
      <c r="J328" s="68"/>
      <c r="K328" s="68"/>
      <c r="S328" s="32"/>
      <c r="T328" s="32"/>
      <c r="U328" s="61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23"/>
      <c r="AG328" s="23"/>
      <c r="AH328" s="27"/>
    </row>
    <row r="329" spans="1:34" x14ac:dyDescent="0.25">
      <c r="A329" s="69"/>
      <c r="B329" s="67"/>
      <c r="C329" s="67"/>
      <c r="D329" s="68"/>
      <c r="E329" s="68"/>
      <c r="F329" s="68"/>
      <c r="G329" s="67"/>
      <c r="H329" s="67"/>
      <c r="I329" s="67"/>
      <c r="J329" s="68"/>
      <c r="K329" s="68"/>
      <c r="S329" s="32"/>
      <c r="T329" s="32"/>
      <c r="U329" s="61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23"/>
      <c r="AG329" s="23"/>
      <c r="AH329" s="27"/>
    </row>
    <row r="330" spans="1:34" x14ac:dyDescent="0.25">
      <c r="A330" s="69"/>
      <c r="B330" s="67"/>
      <c r="C330" s="67"/>
      <c r="D330" s="68"/>
      <c r="E330" s="68"/>
      <c r="F330" s="68"/>
      <c r="G330" s="67"/>
      <c r="H330" s="67"/>
      <c r="I330" s="67"/>
      <c r="J330" s="68"/>
      <c r="K330" s="68"/>
      <c r="S330" s="32"/>
      <c r="T330" s="32"/>
      <c r="U330" s="61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23"/>
      <c r="AG330" s="23"/>
      <c r="AH330" s="27"/>
    </row>
    <row r="331" spans="1:34" x14ac:dyDescent="0.25">
      <c r="A331" s="69"/>
      <c r="B331" s="67"/>
      <c r="C331" s="67"/>
      <c r="D331" s="68"/>
      <c r="E331" s="68"/>
      <c r="F331" s="68"/>
      <c r="G331" s="67"/>
      <c r="H331" s="67"/>
      <c r="I331" s="67"/>
      <c r="J331" s="68"/>
      <c r="K331" s="68"/>
      <c r="S331" s="32"/>
      <c r="T331" s="32"/>
      <c r="U331" s="61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23"/>
      <c r="AG331" s="23"/>
      <c r="AH331" s="27"/>
    </row>
    <row r="332" spans="1:34" x14ac:dyDescent="0.25">
      <c r="A332" s="69"/>
      <c r="B332" s="67"/>
      <c r="C332" s="67"/>
      <c r="D332" s="68"/>
      <c r="E332" s="68"/>
      <c r="F332" s="68"/>
      <c r="G332" s="67"/>
      <c r="H332" s="67"/>
      <c r="I332" s="67"/>
      <c r="J332" s="68"/>
      <c r="K332" s="68"/>
      <c r="S332" s="32"/>
      <c r="T332" s="32"/>
      <c r="U332" s="61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23"/>
      <c r="AG332" s="23"/>
      <c r="AH332" s="27"/>
    </row>
    <row r="333" spans="1:34" x14ac:dyDescent="0.25">
      <c r="A333" s="69"/>
      <c r="B333" s="67"/>
      <c r="C333" s="67"/>
      <c r="D333" s="68"/>
      <c r="E333" s="68"/>
      <c r="F333" s="68"/>
      <c r="G333" s="67"/>
      <c r="H333" s="67"/>
      <c r="I333" s="67"/>
      <c r="J333" s="68"/>
      <c r="K333" s="68"/>
      <c r="S333" s="32"/>
      <c r="T333" s="32"/>
      <c r="U333" s="61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23"/>
      <c r="AG333" s="23"/>
      <c r="AH333" s="27"/>
    </row>
    <row r="334" spans="1:34" x14ac:dyDescent="0.25">
      <c r="A334" s="69"/>
      <c r="B334" s="67"/>
      <c r="C334" s="67"/>
      <c r="D334" s="68"/>
      <c r="E334" s="68"/>
      <c r="F334" s="68"/>
      <c r="G334" s="67"/>
      <c r="H334" s="67"/>
      <c r="I334" s="67"/>
      <c r="J334" s="68"/>
      <c r="K334" s="68"/>
      <c r="S334" s="32"/>
      <c r="T334" s="32"/>
      <c r="U334" s="61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23"/>
      <c r="AG334" s="23"/>
      <c r="AH334" s="27"/>
    </row>
    <row r="335" spans="1:34" x14ac:dyDescent="0.25">
      <c r="A335" s="69"/>
      <c r="B335" s="67"/>
      <c r="C335" s="67"/>
      <c r="D335" s="68"/>
      <c r="E335" s="68"/>
      <c r="F335" s="68"/>
      <c r="G335" s="67"/>
      <c r="H335" s="67"/>
      <c r="I335" s="67"/>
      <c r="J335" s="68"/>
      <c r="K335" s="68"/>
      <c r="S335" s="32"/>
      <c r="T335" s="32"/>
      <c r="U335" s="61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23"/>
      <c r="AG335" s="23"/>
      <c r="AH335" s="27"/>
    </row>
    <row r="336" spans="1:34" x14ac:dyDescent="0.25">
      <c r="A336" s="69"/>
      <c r="B336" s="67"/>
      <c r="C336" s="67"/>
      <c r="D336" s="70"/>
      <c r="E336" s="70"/>
      <c r="F336" s="70"/>
      <c r="G336" s="67"/>
      <c r="H336" s="67"/>
      <c r="I336" s="67"/>
      <c r="J336" s="68"/>
      <c r="K336" s="68"/>
      <c r="S336" s="32"/>
      <c r="T336" s="32"/>
      <c r="U336" s="61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23"/>
      <c r="AG336" s="23"/>
      <c r="AH336" s="27"/>
    </row>
    <row r="337" spans="1:34" x14ac:dyDescent="0.25">
      <c r="A337" s="69"/>
      <c r="B337" s="67"/>
      <c r="C337" s="67"/>
      <c r="D337" s="70"/>
      <c r="E337" s="70"/>
      <c r="F337" s="70"/>
      <c r="G337" s="67"/>
      <c r="H337" s="67"/>
      <c r="I337" s="67"/>
      <c r="J337" s="68"/>
      <c r="K337" s="68"/>
      <c r="S337" s="32"/>
      <c r="T337" s="32"/>
      <c r="U337" s="61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23"/>
      <c r="AG337" s="23"/>
      <c r="AH337" s="27"/>
    </row>
    <row r="338" spans="1:34" x14ac:dyDescent="0.25">
      <c r="A338" s="69"/>
      <c r="B338" s="67"/>
      <c r="C338" s="67"/>
      <c r="D338" s="70"/>
      <c r="E338" s="70"/>
      <c r="F338" s="70"/>
      <c r="G338" s="67"/>
      <c r="H338" s="67"/>
      <c r="I338" s="67"/>
      <c r="J338" s="68"/>
      <c r="K338" s="68"/>
      <c r="S338" s="32"/>
      <c r="T338" s="32"/>
      <c r="U338" s="61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23"/>
      <c r="AG338" s="23"/>
      <c r="AH338" s="27"/>
    </row>
    <row r="339" spans="1:34" x14ac:dyDescent="0.25">
      <c r="A339" s="69"/>
      <c r="B339" s="67"/>
      <c r="C339" s="67"/>
      <c r="D339" s="68"/>
      <c r="E339" s="68"/>
      <c r="F339" s="68"/>
      <c r="G339" s="67"/>
      <c r="H339" s="67"/>
      <c r="I339" s="67"/>
      <c r="J339" s="68"/>
      <c r="K339" s="68"/>
      <c r="S339" s="32"/>
      <c r="T339" s="32"/>
      <c r="U339" s="61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23"/>
      <c r="AG339" s="23"/>
      <c r="AH339" s="27"/>
    </row>
    <row r="340" spans="1:34" x14ac:dyDescent="0.25">
      <c r="A340" s="69"/>
      <c r="B340" s="67"/>
      <c r="C340" s="67"/>
      <c r="D340" s="68"/>
      <c r="E340" s="68"/>
      <c r="F340" s="68"/>
      <c r="G340" s="67"/>
      <c r="H340" s="67"/>
      <c r="I340" s="67"/>
      <c r="J340" s="68"/>
      <c r="K340" s="68"/>
      <c r="S340" s="32"/>
      <c r="T340" s="32"/>
      <c r="U340" s="61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23"/>
      <c r="AG340" s="23"/>
      <c r="AH340" s="27"/>
    </row>
    <row r="341" spans="1:34" x14ac:dyDescent="0.25">
      <c r="A341" s="69"/>
      <c r="B341" s="67"/>
      <c r="C341" s="67"/>
      <c r="D341" s="68"/>
      <c r="E341" s="68"/>
      <c r="F341" s="68"/>
      <c r="G341" s="67"/>
      <c r="H341" s="67"/>
      <c r="I341" s="67"/>
      <c r="J341" s="68"/>
      <c r="K341" s="68"/>
      <c r="S341" s="32"/>
      <c r="T341" s="32"/>
      <c r="U341" s="61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23"/>
      <c r="AG341" s="23"/>
      <c r="AH341" s="27"/>
    </row>
    <row r="342" spans="1:34" x14ac:dyDescent="0.25">
      <c r="A342" s="69"/>
      <c r="B342" s="67"/>
      <c r="C342" s="67"/>
      <c r="D342" s="68"/>
      <c r="E342" s="68"/>
      <c r="F342" s="68"/>
      <c r="G342" s="67"/>
      <c r="H342" s="67"/>
      <c r="I342" s="67"/>
      <c r="J342" s="68"/>
      <c r="K342" s="68"/>
      <c r="S342" s="32"/>
      <c r="T342" s="32"/>
      <c r="U342" s="61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23"/>
      <c r="AG342" s="23"/>
      <c r="AH342" s="27"/>
    </row>
    <row r="343" spans="1:34" x14ac:dyDescent="0.25">
      <c r="A343" s="69"/>
      <c r="B343" s="67"/>
      <c r="C343" s="67"/>
      <c r="D343" s="68"/>
      <c r="E343" s="68"/>
      <c r="F343" s="68"/>
      <c r="G343" s="67"/>
      <c r="H343" s="67"/>
      <c r="I343" s="67"/>
      <c r="J343" s="68"/>
      <c r="K343" s="68"/>
      <c r="S343" s="32"/>
      <c r="T343" s="32"/>
      <c r="U343" s="61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23"/>
      <c r="AG343" s="23"/>
      <c r="AH343" s="27"/>
    </row>
    <row r="344" spans="1:34" x14ac:dyDescent="0.25">
      <c r="A344" s="69"/>
      <c r="B344" s="67"/>
      <c r="C344" s="67"/>
      <c r="D344" s="68"/>
      <c r="E344" s="68"/>
      <c r="F344" s="68"/>
      <c r="G344" s="67"/>
      <c r="H344" s="67"/>
      <c r="I344" s="67"/>
      <c r="J344" s="68"/>
      <c r="K344" s="68"/>
      <c r="S344" s="32"/>
      <c r="T344" s="32"/>
      <c r="U344" s="61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23"/>
      <c r="AG344" s="23"/>
      <c r="AH344" s="27"/>
    </row>
    <row r="345" spans="1:34" x14ac:dyDescent="0.25">
      <c r="A345" s="69"/>
      <c r="B345" s="67"/>
      <c r="C345" s="67"/>
      <c r="D345" s="68"/>
      <c r="E345" s="68"/>
      <c r="F345" s="68"/>
      <c r="G345" s="67"/>
      <c r="H345" s="67"/>
      <c r="I345" s="67"/>
      <c r="J345" s="68"/>
      <c r="K345" s="68"/>
      <c r="S345" s="32"/>
      <c r="T345" s="32"/>
      <c r="U345" s="61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23"/>
      <c r="AG345" s="23"/>
      <c r="AH345" s="27"/>
    </row>
    <row r="346" spans="1:34" x14ac:dyDescent="0.25">
      <c r="A346" s="69"/>
      <c r="B346" s="67"/>
      <c r="C346" s="67"/>
      <c r="D346" s="68"/>
      <c r="E346" s="68"/>
      <c r="F346" s="68"/>
      <c r="G346" s="67"/>
      <c r="H346" s="67"/>
      <c r="I346" s="67"/>
      <c r="J346" s="68"/>
      <c r="K346" s="68"/>
      <c r="S346" s="32"/>
      <c r="T346" s="32"/>
      <c r="U346" s="61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23"/>
      <c r="AG346" s="23"/>
      <c r="AH346" s="27"/>
    </row>
    <row r="347" spans="1:34" x14ac:dyDescent="0.25">
      <c r="A347" s="69"/>
      <c r="B347" s="67"/>
      <c r="C347" s="67"/>
      <c r="D347" s="68"/>
      <c r="E347" s="68"/>
      <c r="F347" s="68"/>
      <c r="G347" s="67"/>
      <c r="H347" s="67"/>
      <c r="I347" s="67"/>
      <c r="J347" s="68"/>
      <c r="K347" s="68"/>
      <c r="S347" s="32"/>
      <c r="T347" s="32"/>
      <c r="U347" s="61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23"/>
      <c r="AG347" s="23"/>
      <c r="AH347" s="27"/>
    </row>
    <row r="348" spans="1:34" x14ac:dyDescent="0.25">
      <c r="A348" s="69"/>
      <c r="B348" s="67"/>
      <c r="C348" s="67"/>
      <c r="D348" s="68"/>
      <c r="E348" s="68"/>
      <c r="F348" s="68"/>
      <c r="G348" s="67"/>
      <c r="H348" s="67"/>
      <c r="I348" s="67"/>
      <c r="J348" s="68"/>
      <c r="K348" s="68"/>
      <c r="S348" s="32"/>
      <c r="T348" s="32"/>
      <c r="U348" s="61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23"/>
      <c r="AG348" s="23"/>
      <c r="AH348" s="27"/>
    </row>
    <row r="349" spans="1:34" x14ac:dyDescent="0.25">
      <c r="A349" s="69"/>
      <c r="B349" s="67"/>
      <c r="C349" s="67"/>
      <c r="D349" s="68"/>
      <c r="E349" s="68"/>
      <c r="F349" s="68"/>
      <c r="G349" s="67"/>
      <c r="H349" s="67"/>
      <c r="I349" s="67"/>
      <c r="J349" s="68"/>
      <c r="K349" s="68"/>
      <c r="S349" s="32"/>
      <c r="T349" s="32"/>
      <c r="U349" s="61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23"/>
      <c r="AG349" s="23"/>
      <c r="AH349" s="27"/>
    </row>
    <row r="350" spans="1:34" x14ac:dyDescent="0.25">
      <c r="A350" s="69"/>
      <c r="B350" s="67"/>
      <c r="C350" s="67"/>
      <c r="D350" s="68"/>
      <c r="E350" s="68"/>
      <c r="F350" s="68"/>
      <c r="G350" s="67"/>
      <c r="H350" s="67"/>
      <c r="I350" s="67"/>
      <c r="J350" s="68"/>
      <c r="K350" s="68"/>
      <c r="S350" s="32"/>
      <c r="T350" s="32"/>
      <c r="U350" s="61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23"/>
      <c r="AG350" s="23"/>
      <c r="AH350" s="27"/>
    </row>
    <row r="351" spans="1:34" x14ac:dyDescent="0.25">
      <c r="A351" s="69"/>
      <c r="B351" s="67"/>
      <c r="C351" s="67"/>
      <c r="D351" s="68"/>
      <c r="E351" s="68"/>
      <c r="F351" s="68"/>
      <c r="G351" s="67"/>
      <c r="H351" s="67"/>
      <c r="I351" s="67"/>
      <c r="J351" s="68"/>
      <c r="K351" s="68"/>
      <c r="S351" s="32"/>
      <c r="T351" s="32"/>
      <c r="U351" s="61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23"/>
      <c r="AG351" s="23"/>
      <c r="AH351" s="27"/>
    </row>
    <row r="352" spans="1:34" x14ac:dyDescent="0.25">
      <c r="A352" s="69"/>
      <c r="B352" s="67"/>
      <c r="C352" s="67"/>
      <c r="D352" s="68"/>
      <c r="E352" s="68"/>
      <c r="F352" s="68"/>
      <c r="G352" s="67"/>
      <c r="H352" s="67"/>
      <c r="I352" s="67"/>
      <c r="J352" s="68"/>
      <c r="K352" s="68"/>
      <c r="S352" s="32"/>
      <c r="T352" s="32"/>
      <c r="U352" s="61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23"/>
      <c r="AG352" s="23"/>
      <c r="AH352" s="27"/>
    </row>
    <row r="353" spans="1:34" x14ac:dyDescent="0.25">
      <c r="A353" s="69"/>
      <c r="B353" s="67"/>
      <c r="C353" s="67"/>
      <c r="D353" s="68"/>
      <c r="E353" s="68"/>
      <c r="F353" s="68"/>
      <c r="G353" s="67"/>
      <c r="H353" s="67"/>
      <c r="I353" s="67"/>
      <c r="J353" s="68"/>
      <c r="K353" s="68"/>
      <c r="S353" s="32"/>
      <c r="T353" s="32"/>
      <c r="U353" s="61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23"/>
      <c r="AG353" s="23"/>
      <c r="AH353" s="27"/>
    </row>
    <row r="354" spans="1:34" x14ac:dyDescent="0.25">
      <c r="A354" s="69"/>
      <c r="B354" s="67"/>
      <c r="C354" s="67"/>
      <c r="D354" s="68"/>
      <c r="E354" s="68"/>
      <c r="F354" s="68"/>
      <c r="G354" s="67"/>
      <c r="H354" s="67"/>
      <c r="I354" s="67"/>
      <c r="J354" s="68"/>
      <c r="K354" s="68"/>
      <c r="S354" s="32"/>
      <c r="T354" s="32"/>
      <c r="U354" s="61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23"/>
      <c r="AG354" s="23"/>
      <c r="AH354" s="27"/>
    </row>
    <row r="355" spans="1:34" x14ac:dyDescent="0.25">
      <c r="A355" s="69"/>
      <c r="B355" s="67"/>
      <c r="C355" s="67"/>
      <c r="D355" s="68"/>
      <c r="E355" s="68"/>
      <c r="F355" s="68"/>
      <c r="G355" s="67"/>
      <c r="H355" s="67"/>
      <c r="I355" s="67"/>
      <c r="J355" s="68"/>
      <c r="K355" s="68"/>
      <c r="S355" s="32"/>
      <c r="T355" s="32"/>
      <c r="U355" s="61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23"/>
      <c r="AG355" s="23"/>
      <c r="AH355" s="27"/>
    </row>
    <row r="356" spans="1:34" x14ac:dyDescent="0.25">
      <c r="A356" s="69"/>
      <c r="B356" s="67"/>
      <c r="C356" s="67"/>
      <c r="D356" s="68"/>
      <c r="E356" s="68"/>
      <c r="F356" s="68"/>
      <c r="G356" s="67"/>
      <c r="H356" s="67"/>
      <c r="I356" s="67"/>
      <c r="J356" s="68"/>
      <c r="K356" s="68"/>
      <c r="S356" s="32"/>
      <c r="T356" s="32"/>
      <c r="U356" s="61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23"/>
      <c r="AG356" s="23"/>
      <c r="AH356" s="27"/>
    </row>
    <row r="357" spans="1:34" x14ac:dyDescent="0.25">
      <c r="A357" s="69"/>
      <c r="B357" s="67"/>
      <c r="C357" s="67"/>
      <c r="D357" s="68"/>
      <c r="E357" s="68"/>
      <c r="F357" s="68"/>
      <c r="G357" s="67"/>
      <c r="H357" s="67"/>
      <c r="I357" s="67"/>
      <c r="J357" s="68"/>
      <c r="K357" s="68"/>
      <c r="S357" s="32"/>
      <c r="T357" s="32"/>
      <c r="U357" s="61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23"/>
      <c r="AG357" s="23"/>
      <c r="AH357" s="27"/>
    </row>
    <row r="358" spans="1:34" x14ac:dyDescent="0.25">
      <c r="A358" s="69"/>
      <c r="B358" s="67"/>
      <c r="C358" s="67"/>
      <c r="D358" s="68"/>
      <c r="E358" s="68"/>
      <c r="F358" s="68"/>
      <c r="G358" s="67"/>
      <c r="H358" s="67"/>
      <c r="I358" s="67"/>
      <c r="J358" s="68"/>
      <c r="K358" s="68"/>
      <c r="S358" s="32"/>
      <c r="T358" s="32"/>
      <c r="U358" s="61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23"/>
      <c r="AG358" s="23"/>
      <c r="AH358" s="27"/>
    </row>
    <row r="359" spans="1:34" x14ac:dyDescent="0.25">
      <c r="A359" s="69"/>
      <c r="B359" s="67"/>
      <c r="C359" s="67"/>
      <c r="D359" s="68"/>
      <c r="E359" s="68"/>
      <c r="F359" s="68"/>
      <c r="G359" s="67"/>
      <c r="H359" s="67"/>
      <c r="I359" s="67"/>
      <c r="J359" s="68"/>
      <c r="K359" s="68"/>
      <c r="S359" s="32"/>
      <c r="T359" s="32"/>
      <c r="U359" s="61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23"/>
      <c r="AG359" s="23"/>
      <c r="AH359" s="27"/>
    </row>
    <row r="360" spans="1:34" x14ac:dyDescent="0.25">
      <c r="A360" s="69"/>
      <c r="B360" s="67"/>
      <c r="C360" s="67"/>
      <c r="D360" s="70"/>
      <c r="E360" s="70"/>
      <c r="F360" s="70"/>
      <c r="G360" s="67"/>
      <c r="H360" s="67"/>
      <c r="I360" s="67"/>
      <c r="J360" s="68"/>
      <c r="K360" s="68"/>
      <c r="S360" s="32"/>
      <c r="T360" s="32"/>
      <c r="U360" s="61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23"/>
      <c r="AG360" s="23"/>
      <c r="AH360" s="27"/>
    </row>
    <row r="361" spans="1:34" x14ac:dyDescent="0.25">
      <c r="A361" s="69"/>
      <c r="B361" s="67"/>
      <c r="C361" s="67"/>
      <c r="D361" s="70"/>
      <c r="E361" s="70"/>
      <c r="F361" s="70"/>
      <c r="G361" s="67"/>
      <c r="H361" s="67"/>
      <c r="I361" s="67"/>
      <c r="J361" s="68"/>
      <c r="K361" s="68"/>
      <c r="S361" s="32"/>
      <c r="T361" s="32"/>
      <c r="U361" s="61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23"/>
      <c r="AG361" s="23"/>
      <c r="AH361" s="27"/>
    </row>
    <row r="362" spans="1:34" x14ac:dyDescent="0.25">
      <c r="A362" s="69"/>
      <c r="B362" s="67"/>
      <c r="C362" s="67"/>
      <c r="D362" s="70"/>
      <c r="E362" s="70"/>
      <c r="F362" s="70"/>
      <c r="G362" s="67"/>
      <c r="H362" s="67"/>
      <c r="I362" s="67"/>
      <c r="J362" s="68"/>
      <c r="K362" s="68"/>
      <c r="S362" s="32"/>
      <c r="T362" s="32"/>
      <c r="U362" s="61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23"/>
      <c r="AG362" s="23"/>
      <c r="AH362" s="27"/>
    </row>
    <row r="363" spans="1:34" x14ac:dyDescent="0.25">
      <c r="A363" s="69"/>
      <c r="B363" s="67"/>
      <c r="C363" s="67"/>
      <c r="D363" s="68"/>
      <c r="E363" s="68"/>
      <c r="F363" s="68"/>
      <c r="G363" s="67"/>
      <c r="H363" s="67"/>
      <c r="I363" s="67"/>
      <c r="J363" s="68"/>
      <c r="K363" s="68"/>
      <c r="S363" s="32"/>
      <c r="T363" s="32"/>
      <c r="U363" s="61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23"/>
      <c r="AG363" s="23"/>
      <c r="AH363" s="27"/>
    </row>
    <row r="364" spans="1:34" x14ac:dyDescent="0.25">
      <c r="A364" s="69"/>
      <c r="B364" s="67"/>
      <c r="C364" s="67"/>
      <c r="D364" s="68"/>
      <c r="E364" s="68"/>
      <c r="F364" s="68"/>
      <c r="G364" s="67"/>
      <c r="H364" s="67"/>
      <c r="I364" s="67"/>
      <c r="J364" s="68"/>
      <c r="K364" s="68"/>
      <c r="S364" s="32"/>
      <c r="T364" s="32"/>
      <c r="U364" s="61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23"/>
      <c r="AG364" s="23"/>
      <c r="AH364" s="27"/>
    </row>
    <row r="365" spans="1:34" x14ac:dyDescent="0.25">
      <c r="A365" s="69"/>
      <c r="B365" s="67"/>
      <c r="C365" s="67"/>
      <c r="D365" s="68"/>
      <c r="E365" s="68"/>
      <c r="F365" s="68"/>
      <c r="G365" s="67"/>
      <c r="H365" s="67"/>
      <c r="I365" s="67"/>
      <c r="J365" s="68"/>
      <c r="K365" s="68"/>
      <c r="S365" s="32"/>
      <c r="T365" s="32"/>
      <c r="U365" s="61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23"/>
      <c r="AG365" s="23"/>
      <c r="AH365" s="27"/>
    </row>
    <row r="366" spans="1:34" x14ac:dyDescent="0.25">
      <c r="A366" s="69"/>
      <c r="B366" s="67"/>
      <c r="C366" s="67"/>
      <c r="D366" s="68"/>
      <c r="E366" s="68"/>
      <c r="F366" s="68"/>
      <c r="G366" s="67"/>
      <c r="H366" s="67"/>
      <c r="I366" s="67"/>
      <c r="J366" s="68"/>
      <c r="K366" s="68"/>
      <c r="S366" s="32"/>
      <c r="T366" s="32"/>
      <c r="U366" s="61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23"/>
      <c r="AG366" s="23"/>
      <c r="AH366" s="27"/>
    </row>
    <row r="367" spans="1:34" x14ac:dyDescent="0.25">
      <c r="A367" s="69"/>
      <c r="B367" s="67"/>
      <c r="C367" s="67"/>
      <c r="D367" s="68"/>
      <c r="E367" s="68"/>
      <c r="F367" s="68"/>
      <c r="G367" s="67"/>
      <c r="H367" s="67"/>
      <c r="I367" s="67"/>
      <c r="J367" s="68"/>
      <c r="K367" s="68"/>
      <c r="S367" s="32"/>
      <c r="T367" s="32"/>
      <c r="U367" s="61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23"/>
      <c r="AG367" s="23"/>
      <c r="AH367" s="27"/>
    </row>
    <row r="368" spans="1:34" x14ac:dyDescent="0.25">
      <c r="A368" s="69"/>
      <c r="B368" s="67"/>
      <c r="C368" s="67"/>
      <c r="D368" s="68"/>
      <c r="E368" s="68"/>
      <c r="F368" s="68"/>
      <c r="G368" s="67"/>
      <c r="H368" s="67"/>
      <c r="I368" s="67"/>
      <c r="J368" s="68"/>
      <c r="K368" s="68"/>
      <c r="S368" s="32"/>
      <c r="T368" s="32"/>
      <c r="U368" s="61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23"/>
      <c r="AG368" s="23"/>
      <c r="AH368" s="27"/>
    </row>
    <row r="369" spans="1:34" x14ac:dyDescent="0.25">
      <c r="A369" s="69"/>
      <c r="B369" s="67"/>
      <c r="C369" s="67"/>
      <c r="D369" s="68"/>
      <c r="E369" s="68"/>
      <c r="F369" s="68"/>
      <c r="G369" s="67"/>
      <c r="H369" s="67"/>
      <c r="I369" s="67"/>
      <c r="J369" s="68"/>
      <c r="K369" s="68"/>
      <c r="S369" s="32"/>
      <c r="T369" s="32"/>
      <c r="U369" s="61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23"/>
      <c r="AG369" s="23"/>
      <c r="AH369" s="27"/>
    </row>
    <row r="370" spans="1:34" x14ac:dyDescent="0.25">
      <c r="A370" s="69"/>
      <c r="B370" s="67"/>
      <c r="C370" s="67"/>
      <c r="D370" s="68"/>
      <c r="E370" s="68"/>
      <c r="F370" s="68"/>
      <c r="G370" s="67"/>
      <c r="H370" s="67"/>
      <c r="I370" s="67"/>
      <c r="J370" s="68"/>
      <c r="K370" s="68"/>
      <c r="S370" s="32"/>
      <c r="T370" s="32"/>
      <c r="U370" s="61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23"/>
      <c r="AG370" s="23"/>
      <c r="AH370" s="27"/>
    </row>
    <row r="371" spans="1:34" x14ac:dyDescent="0.25">
      <c r="A371" s="69"/>
      <c r="B371" s="67"/>
      <c r="C371" s="67"/>
      <c r="D371" s="68"/>
      <c r="E371" s="68"/>
      <c r="F371" s="68"/>
      <c r="G371" s="67"/>
      <c r="H371" s="67"/>
      <c r="I371" s="67"/>
      <c r="J371" s="68"/>
      <c r="K371" s="68"/>
      <c r="S371" s="32"/>
      <c r="T371" s="32"/>
      <c r="U371" s="61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23"/>
      <c r="AG371" s="23"/>
      <c r="AH371" s="27"/>
    </row>
    <row r="372" spans="1:34" x14ac:dyDescent="0.25">
      <c r="A372" s="69"/>
      <c r="B372" s="67"/>
      <c r="C372" s="67"/>
      <c r="D372" s="68"/>
      <c r="E372" s="68"/>
      <c r="F372" s="68"/>
      <c r="G372" s="67"/>
      <c r="H372" s="67"/>
      <c r="I372" s="67"/>
      <c r="J372" s="68"/>
      <c r="K372" s="68"/>
      <c r="S372" s="32"/>
      <c r="T372" s="32"/>
      <c r="U372" s="61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23"/>
      <c r="AG372" s="23"/>
      <c r="AH372" s="27"/>
    </row>
    <row r="373" spans="1:34" x14ac:dyDescent="0.25">
      <c r="A373" s="69"/>
      <c r="B373" s="67"/>
      <c r="C373" s="67"/>
      <c r="D373" s="68"/>
      <c r="E373" s="68"/>
      <c r="F373" s="68"/>
      <c r="G373" s="67"/>
      <c r="H373" s="67"/>
      <c r="I373" s="67"/>
      <c r="J373" s="68"/>
      <c r="K373" s="68"/>
      <c r="S373" s="32"/>
      <c r="T373" s="32"/>
      <c r="U373" s="61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23"/>
      <c r="AG373" s="23"/>
      <c r="AH373" s="27"/>
    </row>
    <row r="374" spans="1:34" x14ac:dyDescent="0.25">
      <c r="A374" s="69"/>
      <c r="B374" s="67"/>
      <c r="C374" s="67"/>
      <c r="D374" s="68"/>
      <c r="E374" s="68"/>
      <c r="F374" s="68"/>
      <c r="G374" s="67"/>
      <c r="H374" s="67"/>
      <c r="I374" s="67"/>
      <c r="J374" s="68"/>
      <c r="K374" s="68"/>
      <c r="S374" s="32"/>
      <c r="T374" s="32"/>
      <c r="U374" s="61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23"/>
      <c r="AG374" s="23"/>
      <c r="AH374" s="27"/>
    </row>
    <row r="375" spans="1:34" x14ac:dyDescent="0.25">
      <c r="A375" s="69"/>
      <c r="B375" s="67"/>
      <c r="C375" s="67"/>
      <c r="D375" s="68"/>
      <c r="E375" s="68"/>
      <c r="F375" s="68"/>
      <c r="G375" s="67"/>
      <c r="H375" s="67"/>
      <c r="I375" s="67"/>
      <c r="J375" s="68"/>
      <c r="K375" s="68"/>
      <c r="S375" s="32"/>
      <c r="T375" s="32"/>
      <c r="U375" s="61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23"/>
      <c r="AG375" s="23"/>
      <c r="AH375" s="27"/>
    </row>
    <row r="376" spans="1:34" x14ac:dyDescent="0.25">
      <c r="A376" s="69"/>
      <c r="B376" s="67"/>
      <c r="C376" s="67"/>
      <c r="D376" s="68"/>
      <c r="E376" s="68"/>
      <c r="F376" s="68"/>
      <c r="G376" s="67"/>
      <c r="H376" s="67"/>
      <c r="I376" s="67"/>
      <c r="J376" s="68"/>
      <c r="K376" s="68"/>
      <c r="S376" s="32"/>
      <c r="T376" s="32"/>
      <c r="U376" s="61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23"/>
      <c r="AG376" s="23"/>
      <c r="AH376" s="27"/>
    </row>
    <row r="377" spans="1:34" x14ac:dyDescent="0.25">
      <c r="A377" s="69"/>
      <c r="B377" s="67"/>
      <c r="C377" s="67"/>
      <c r="D377" s="68"/>
      <c r="E377" s="68"/>
      <c r="F377" s="68"/>
      <c r="G377" s="67"/>
      <c r="H377" s="67"/>
      <c r="I377" s="67"/>
      <c r="J377" s="68"/>
      <c r="K377" s="68"/>
      <c r="S377" s="32"/>
      <c r="T377" s="32"/>
      <c r="U377" s="61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23"/>
      <c r="AG377" s="23"/>
      <c r="AH377" s="27"/>
    </row>
    <row r="378" spans="1:34" x14ac:dyDescent="0.25">
      <c r="A378" s="69"/>
      <c r="B378" s="67"/>
      <c r="C378" s="67"/>
      <c r="D378" s="68"/>
      <c r="E378" s="68"/>
      <c r="F378" s="68"/>
      <c r="G378" s="67"/>
      <c r="H378" s="67"/>
      <c r="I378" s="67"/>
      <c r="J378" s="68"/>
      <c r="K378" s="68"/>
      <c r="S378" s="32"/>
      <c r="T378" s="32"/>
      <c r="U378" s="61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23"/>
      <c r="AG378" s="23"/>
      <c r="AH378" s="27"/>
    </row>
    <row r="379" spans="1:34" x14ac:dyDescent="0.25">
      <c r="A379" s="69"/>
      <c r="B379" s="67"/>
      <c r="C379" s="67"/>
      <c r="D379" s="68"/>
      <c r="E379" s="68"/>
      <c r="F379" s="68"/>
      <c r="G379" s="67"/>
      <c r="H379" s="67"/>
      <c r="I379" s="67"/>
      <c r="J379" s="68"/>
      <c r="K379" s="68"/>
      <c r="S379" s="32"/>
      <c r="T379" s="32"/>
      <c r="U379" s="61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23"/>
      <c r="AG379" s="23"/>
      <c r="AH379" s="27"/>
    </row>
    <row r="380" spans="1:34" x14ac:dyDescent="0.25">
      <c r="A380" s="69"/>
      <c r="B380" s="67"/>
      <c r="C380" s="67"/>
      <c r="D380" s="68"/>
      <c r="E380" s="68"/>
      <c r="F380" s="68"/>
      <c r="G380" s="67"/>
      <c r="H380" s="67"/>
      <c r="I380" s="67"/>
      <c r="J380" s="68"/>
      <c r="K380" s="68"/>
      <c r="S380" s="32"/>
      <c r="T380" s="32"/>
      <c r="U380" s="61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23"/>
      <c r="AG380" s="23"/>
      <c r="AH380" s="27"/>
    </row>
    <row r="381" spans="1:34" x14ac:dyDescent="0.25">
      <c r="A381" s="69"/>
      <c r="B381" s="67"/>
      <c r="C381" s="67"/>
      <c r="D381" s="68"/>
      <c r="E381" s="68"/>
      <c r="F381" s="68"/>
      <c r="G381" s="67"/>
      <c r="H381" s="67"/>
      <c r="I381" s="67"/>
      <c r="J381" s="68"/>
      <c r="K381" s="68"/>
      <c r="S381" s="32"/>
      <c r="T381" s="32"/>
      <c r="U381" s="61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23"/>
      <c r="AG381" s="23"/>
      <c r="AH381" s="27"/>
    </row>
    <row r="382" spans="1:34" x14ac:dyDescent="0.25">
      <c r="A382" s="69"/>
      <c r="B382" s="67"/>
      <c r="C382" s="67"/>
      <c r="D382" s="68"/>
      <c r="E382" s="68"/>
      <c r="F382" s="68"/>
      <c r="G382" s="67"/>
      <c r="H382" s="67"/>
      <c r="I382" s="67"/>
      <c r="J382" s="68"/>
      <c r="K382" s="68"/>
      <c r="S382" s="32"/>
      <c r="T382" s="32"/>
      <c r="U382" s="61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23"/>
      <c r="AG382" s="23"/>
      <c r="AH382" s="27"/>
    </row>
    <row r="383" spans="1:34" x14ac:dyDescent="0.25">
      <c r="A383" s="69"/>
      <c r="B383" s="67"/>
      <c r="C383" s="67"/>
      <c r="D383" s="68"/>
      <c r="E383" s="68"/>
      <c r="F383" s="68"/>
      <c r="G383" s="67"/>
      <c r="H383" s="67"/>
      <c r="I383" s="67"/>
      <c r="J383" s="68"/>
      <c r="K383" s="68"/>
      <c r="S383" s="32"/>
      <c r="T383" s="32"/>
      <c r="U383" s="61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23"/>
      <c r="AG383" s="23"/>
      <c r="AH383" s="27"/>
    </row>
    <row r="384" spans="1:34" x14ac:dyDescent="0.25">
      <c r="A384" s="69"/>
      <c r="B384" s="67"/>
      <c r="C384" s="67"/>
      <c r="D384" s="70"/>
      <c r="E384" s="70"/>
      <c r="F384" s="70"/>
      <c r="G384" s="67"/>
      <c r="H384" s="67"/>
      <c r="I384" s="67"/>
      <c r="J384" s="68"/>
      <c r="K384" s="68"/>
      <c r="S384" s="32"/>
      <c r="T384" s="32"/>
      <c r="U384" s="61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23"/>
      <c r="AG384" s="23"/>
      <c r="AH384" s="27"/>
    </row>
    <row r="385" spans="1:34" x14ac:dyDescent="0.25">
      <c r="A385" s="69"/>
      <c r="B385" s="67"/>
      <c r="C385" s="67"/>
      <c r="D385" s="70"/>
      <c r="E385" s="70"/>
      <c r="F385" s="70"/>
      <c r="G385" s="67"/>
      <c r="H385" s="67"/>
      <c r="I385" s="67"/>
      <c r="J385" s="68"/>
      <c r="K385" s="68"/>
      <c r="S385" s="32"/>
      <c r="T385" s="32"/>
      <c r="U385" s="61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23"/>
      <c r="AG385" s="23"/>
      <c r="AH385" s="27"/>
    </row>
    <row r="386" spans="1:34" x14ac:dyDescent="0.25">
      <c r="A386" s="69"/>
      <c r="B386" s="67"/>
      <c r="C386" s="67"/>
      <c r="D386" s="70"/>
      <c r="E386" s="70"/>
      <c r="F386" s="70"/>
      <c r="G386" s="67"/>
      <c r="H386" s="67"/>
      <c r="I386" s="67"/>
      <c r="J386" s="68"/>
      <c r="K386" s="68"/>
      <c r="S386" s="32"/>
      <c r="T386" s="32"/>
      <c r="U386" s="61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23"/>
      <c r="AG386" s="23"/>
      <c r="AH386" s="27"/>
    </row>
    <row r="387" spans="1:34" x14ac:dyDescent="0.25">
      <c r="A387" s="69"/>
      <c r="B387" s="67"/>
      <c r="C387" s="67"/>
      <c r="D387" s="68"/>
      <c r="E387" s="68"/>
      <c r="F387" s="68"/>
      <c r="G387" s="67"/>
      <c r="H387" s="67"/>
      <c r="I387" s="67"/>
      <c r="J387" s="68"/>
      <c r="K387" s="68"/>
      <c r="S387" s="32"/>
      <c r="T387" s="32"/>
      <c r="U387" s="61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23"/>
      <c r="AG387" s="23"/>
      <c r="AH387" s="27"/>
    </row>
    <row r="388" spans="1:34" x14ac:dyDescent="0.25">
      <c r="A388" s="69"/>
      <c r="B388" s="67"/>
      <c r="C388" s="67"/>
      <c r="D388" s="68"/>
      <c r="E388" s="68"/>
      <c r="F388" s="68"/>
      <c r="G388" s="67"/>
      <c r="H388" s="67"/>
      <c r="I388" s="67"/>
      <c r="J388" s="68"/>
      <c r="K388" s="68"/>
      <c r="S388" s="32"/>
      <c r="T388" s="32"/>
      <c r="U388" s="61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23"/>
      <c r="AG388" s="23"/>
      <c r="AH388" s="27"/>
    </row>
    <row r="389" spans="1:34" x14ac:dyDescent="0.25">
      <c r="A389" s="69"/>
      <c r="B389" s="67"/>
      <c r="C389" s="67"/>
      <c r="D389" s="68"/>
      <c r="E389" s="68"/>
      <c r="F389" s="68"/>
      <c r="G389" s="67"/>
      <c r="H389" s="67"/>
      <c r="I389" s="67"/>
      <c r="J389" s="68"/>
      <c r="K389" s="68"/>
      <c r="S389" s="32"/>
      <c r="T389" s="32"/>
      <c r="U389" s="61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23"/>
      <c r="AG389" s="23"/>
      <c r="AH389" s="27"/>
    </row>
    <row r="390" spans="1:34" x14ac:dyDescent="0.25">
      <c r="A390" s="69"/>
      <c r="B390" s="67"/>
      <c r="C390" s="67"/>
      <c r="D390" s="68"/>
      <c r="E390" s="68"/>
      <c r="F390" s="68"/>
      <c r="G390" s="67"/>
      <c r="H390" s="67"/>
      <c r="I390" s="67"/>
      <c r="J390" s="68"/>
      <c r="K390" s="68"/>
      <c r="S390" s="32"/>
      <c r="T390" s="32"/>
      <c r="U390" s="61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23"/>
      <c r="AG390" s="23"/>
      <c r="AH390" s="27"/>
    </row>
    <row r="391" spans="1:34" x14ac:dyDescent="0.25">
      <c r="A391" s="69"/>
      <c r="B391" s="67"/>
      <c r="C391" s="67"/>
      <c r="D391" s="68"/>
      <c r="E391" s="68"/>
      <c r="F391" s="68"/>
      <c r="G391" s="67"/>
      <c r="H391" s="67"/>
      <c r="I391" s="67"/>
      <c r="J391" s="68"/>
      <c r="K391" s="68"/>
      <c r="S391" s="32"/>
      <c r="T391" s="32"/>
      <c r="U391" s="61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23"/>
      <c r="AG391" s="23"/>
      <c r="AH391" s="27"/>
    </row>
    <row r="392" spans="1:34" x14ac:dyDescent="0.25">
      <c r="A392" s="69"/>
      <c r="B392" s="67"/>
      <c r="C392" s="67"/>
      <c r="D392" s="68"/>
      <c r="E392" s="68"/>
      <c r="F392" s="68"/>
      <c r="G392" s="67"/>
      <c r="H392" s="67"/>
      <c r="I392" s="67"/>
      <c r="J392" s="68"/>
      <c r="K392" s="68"/>
      <c r="S392" s="32"/>
      <c r="T392" s="32"/>
      <c r="U392" s="61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23"/>
      <c r="AG392" s="23"/>
      <c r="AH392" s="27"/>
    </row>
    <row r="393" spans="1:34" x14ac:dyDescent="0.25">
      <c r="A393" s="69"/>
      <c r="B393" s="67"/>
      <c r="C393" s="67"/>
      <c r="D393" s="68"/>
      <c r="E393" s="68"/>
      <c r="F393" s="68"/>
      <c r="G393" s="67"/>
      <c r="H393" s="67"/>
      <c r="I393" s="67"/>
      <c r="J393" s="68"/>
      <c r="K393" s="68"/>
      <c r="S393" s="32"/>
      <c r="T393" s="32"/>
      <c r="U393" s="61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23"/>
      <c r="AG393" s="23"/>
      <c r="AH393" s="27"/>
    </row>
    <row r="394" spans="1:34" x14ac:dyDescent="0.25">
      <c r="A394" s="69"/>
      <c r="B394" s="67"/>
      <c r="C394" s="67"/>
      <c r="D394" s="68"/>
      <c r="E394" s="68"/>
      <c r="F394" s="68"/>
      <c r="G394" s="67"/>
      <c r="H394" s="67"/>
      <c r="I394" s="67"/>
      <c r="J394" s="68"/>
      <c r="K394" s="68"/>
      <c r="S394" s="32"/>
      <c r="T394" s="32"/>
      <c r="U394" s="61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23"/>
      <c r="AG394" s="23"/>
      <c r="AH394" s="27"/>
    </row>
    <row r="395" spans="1:34" x14ac:dyDescent="0.25">
      <c r="A395" s="69"/>
      <c r="B395" s="67"/>
      <c r="C395" s="67"/>
      <c r="D395" s="68"/>
      <c r="E395" s="68"/>
      <c r="F395" s="68"/>
      <c r="G395" s="67"/>
      <c r="H395" s="67"/>
      <c r="I395" s="67"/>
      <c r="J395" s="68"/>
      <c r="K395" s="68"/>
      <c r="S395" s="32"/>
      <c r="T395" s="32"/>
      <c r="U395" s="61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23"/>
      <c r="AG395" s="23"/>
      <c r="AH395" s="27"/>
    </row>
    <row r="396" spans="1:34" x14ac:dyDescent="0.25">
      <c r="A396" s="69"/>
      <c r="B396" s="67"/>
      <c r="C396" s="67"/>
      <c r="D396" s="68"/>
      <c r="E396" s="68"/>
      <c r="F396" s="68"/>
      <c r="G396" s="67"/>
      <c r="H396" s="67"/>
      <c r="I396" s="67"/>
      <c r="J396" s="68"/>
      <c r="K396" s="68"/>
      <c r="S396" s="32"/>
      <c r="T396" s="32"/>
      <c r="U396" s="61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23"/>
      <c r="AG396" s="23"/>
      <c r="AH396" s="27"/>
    </row>
    <row r="397" spans="1:34" x14ac:dyDescent="0.25">
      <c r="A397" s="69"/>
      <c r="B397" s="67"/>
      <c r="C397" s="67"/>
      <c r="D397" s="68"/>
      <c r="E397" s="68"/>
      <c r="F397" s="68"/>
      <c r="G397" s="67"/>
      <c r="H397" s="67"/>
      <c r="I397" s="67"/>
      <c r="J397" s="68"/>
      <c r="K397" s="68"/>
      <c r="S397" s="32"/>
      <c r="T397" s="32"/>
      <c r="U397" s="61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23"/>
      <c r="AG397" s="23"/>
      <c r="AH397" s="27"/>
    </row>
    <row r="398" spans="1:34" x14ac:dyDescent="0.25">
      <c r="A398" s="69"/>
      <c r="B398" s="67"/>
      <c r="C398" s="67"/>
      <c r="D398" s="68"/>
      <c r="E398" s="68"/>
      <c r="F398" s="68"/>
      <c r="G398" s="67"/>
      <c r="H398" s="67"/>
      <c r="I398" s="67"/>
      <c r="J398" s="68"/>
      <c r="K398" s="68"/>
      <c r="S398" s="32"/>
      <c r="T398" s="32"/>
      <c r="U398" s="61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23"/>
      <c r="AG398" s="23"/>
      <c r="AH398" s="27"/>
    </row>
    <row r="399" spans="1:34" x14ac:dyDescent="0.25">
      <c r="A399" s="69"/>
      <c r="B399" s="67"/>
      <c r="C399" s="67"/>
      <c r="D399" s="68"/>
      <c r="E399" s="68"/>
      <c r="F399" s="68"/>
      <c r="G399" s="67"/>
      <c r="H399" s="67"/>
      <c r="I399" s="67"/>
      <c r="J399" s="68"/>
      <c r="K399" s="68"/>
      <c r="S399" s="32"/>
      <c r="T399" s="32"/>
      <c r="U399" s="61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23"/>
      <c r="AG399" s="23"/>
      <c r="AH399" s="27"/>
    </row>
    <row r="400" spans="1:34" x14ac:dyDescent="0.25">
      <c r="A400" s="69"/>
      <c r="B400" s="67"/>
      <c r="C400" s="67"/>
      <c r="D400" s="68"/>
      <c r="E400" s="68"/>
      <c r="F400" s="68"/>
      <c r="G400" s="67"/>
      <c r="H400" s="67"/>
      <c r="I400" s="67"/>
      <c r="J400" s="68"/>
      <c r="K400" s="68"/>
      <c r="S400" s="32"/>
      <c r="T400" s="32"/>
      <c r="U400" s="61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23"/>
      <c r="AG400" s="23"/>
      <c r="AH400" s="27"/>
    </row>
    <row r="401" spans="1:34" x14ac:dyDescent="0.25">
      <c r="A401" s="69"/>
      <c r="B401" s="67"/>
      <c r="C401" s="67"/>
      <c r="D401" s="68"/>
      <c r="E401" s="68"/>
      <c r="F401" s="68"/>
      <c r="G401" s="67"/>
      <c r="H401" s="67"/>
      <c r="I401" s="67"/>
      <c r="J401" s="68"/>
      <c r="K401" s="68"/>
      <c r="S401" s="32"/>
      <c r="T401" s="32"/>
      <c r="U401" s="61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23"/>
      <c r="AG401" s="23"/>
      <c r="AH401" s="27"/>
    </row>
    <row r="402" spans="1:34" x14ac:dyDescent="0.25">
      <c r="A402" s="69"/>
      <c r="B402" s="67"/>
      <c r="C402" s="67"/>
      <c r="D402" s="68"/>
      <c r="E402" s="68"/>
      <c r="F402" s="68"/>
      <c r="G402" s="67"/>
      <c r="H402" s="67"/>
      <c r="I402" s="67"/>
      <c r="J402" s="68"/>
      <c r="K402" s="68"/>
      <c r="S402" s="32"/>
      <c r="T402" s="32"/>
      <c r="U402" s="61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23"/>
      <c r="AG402" s="23"/>
      <c r="AH402" s="27"/>
    </row>
    <row r="403" spans="1:34" x14ac:dyDescent="0.25">
      <c r="A403" s="69"/>
      <c r="B403" s="67"/>
      <c r="C403" s="67"/>
      <c r="D403" s="68"/>
      <c r="E403" s="68"/>
      <c r="F403" s="68"/>
      <c r="G403" s="67"/>
      <c r="H403" s="67"/>
      <c r="I403" s="67"/>
      <c r="J403" s="68"/>
      <c r="K403" s="68"/>
      <c r="S403" s="32"/>
      <c r="T403" s="32"/>
      <c r="U403" s="61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23"/>
      <c r="AG403" s="23"/>
      <c r="AH403" s="27"/>
    </row>
    <row r="404" spans="1:34" x14ac:dyDescent="0.25">
      <c r="A404" s="69"/>
      <c r="B404" s="67"/>
      <c r="C404" s="67"/>
      <c r="D404" s="68"/>
      <c r="E404" s="68"/>
      <c r="F404" s="68"/>
      <c r="G404" s="67"/>
      <c r="H404" s="67"/>
      <c r="I404" s="67"/>
      <c r="J404" s="68"/>
      <c r="K404" s="68"/>
      <c r="S404" s="32"/>
      <c r="T404" s="32"/>
      <c r="U404" s="61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23"/>
      <c r="AG404" s="23"/>
      <c r="AH404" s="27"/>
    </row>
    <row r="405" spans="1:34" x14ac:dyDescent="0.25">
      <c r="A405" s="69"/>
      <c r="B405" s="67"/>
      <c r="C405" s="67"/>
      <c r="D405" s="68"/>
      <c r="E405" s="68"/>
      <c r="F405" s="68"/>
      <c r="G405" s="67"/>
      <c r="H405" s="67"/>
      <c r="I405" s="67"/>
      <c r="J405" s="68"/>
      <c r="K405" s="68"/>
      <c r="S405" s="32"/>
      <c r="T405" s="32"/>
      <c r="U405" s="61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23"/>
      <c r="AG405" s="23"/>
      <c r="AH405" s="27"/>
    </row>
    <row r="406" spans="1:34" x14ac:dyDescent="0.25">
      <c r="A406" s="69"/>
      <c r="B406" s="67"/>
      <c r="C406" s="67"/>
      <c r="D406" s="68"/>
      <c r="E406" s="68"/>
      <c r="F406" s="68"/>
      <c r="G406" s="67"/>
      <c r="H406" s="67"/>
      <c r="I406" s="67"/>
      <c r="J406" s="68"/>
      <c r="K406" s="68"/>
      <c r="S406" s="32"/>
      <c r="T406" s="32"/>
      <c r="U406" s="61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23"/>
      <c r="AG406" s="23"/>
      <c r="AH406" s="27"/>
    </row>
    <row r="407" spans="1:34" x14ac:dyDescent="0.25">
      <c r="A407" s="69"/>
      <c r="B407" s="67"/>
      <c r="C407" s="67"/>
      <c r="D407" s="68"/>
      <c r="E407" s="68"/>
      <c r="F407" s="68"/>
      <c r="G407" s="67"/>
      <c r="H407" s="67"/>
      <c r="I407" s="67"/>
      <c r="J407" s="68"/>
      <c r="K407" s="68"/>
      <c r="S407" s="32"/>
      <c r="T407" s="32"/>
      <c r="U407" s="61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23"/>
      <c r="AG407" s="23"/>
      <c r="AH407" s="27"/>
    </row>
    <row r="408" spans="1:34" x14ac:dyDescent="0.25">
      <c r="A408" s="69"/>
      <c r="B408" s="67"/>
      <c r="C408" s="67"/>
      <c r="D408" s="70"/>
      <c r="E408" s="70"/>
      <c r="F408" s="70"/>
      <c r="G408" s="67"/>
      <c r="H408" s="67"/>
      <c r="I408" s="67"/>
      <c r="J408" s="68"/>
      <c r="K408" s="68"/>
      <c r="S408" s="32"/>
      <c r="T408" s="32"/>
      <c r="U408" s="61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23"/>
      <c r="AG408" s="23"/>
      <c r="AH408" s="27"/>
    </row>
    <row r="409" spans="1:34" x14ac:dyDescent="0.25">
      <c r="A409" s="69"/>
      <c r="B409" s="67"/>
      <c r="C409" s="67"/>
      <c r="D409" s="70"/>
      <c r="E409" s="70"/>
      <c r="F409" s="70"/>
      <c r="G409" s="67"/>
      <c r="H409" s="67"/>
      <c r="I409" s="67"/>
      <c r="J409" s="68"/>
      <c r="K409" s="68"/>
      <c r="S409" s="32"/>
      <c r="T409" s="32"/>
      <c r="U409" s="61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23"/>
      <c r="AG409" s="23"/>
      <c r="AH409" s="27"/>
    </row>
    <row r="410" spans="1:34" x14ac:dyDescent="0.25">
      <c r="A410" s="69"/>
      <c r="B410" s="67"/>
      <c r="C410" s="67"/>
      <c r="D410" s="70"/>
      <c r="E410" s="70"/>
      <c r="F410" s="70"/>
      <c r="G410" s="67"/>
      <c r="H410" s="67"/>
      <c r="I410" s="67"/>
      <c r="J410" s="68"/>
      <c r="K410" s="68"/>
      <c r="S410" s="32"/>
      <c r="T410" s="32"/>
      <c r="U410" s="61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23"/>
      <c r="AG410" s="23"/>
      <c r="AH410" s="27"/>
    </row>
    <row r="411" spans="1:34" x14ac:dyDescent="0.25">
      <c r="A411" s="69"/>
      <c r="B411" s="67"/>
      <c r="C411" s="67"/>
      <c r="D411" s="68"/>
      <c r="E411" s="68"/>
      <c r="F411" s="68"/>
      <c r="G411" s="67"/>
      <c r="H411" s="67"/>
      <c r="I411" s="67"/>
      <c r="J411" s="68"/>
      <c r="K411" s="68"/>
      <c r="S411" s="32"/>
      <c r="T411" s="32"/>
      <c r="U411" s="61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23"/>
      <c r="AG411" s="23"/>
      <c r="AH411" s="27"/>
    </row>
    <row r="412" spans="1:34" x14ac:dyDescent="0.25">
      <c r="A412" s="69"/>
      <c r="B412" s="67"/>
      <c r="C412" s="67"/>
      <c r="D412" s="68"/>
      <c r="E412" s="68"/>
      <c r="F412" s="68"/>
      <c r="G412" s="67"/>
      <c r="H412" s="67"/>
      <c r="I412" s="67"/>
      <c r="J412" s="68"/>
      <c r="K412" s="68"/>
      <c r="S412" s="32"/>
      <c r="T412" s="32"/>
      <c r="U412" s="61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23"/>
      <c r="AG412" s="23"/>
      <c r="AH412" s="27"/>
    </row>
    <row r="413" spans="1:34" x14ac:dyDescent="0.25">
      <c r="A413" s="69"/>
      <c r="B413" s="67"/>
      <c r="C413" s="67"/>
      <c r="D413" s="68"/>
      <c r="E413" s="68"/>
      <c r="F413" s="68"/>
      <c r="G413" s="67"/>
      <c r="H413" s="67"/>
      <c r="I413" s="67"/>
      <c r="J413" s="68"/>
      <c r="K413" s="68"/>
      <c r="S413" s="32"/>
      <c r="T413" s="32"/>
      <c r="U413" s="61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23"/>
      <c r="AG413" s="23"/>
      <c r="AH413" s="27"/>
    </row>
    <row r="414" spans="1:34" x14ac:dyDescent="0.25">
      <c r="A414" s="69"/>
      <c r="B414" s="67"/>
      <c r="C414" s="67"/>
      <c r="D414" s="68"/>
      <c r="E414" s="68"/>
      <c r="F414" s="68"/>
      <c r="G414" s="67"/>
      <c r="H414" s="67"/>
      <c r="I414" s="67"/>
      <c r="J414" s="68"/>
      <c r="K414" s="68"/>
      <c r="S414" s="32"/>
      <c r="T414" s="32"/>
      <c r="U414" s="61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23"/>
      <c r="AG414" s="23"/>
      <c r="AH414" s="27"/>
    </row>
    <row r="415" spans="1:34" x14ac:dyDescent="0.25">
      <c r="A415" s="69"/>
      <c r="B415" s="67"/>
      <c r="C415" s="67"/>
      <c r="D415" s="68"/>
      <c r="E415" s="68"/>
      <c r="F415" s="68"/>
      <c r="G415" s="67"/>
      <c r="H415" s="67"/>
      <c r="I415" s="67"/>
      <c r="J415" s="68"/>
      <c r="K415" s="68"/>
      <c r="S415" s="32"/>
      <c r="T415" s="32"/>
      <c r="U415" s="61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23"/>
      <c r="AG415" s="23"/>
      <c r="AH415" s="27"/>
    </row>
    <row r="416" spans="1:34" x14ac:dyDescent="0.25">
      <c r="A416" s="69"/>
      <c r="B416" s="67"/>
      <c r="C416" s="67"/>
      <c r="D416" s="68"/>
      <c r="E416" s="68"/>
      <c r="F416" s="68"/>
      <c r="G416" s="67"/>
      <c r="H416" s="67"/>
      <c r="I416" s="67"/>
      <c r="J416" s="68"/>
      <c r="K416" s="68"/>
      <c r="S416" s="32"/>
      <c r="T416" s="32"/>
      <c r="U416" s="61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23"/>
      <c r="AG416" s="23"/>
      <c r="AH416" s="27"/>
    </row>
    <row r="417" spans="1:34" x14ac:dyDescent="0.25">
      <c r="A417" s="69"/>
      <c r="B417" s="67"/>
      <c r="C417" s="67"/>
      <c r="D417" s="68"/>
      <c r="E417" s="68"/>
      <c r="F417" s="68"/>
      <c r="G417" s="67"/>
      <c r="H417" s="67"/>
      <c r="I417" s="67"/>
      <c r="J417" s="68"/>
      <c r="K417" s="68"/>
      <c r="S417" s="32"/>
      <c r="T417" s="32"/>
      <c r="U417" s="61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23"/>
      <c r="AG417" s="23"/>
      <c r="AH417" s="27"/>
    </row>
    <row r="418" spans="1:34" x14ac:dyDescent="0.25">
      <c r="A418" s="69"/>
      <c r="B418" s="67"/>
      <c r="C418" s="67"/>
      <c r="D418" s="68"/>
      <c r="E418" s="68"/>
      <c r="F418" s="68"/>
      <c r="G418" s="67"/>
      <c r="H418" s="67"/>
      <c r="I418" s="67"/>
      <c r="J418" s="68"/>
      <c r="K418" s="68"/>
      <c r="S418" s="32"/>
      <c r="T418" s="32"/>
      <c r="U418" s="61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23"/>
      <c r="AG418" s="23"/>
      <c r="AH418" s="27"/>
    </row>
    <row r="419" spans="1:34" x14ac:dyDescent="0.25">
      <c r="A419" s="69"/>
      <c r="B419" s="67"/>
      <c r="C419" s="67"/>
      <c r="D419" s="68"/>
      <c r="E419" s="68"/>
      <c r="F419" s="68"/>
      <c r="G419" s="67"/>
      <c r="H419" s="67"/>
      <c r="I419" s="67"/>
      <c r="J419" s="68"/>
      <c r="K419" s="68"/>
      <c r="S419" s="32"/>
      <c r="T419" s="32"/>
      <c r="U419" s="61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23"/>
      <c r="AG419" s="23"/>
      <c r="AH419" s="27"/>
    </row>
    <row r="420" spans="1:34" x14ac:dyDescent="0.25">
      <c r="A420" s="69"/>
      <c r="B420" s="67"/>
      <c r="C420" s="67"/>
      <c r="D420" s="68"/>
      <c r="E420" s="68"/>
      <c r="F420" s="68"/>
      <c r="G420" s="67"/>
      <c r="H420" s="67"/>
      <c r="I420" s="67"/>
      <c r="J420" s="68"/>
      <c r="K420" s="68"/>
      <c r="S420" s="32"/>
      <c r="T420" s="32"/>
      <c r="U420" s="61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23"/>
      <c r="AG420" s="23"/>
      <c r="AH420" s="27"/>
    </row>
    <row r="421" spans="1:34" x14ac:dyDescent="0.25">
      <c r="A421" s="69"/>
      <c r="B421" s="67"/>
      <c r="C421" s="67"/>
      <c r="D421" s="68"/>
      <c r="E421" s="68"/>
      <c r="F421" s="68"/>
      <c r="G421" s="67"/>
      <c r="H421" s="67"/>
      <c r="I421" s="67"/>
      <c r="J421" s="68"/>
      <c r="K421" s="68"/>
      <c r="S421" s="32"/>
      <c r="T421" s="32"/>
      <c r="U421" s="61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23"/>
      <c r="AG421" s="23"/>
      <c r="AH421" s="27"/>
    </row>
    <row r="422" spans="1:34" x14ac:dyDescent="0.25">
      <c r="A422" s="69"/>
      <c r="B422" s="67"/>
      <c r="C422" s="67"/>
      <c r="D422" s="68"/>
      <c r="E422" s="68"/>
      <c r="F422" s="68"/>
      <c r="G422" s="67"/>
      <c r="H422" s="67"/>
      <c r="I422" s="67"/>
      <c r="J422" s="68"/>
      <c r="K422" s="68"/>
      <c r="S422" s="32"/>
      <c r="T422" s="32"/>
      <c r="U422" s="61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23"/>
      <c r="AG422" s="23"/>
      <c r="AH422" s="27"/>
    </row>
    <row r="423" spans="1:34" x14ac:dyDescent="0.25">
      <c r="A423" s="69"/>
      <c r="B423" s="67"/>
      <c r="C423" s="67"/>
      <c r="D423" s="68"/>
      <c r="E423" s="68"/>
      <c r="F423" s="68"/>
      <c r="G423" s="67"/>
      <c r="H423" s="67"/>
      <c r="I423" s="67"/>
      <c r="J423" s="68"/>
      <c r="K423" s="68"/>
      <c r="S423" s="32"/>
      <c r="T423" s="32"/>
      <c r="U423" s="61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23"/>
      <c r="AG423" s="23"/>
      <c r="AH423" s="27"/>
    </row>
    <row r="424" spans="1:34" x14ac:dyDescent="0.25">
      <c r="A424" s="69"/>
      <c r="B424" s="67"/>
      <c r="C424" s="67"/>
      <c r="D424" s="68"/>
      <c r="E424" s="68"/>
      <c r="F424" s="68"/>
      <c r="G424" s="67"/>
      <c r="H424" s="67"/>
      <c r="I424" s="67"/>
      <c r="J424" s="68"/>
      <c r="K424" s="68"/>
      <c r="S424" s="32"/>
      <c r="T424" s="32"/>
      <c r="U424" s="61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23"/>
      <c r="AG424" s="23"/>
      <c r="AH424" s="27"/>
    </row>
    <row r="425" spans="1:34" x14ac:dyDescent="0.25">
      <c r="A425" s="69"/>
      <c r="B425" s="67"/>
      <c r="C425" s="67"/>
      <c r="D425" s="68"/>
      <c r="E425" s="68"/>
      <c r="F425" s="68"/>
      <c r="G425" s="67"/>
      <c r="H425" s="67"/>
      <c r="I425" s="67"/>
      <c r="J425" s="68"/>
      <c r="K425" s="68"/>
      <c r="S425" s="32"/>
      <c r="T425" s="32"/>
      <c r="U425" s="61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23"/>
      <c r="AG425" s="23"/>
      <c r="AH425" s="27"/>
    </row>
    <row r="426" spans="1:34" x14ac:dyDescent="0.25">
      <c r="A426" s="69"/>
      <c r="B426" s="67"/>
      <c r="C426" s="67"/>
      <c r="D426" s="68"/>
      <c r="E426" s="68"/>
      <c r="F426" s="68"/>
      <c r="G426" s="67"/>
      <c r="H426" s="67"/>
      <c r="I426" s="67"/>
      <c r="J426" s="68"/>
      <c r="K426" s="68"/>
      <c r="S426" s="32"/>
      <c r="T426" s="32"/>
      <c r="U426" s="61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23"/>
      <c r="AG426" s="23"/>
      <c r="AH426" s="27"/>
    </row>
    <row r="427" spans="1:34" x14ac:dyDescent="0.25">
      <c r="A427" s="69"/>
      <c r="B427" s="67"/>
      <c r="C427" s="67"/>
      <c r="D427" s="68"/>
      <c r="E427" s="68"/>
      <c r="F427" s="68"/>
      <c r="G427" s="67"/>
      <c r="H427" s="67"/>
      <c r="I427" s="67"/>
      <c r="J427" s="68"/>
      <c r="K427" s="68"/>
      <c r="S427" s="32"/>
      <c r="T427" s="32"/>
      <c r="U427" s="61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23"/>
      <c r="AG427" s="23"/>
      <c r="AH427" s="27"/>
    </row>
    <row r="428" spans="1:34" x14ac:dyDescent="0.25">
      <c r="A428" s="69"/>
      <c r="B428" s="67"/>
      <c r="C428" s="67"/>
      <c r="D428" s="68"/>
      <c r="E428" s="68"/>
      <c r="F428" s="68"/>
      <c r="G428" s="67"/>
      <c r="H428" s="67"/>
      <c r="I428" s="67"/>
      <c r="J428" s="68"/>
      <c r="K428" s="68"/>
      <c r="S428" s="32"/>
      <c r="T428" s="32"/>
      <c r="U428" s="61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23"/>
      <c r="AG428" s="23"/>
      <c r="AH428" s="27"/>
    </row>
    <row r="429" spans="1:34" x14ac:dyDescent="0.25">
      <c r="A429" s="69"/>
      <c r="B429" s="67"/>
      <c r="C429" s="67"/>
      <c r="D429" s="68"/>
      <c r="E429" s="68"/>
      <c r="F429" s="68"/>
      <c r="G429" s="67"/>
      <c r="H429" s="67"/>
      <c r="I429" s="67"/>
      <c r="J429" s="68"/>
      <c r="K429" s="68"/>
      <c r="S429" s="32"/>
      <c r="T429" s="32"/>
      <c r="U429" s="61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23"/>
      <c r="AG429" s="23"/>
      <c r="AH429" s="27"/>
    </row>
    <row r="430" spans="1:34" x14ac:dyDescent="0.25">
      <c r="A430" s="69"/>
      <c r="B430" s="67"/>
      <c r="C430" s="67"/>
      <c r="D430" s="68"/>
      <c r="E430" s="68"/>
      <c r="F430" s="68"/>
      <c r="G430" s="67"/>
      <c r="H430" s="67"/>
      <c r="I430" s="67"/>
      <c r="J430" s="68"/>
      <c r="K430" s="68"/>
      <c r="S430" s="32"/>
      <c r="T430" s="32"/>
      <c r="U430" s="61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23"/>
      <c r="AG430" s="23"/>
      <c r="AH430" s="27"/>
    </row>
    <row r="431" spans="1:34" x14ac:dyDescent="0.25">
      <c r="A431" s="69"/>
      <c r="B431" s="67"/>
      <c r="C431" s="67"/>
      <c r="D431" s="68"/>
      <c r="E431" s="68"/>
      <c r="F431" s="68"/>
      <c r="G431" s="67"/>
      <c r="H431" s="67"/>
      <c r="I431" s="67"/>
      <c r="J431" s="68"/>
      <c r="K431" s="68"/>
      <c r="S431" s="32"/>
      <c r="T431" s="32"/>
      <c r="U431" s="61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23"/>
      <c r="AG431" s="23"/>
      <c r="AH431" s="27"/>
    </row>
    <row r="432" spans="1:34" x14ac:dyDescent="0.25">
      <c r="A432" s="69"/>
      <c r="B432" s="67"/>
      <c r="C432" s="67"/>
      <c r="D432" s="70"/>
      <c r="E432" s="70"/>
      <c r="F432" s="70"/>
      <c r="G432" s="67"/>
      <c r="H432" s="67"/>
      <c r="I432" s="67"/>
      <c r="J432" s="68"/>
      <c r="K432" s="68"/>
      <c r="S432" s="32"/>
      <c r="T432" s="32"/>
      <c r="U432" s="61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23"/>
      <c r="AG432" s="23"/>
      <c r="AH432" s="27"/>
    </row>
    <row r="433" spans="1:34" x14ac:dyDescent="0.25">
      <c r="A433" s="69"/>
      <c r="B433" s="67"/>
      <c r="C433" s="67"/>
      <c r="D433" s="70"/>
      <c r="E433" s="70"/>
      <c r="F433" s="70"/>
      <c r="G433" s="67"/>
      <c r="H433" s="67"/>
      <c r="I433" s="67"/>
      <c r="J433" s="68"/>
      <c r="K433" s="68"/>
      <c r="S433" s="32"/>
      <c r="T433" s="32"/>
      <c r="U433" s="61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23"/>
      <c r="AG433" s="23"/>
      <c r="AH433" s="27"/>
    </row>
    <row r="434" spans="1:34" x14ac:dyDescent="0.25">
      <c r="A434" s="69"/>
      <c r="B434" s="67"/>
      <c r="C434" s="67"/>
      <c r="D434" s="70"/>
      <c r="E434" s="70"/>
      <c r="F434" s="70"/>
      <c r="G434" s="67"/>
      <c r="H434" s="67"/>
      <c r="I434" s="67"/>
      <c r="J434" s="68"/>
      <c r="K434" s="68"/>
      <c r="S434" s="32"/>
      <c r="T434" s="32"/>
      <c r="U434" s="61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23"/>
      <c r="AG434" s="23"/>
      <c r="AH434" s="27"/>
    </row>
    <row r="435" spans="1:34" x14ac:dyDescent="0.25">
      <c r="A435" s="69"/>
      <c r="B435" s="67"/>
      <c r="C435" s="67"/>
      <c r="D435" s="68"/>
      <c r="E435" s="68"/>
      <c r="F435" s="68"/>
      <c r="G435" s="67"/>
      <c r="H435" s="67"/>
      <c r="I435" s="67"/>
      <c r="J435" s="68"/>
      <c r="K435" s="68"/>
      <c r="S435" s="32"/>
      <c r="T435" s="32"/>
      <c r="U435" s="61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23"/>
      <c r="AG435" s="23"/>
      <c r="AH435" s="27"/>
    </row>
    <row r="436" spans="1:34" x14ac:dyDescent="0.25">
      <c r="A436" s="69"/>
      <c r="B436" s="67"/>
      <c r="C436" s="67"/>
      <c r="D436" s="68"/>
      <c r="E436" s="68"/>
      <c r="F436" s="68"/>
      <c r="G436" s="67"/>
      <c r="H436" s="67"/>
      <c r="I436" s="67"/>
      <c r="J436" s="68"/>
      <c r="K436" s="68"/>
      <c r="S436" s="32"/>
      <c r="T436" s="32"/>
      <c r="U436" s="61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23"/>
      <c r="AG436" s="23"/>
      <c r="AH436" s="27"/>
    </row>
    <row r="437" spans="1:34" x14ac:dyDescent="0.25">
      <c r="A437" s="69"/>
      <c r="B437" s="67"/>
      <c r="C437" s="67"/>
      <c r="D437" s="68"/>
      <c r="E437" s="68"/>
      <c r="F437" s="68"/>
      <c r="G437" s="67"/>
      <c r="H437" s="67"/>
      <c r="I437" s="67"/>
      <c r="J437" s="68"/>
      <c r="K437" s="68"/>
      <c r="S437" s="32"/>
      <c r="T437" s="32"/>
      <c r="U437" s="61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23"/>
      <c r="AG437" s="23"/>
      <c r="AH437" s="27"/>
    </row>
    <row r="438" spans="1:34" x14ac:dyDescent="0.25">
      <c r="A438" s="69"/>
      <c r="B438" s="67"/>
      <c r="C438" s="67"/>
      <c r="D438" s="68"/>
      <c r="E438" s="68"/>
      <c r="F438" s="68"/>
      <c r="G438" s="67"/>
      <c r="H438" s="67"/>
      <c r="I438" s="67"/>
      <c r="J438" s="68"/>
      <c r="K438" s="68"/>
      <c r="S438" s="32"/>
      <c r="T438" s="32"/>
      <c r="U438" s="61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23"/>
      <c r="AG438" s="23"/>
      <c r="AH438" s="27"/>
    </row>
    <row r="439" spans="1:34" x14ac:dyDescent="0.25">
      <c r="A439" s="69"/>
      <c r="B439" s="67"/>
      <c r="C439" s="67"/>
      <c r="D439" s="68"/>
      <c r="E439" s="68"/>
      <c r="F439" s="68"/>
      <c r="G439" s="67"/>
      <c r="H439" s="67"/>
      <c r="I439" s="67"/>
      <c r="J439" s="68"/>
      <c r="K439" s="68"/>
      <c r="S439" s="32"/>
      <c r="T439" s="32"/>
      <c r="U439" s="61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23"/>
      <c r="AG439" s="23"/>
      <c r="AH439" s="27"/>
    </row>
    <row r="440" spans="1:34" x14ac:dyDescent="0.25">
      <c r="A440" s="69"/>
      <c r="B440" s="67"/>
      <c r="C440" s="67"/>
      <c r="D440" s="68"/>
      <c r="E440" s="68"/>
      <c r="F440" s="68"/>
      <c r="G440" s="67"/>
      <c r="H440" s="67"/>
      <c r="I440" s="67"/>
      <c r="J440" s="68"/>
      <c r="K440" s="68"/>
      <c r="S440" s="32"/>
      <c r="T440" s="32"/>
      <c r="U440" s="61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23"/>
      <c r="AG440" s="23"/>
      <c r="AH440" s="27"/>
    </row>
    <row r="441" spans="1:34" x14ac:dyDescent="0.25">
      <c r="A441" s="69"/>
      <c r="B441" s="67"/>
      <c r="C441" s="67"/>
      <c r="D441" s="68"/>
      <c r="E441" s="68"/>
      <c r="F441" s="68"/>
      <c r="G441" s="67"/>
      <c r="H441" s="67"/>
      <c r="I441" s="67"/>
      <c r="J441" s="68"/>
      <c r="K441" s="68"/>
      <c r="S441" s="32"/>
      <c r="T441" s="32"/>
      <c r="U441" s="61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23"/>
      <c r="AG441" s="23"/>
      <c r="AH441" s="27"/>
    </row>
    <row r="442" spans="1:34" x14ac:dyDescent="0.25">
      <c r="A442" s="69"/>
      <c r="B442" s="67"/>
      <c r="C442" s="67"/>
      <c r="D442" s="68"/>
      <c r="E442" s="68"/>
      <c r="F442" s="68"/>
      <c r="G442" s="67"/>
      <c r="H442" s="67"/>
      <c r="I442" s="67"/>
      <c r="J442" s="68"/>
      <c r="K442" s="68"/>
      <c r="S442" s="32"/>
      <c r="T442" s="32"/>
      <c r="U442" s="61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23"/>
      <c r="AG442" s="23"/>
      <c r="AH442" s="27"/>
    </row>
    <row r="443" spans="1:34" x14ac:dyDescent="0.25">
      <c r="A443" s="69"/>
      <c r="B443" s="67"/>
      <c r="C443" s="67"/>
      <c r="D443" s="68"/>
      <c r="E443" s="68"/>
      <c r="F443" s="68"/>
      <c r="G443" s="67"/>
      <c r="H443" s="67"/>
      <c r="I443" s="67"/>
      <c r="J443" s="68"/>
      <c r="K443" s="68"/>
      <c r="S443" s="32"/>
      <c r="T443" s="32"/>
      <c r="U443" s="61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23"/>
      <c r="AG443" s="23"/>
      <c r="AH443" s="27"/>
    </row>
    <row r="444" spans="1:34" x14ac:dyDescent="0.25">
      <c r="A444" s="69"/>
      <c r="B444" s="67"/>
      <c r="C444" s="67"/>
      <c r="D444" s="68"/>
      <c r="E444" s="68"/>
      <c r="F444" s="68"/>
      <c r="G444" s="67"/>
      <c r="H444" s="67"/>
      <c r="I444" s="67"/>
      <c r="J444" s="68"/>
      <c r="K444" s="68"/>
      <c r="S444" s="32"/>
      <c r="T444" s="32"/>
      <c r="U444" s="61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23"/>
      <c r="AG444" s="23"/>
      <c r="AH444" s="27"/>
    </row>
    <row r="445" spans="1:34" x14ac:dyDescent="0.25">
      <c r="A445" s="69"/>
      <c r="B445" s="67"/>
      <c r="C445" s="67"/>
      <c r="D445" s="68"/>
      <c r="E445" s="68"/>
      <c r="F445" s="68"/>
      <c r="G445" s="67"/>
      <c r="H445" s="67"/>
      <c r="I445" s="67"/>
      <c r="J445" s="68"/>
      <c r="K445" s="68"/>
      <c r="S445" s="32"/>
      <c r="T445" s="32"/>
      <c r="U445" s="61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23"/>
      <c r="AG445" s="23"/>
      <c r="AH445" s="27"/>
    </row>
    <row r="446" spans="1:34" x14ac:dyDescent="0.25">
      <c r="A446" s="69"/>
      <c r="B446" s="67"/>
      <c r="C446" s="67"/>
      <c r="D446" s="68"/>
      <c r="E446" s="68"/>
      <c r="F446" s="68"/>
      <c r="G446" s="67"/>
      <c r="H446" s="67"/>
      <c r="I446" s="67"/>
      <c r="J446" s="68"/>
      <c r="K446" s="68"/>
      <c r="S446" s="32"/>
      <c r="T446" s="32"/>
      <c r="U446" s="61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23"/>
      <c r="AG446" s="23"/>
      <c r="AH446" s="27"/>
    </row>
    <row r="447" spans="1:34" x14ac:dyDescent="0.25">
      <c r="A447" s="69"/>
      <c r="B447" s="67"/>
      <c r="C447" s="67"/>
      <c r="D447" s="68"/>
      <c r="E447" s="68"/>
      <c r="F447" s="68"/>
      <c r="G447" s="67"/>
      <c r="H447" s="67"/>
      <c r="I447" s="67"/>
      <c r="J447" s="68"/>
      <c r="K447" s="68"/>
      <c r="S447" s="32"/>
      <c r="T447" s="32"/>
      <c r="U447" s="61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23"/>
      <c r="AG447" s="23"/>
      <c r="AH447" s="27"/>
    </row>
    <row r="448" spans="1:34" x14ac:dyDescent="0.25">
      <c r="A448" s="69"/>
      <c r="B448" s="67"/>
      <c r="C448" s="67"/>
      <c r="D448" s="68"/>
      <c r="E448" s="68"/>
      <c r="F448" s="68"/>
      <c r="G448" s="67"/>
      <c r="H448" s="67"/>
      <c r="I448" s="67"/>
      <c r="J448" s="68"/>
      <c r="K448" s="68"/>
      <c r="S448" s="32"/>
      <c r="T448" s="32"/>
      <c r="U448" s="61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23"/>
      <c r="AG448" s="23"/>
      <c r="AH448" s="27"/>
    </row>
    <row r="449" spans="1:34" x14ac:dyDescent="0.25">
      <c r="A449" s="69"/>
      <c r="B449" s="67"/>
      <c r="C449" s="67"/>
      <c r="D449" s="68"/>
      <c r="E449" s="68"/>
      <c r="F449" s="68"/>
      <c r="G449" s="67"/>
      <c r="H449" s="67"/>
      <c r="I449" s="67"/>
      <c r="J449" s="68"/>
      <c r="K449" s="68"/>
      <c r="S449" s="32"/>
      <c r="T449" s="32"/>
      <c r="U449" s="61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23"/>
      <c r="AG449" s="23"/>
      <c r="AH449" s="27"/>
    </row>
    <row r="450" spans="1:34" x14ac:dyDescent="0.25">
      <c r="A450" s="69"/>
      <c r="B450" s="67"/>
      <c r="C450" s="67"/>
      <c r="D450" s="68"/>
      <c r="E450" s="68"/>
      <c r="F450" s="68"/>
      <c r="G450" s="67"/>
      <c r="H450" s="67"/>
      <c r="I450" s="67"/>
      <c r="J450" s="68"/>
      <c r="K450" s="68"/>
      <c r="S450" s="32"/>
      <c r="T450" s="32"/>
      <c r="U450" s="61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23"/>
      <c r="AG450" s="23"/>
      <c r="AH450" s="27"/>
    </row>
    <row r="451" spans="1:34" x14ac:dyDescent="0.25">
      <c r="A451" s="69"/>
      <c r="B451" s="67"/>
      <c r="C451" s="67"/>
      <c r="D451" s="68"/>
      <c r="E451" s="68"/>
      <c r="F451" s="68"/>
      <c r="G451" s="67"/>
      <c r="H451" s="67"/>
      <c r="I451" s="67"/>
      <c r="J451" s="68"/>
      <c r="K451" s="68"/>
      <c r="S451" s="32"/>
      <c r="T451" s="32"/>
      <c r="U451" s="61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23"/>
      <c r="AG451" s="23"/>
      <c r="AH451" s="27"/>
    </row>
    <row r="452" spans="1:34" x14ac:dyDescent="0.25">
      <c r="A452" s="69"/>
      <c r="B452" s="67"/>
      <c r="C452" s="67"/>
      <c r="D452" s="68"/>
      <c r="E452" s="68"/>
      <c r="F452" s="68"/>
      <c r="G452" s="67"/>
      <c r="H452" s="67"/>
      <c r="I452" s="67"/>
      <c r="J452" s="68"/>
      <c r="K452" s="68"/>
      <c r="S452" s="32"/>
      <c r="T452" s="32"/>
      <c r="U452" s="61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23"/>
      <c r="AG452" s="23"/>
      <c r="AH452" s="27"/>
    </row>
    <row r="453" spans="1:34" x14ac:dyDescent="0.25">
      <c r="A453" s="69"/>
      <c r="B453" s="67"/>
      <c r="C453" s="67"/>
      <c r="D453" s="68"/>
      <c r="E453" s="68"/>
      <c r="F453" s="68"/>
      <c r="G453" s="67"/>
      <c r="H453" s="67"/>
      <c r="I453" s="67"/>
      <c r="J453" s="68"/>
      <c r="K453" s="68"/>
      <c r="S453" s="32"/>
      <c r="T453" s="32"/>
      <c r="U453" s="61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23"/>
      <c r="AG453" s="23"/>
      <c r="AH453" s="27"/>
    </row>
    <row r="454" spans="1:34" x14ac:dyDescent="0.25">
      <c r="A454" s="69"/>
      <c r="B454" s="67"/>
      <c r="C454" s="67"/>
      <c r="D454" s="68"/>
      <c r="E454" s="68"/>
      <c r="F454" s="68"/>
      <c r="G454" s="67"/>
      <c r="H454" s="67"/>
      <c r="I454" s="67"/>
      <c r="J454" s="68"/>
      <c r="K454" s="68"/>
      <c r="S454" s="32"/>
      <c r="T454" s="32"/>
      <c r="U454" s="61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23"/>
      <c r="AG454" s="23"/>
      <c r="AH454" s="27"/>
    </row>
    <row r="455" spans="1:34" x14ac:dyDescent="0.25">
      <c r="A455" s="69"/>
      <c r="B455" s="67"/>
      <c r="C455" s="67"/>
      <c r="D455" s="68"/>
      <c r="E455" s="68"/>
      <c r="F455" s="68"/>
      <c r="G455" s="67"/>
      <c r="H455" s="67"/>
      <c r="I455" s="67"/>
      <c r="J455" s="68"/>
      <c r="K455" s="68"/>
      <c r="S455" s="32"/>
      <c r="T455" s="32"/>
      <c r="U455" s="61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23"/>
      <c r="AG455" s="23"/>
      <c r="AH455" s="27"/>
    </row>
    <row r="456" spans="1:34" x14ac:dyDescent="0.25">
      <c r="A456" s="69"/>
      <c r="B456" s="67"/>
      <c r="C456" s="67"/>
      <c r="D456" s="70"/>
      <c r="E456" s="70"/>
      <c r="F456" s="70"/>
      <c r="G456" s="67"/>
      <c r="H456" s="67"/>
      <c r="I456" s="67"/>
      <c r="J456" s="68"/>
      <c r="K456" s="68"/>
      <c r="S456" s="32"/>
      <c r="T456" s="32"/>
      <c r="U456" s="61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23"/>
      <c r="AG456" s="23"/>
      <c r="AH456" s="27"/>
    </row>
    <row r="457" spans="1:34" x14ac:dyDescent="0.25">
      <c r="A457" s="69"/>
      <c r="B457" s="67"/>
      <c r="C457" s="67"/>
      <c r="D457" s="70"/>
      <c r="E457" s="70"/>
      <c r="F457" s="70"/>
      <c r="G457" s="67"/>
      <c r="H457" s="67"/>
      <c r="I457" s="67"/>
      <c r="J457" s="68"/>
      <c r="K457" s="68"/>
      <c r="S457" s="32"/>
      <c r="T457" s="32"/>
      <c r="U457" s="61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23"/>
      <c r="AG457" s="23"/>
      <c r="AH457" s="27"/>
    </row>
    <row r="458" spans="1:34" x14ac:dyDescent="0.25">
      <c r="A458" s="69"/>
      <c r="B458" s="67"/>
      <c r="C458" s="67"/>
      <c r="D458" s="70"/>
      <c r="E458" s="70"/>
      <c r="F458" s="70"/>
      <c r="G458" s="67"/>
      <c r="H458" s="67"/>
      <c r="I458" s="67"/>
      <c r="J458" s="68"/>
      <c r="K458" s="68"/>
      <c r="S458" s="32"/>
      <c r="T458" s="32"/>
      <c r="U458" s="61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23"/>
      <c r="AG458" s="23"/>
      <c r="AH458" s="27"/>
    </row>
    <row r="459" spans="1:34" x14ac:dyDescent="0.25">
      <c r="A459" s="69"/>
      <c r="B459" s="67"/>
      <c r="C459" s="67"/>
      <c r="D459" s="68"/>
      <c r="E459" s="68"/>
      <c r="F459" s="68"/>
      <c r="G459" s="67"/>
      <c r="H459" s="67"/>
      <c r="I459" s="67"/>
      <c r="J459" s="68"/>
      <c r="K459" s="68"/>
      <c r="S459" s="32"/>
      <c r="T459" s="32"/>
      <c r="U459" s="61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23"/>
      <c r="AG459" s="23"/>
      <c r="AH459" s="27"/>
    </row>
    <row r="460" spans="1:34" x14ac:dyDescent="0.25">
      <c r="A460" s="69"/>
      <c r="B460" s="67"/>
      <c r="C460" s="67"/>
      <c r="D460" s="68"/>
      <c r="E460" s="68"/>
      <c r="F460" s="68"/>
      <c r="G460" s="67"/>
      <c r="H460" s="67"/>
      <c r="I460" s="67"/>
      <c r="J460" s="68"/>
      <c r="K460" s="68"/>
      <c r="S460" s="32"/>
      <c r="T460" s="32"/>
      <c r="U460" s="61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23"/>
      <c r="AG460" s="23"/>
      <c r="AH460" s="27"/>
    </row>
    <row r="461" spans="1:34" x14ac:dyDescent="0.25">
      <c r="A461" s="69"/>
      <c r="B461" s="67"/>
      <c r="C461" s="67"/>
      <c r="D461" s="68"/>
      <c r="E461" s="68"/>
      <c r="F461" s="68"/>
      <c r="G461" s="67"/>
      <c r="H461" s="67"/>
      <c r="I461" s="67"/>
      <c r="J461" s="68"/>
      <c r="K461" s="68"/>
      <c r="S461" s="32"/>
      <c r="T461" s="32"/>
      <c r="U461" s="61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23"/>
      <c r="AG461" s="23"/>
      <c r="AH461" s="27"/>
    </row>
    <row r="462" spans="1:34" x14ac:dyDescent="0.25">
      <c r="A462" s="69"/>
      <c r="B462" s="67"/>
      <c r="C462" s="67"/>
      <c r="D462" s="68"/>
      <c r="E462" s="68"/>
      <c r="F462" s="68"/>
      <c r="G462" s="67"/>
      <c r="H462" s="67"/>
      <c r="I462" s="67"/>
      <c r="J462" s="68"/>
      <c r="K462" s="68"/>
      <c r="S462" s="32"/>
      <c r="T462" s="32"/>
      <c r="U462" s="61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23"/>
      <c r="AG462" s="23"/>
      <c r="AH462" s="27"/>
    </row>
    <row r="463" spans="1:34" x14ac:dyDescent="0.25">
      <c r="A463" s="69"/>
      <c r="B463" s="67"/>
      <c r="C463" s="67"/>
      <c r="D463" s="68"/>
      <c r="E463" s="68"/>
      <c r="F463" s="68"/>
      <c r="G463" s="67"/>
      <c r="H463" s="67"/>
      <c r="I463" s="67"/>
      <c r="J463" s="68"/>
      <c r="K463" s="68"/>
      <c r="S463" s="32"/>
      <c r="T463" s="32"/>
      <c r="U463" s="61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23"/>
      <c r="AG463" s="23"/>
      <c r="AH463" s="27"/>
    </row>
    <row r="464" spans="1:34" x14ac:dyDescent="0.25">
      <c r="A464" s="69"/>
      <c r="B464" s="67"/>
      <c r="C464" s="67"/>
      <c r="D464" s="68"/>
      <c r="E464" s="68"/>
      <c r="F464" s="68"/>
      <c r="G464" s="67"/>
      <c r="H464" s="67"/>
      <c r="I464" s="67"/>
      <c r="J464" s="68"/>
      <c r="K464" s="68"/>
      <c r="S464" s="32"/>
      <c r="T464" s="32"/>
      <c r="U464" s="61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23"/>
      <c r="AG464" s="23"/>
      <c r="AH464" s="27"/>
    </row>
    <row r="465" spans="1:34" x14ac:dyDescent="0.25">
      <c r="A465" s="69"/>
      <c r="B465" s="67"/>
      <c r="C465" s="67"/>
      <c r="D465" s="68"/>
      <c r="E465" s="68"/>
      <c r="F465" s="68"/>
      <c r="G465" s="67"/>
      <c r="H465" s="67"/>
      <c r="I465" s="67"/>
      <c r="J465" s="68"/>
      <c r="K465" s="68"/>
      <c r="S465" s="32"/>
      <c r="T465" s="32"/>
      <c r="U465" s="61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23"/>
      <c r="AG465" s="23"/>
      <c r="AH465" s="27"/>
    </row>
    <row r="466" spans="1:34" x14ac:dyDescent="0.25">
      <c r="A466" s="69"/>
      <c r="B466" s="67"/>
      <c r="C466" s="67"/>
      <c r="D466" s="68"/>
      <c r="E466" s="68"/>
      <c r="F466" s="68"/>
      <c r="G466" s="67"/>
      <c r="H466" s="67"/>
      <c r="I466" s="67"/>
      <c r="J466" s="68"/>
      <c r="K466" s="68"/>
      <c r="S466" s="32"/>
      <c r="T466" s="32"/>
      <c r="U466" s="61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23"/>
      <c r="AG466" s="23"/>
      <c r="AH466" s="27"/>
    </row>
    <row r="467" spans="1:34" x14ac:dyDescent="0.25">
      <c r="A467" s="69"/>
      <c r="B467" s="67"/>
      <c r="C467" s="67"/>
      <c r="D467" s="68"/>
      <c r="E467" s="68"/>
      <c r="F467" s="68"/>
      <c r="G467" s="67"/>
      <c r="H467" s="67"/>
      <c r="I467" s="67"/>
      <c r="J467" s="68"/>
      <c r="K467" s="68"/>
      <c r="S467" s="32"/>
      <c r="T467" s="32"/>
      <c r="U467" s="61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23"/>
      <c r="AG467" s="23"/>
      <c r="AH467" s="27"/>
    </row>
    <row r="468" spans="1:34" x14ac:dyDescent="0.25">
      <c r="A468" s="69"/>
      <c r="B468" s="67"/>
      <c r="C468" s="67"/>
      <c r="D468" s="68"/>
      <c r="E468" s="68"/>
      <c r="F468" s="68"/>
      <c r="G468" s="67"/>
      <c r="H468" s="67"/>
      <c r="I468" s="67"/>
      <c r="J468" s="68"/>
      <c r="K468" s="68"/>
      <c r="S468" s="32"/>
      <c r="T468" s="32"/>
      <c r="U468" s="61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23"/>
      <c r="AG468" s="23"/>
      <c r="AH468" s="27"/>
    </row>
    <row r="469" spans="1:34" x14ac:dyDescent="0.25">
      <c r="A469" s="69"/>
      <c r="B469" s="67"/>
      <c r="C469" s="67"/>
      <c r="D469" s="68"/>
      <c r="E469" s="68"/>
      <c r="F469" s="68"/>
      <c r="G469" s="67"/>
      <c r="H469" s="67"/>
      <c r="I469" s="67"/>
      <c r="J469" s="68"/>
      <c r="K469" s="68"/>
      <c r="S469" s="32"/>
      <c r="T469" s="32"/>
      <c r="U469" s="61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23"/>
      <c r="AG469" s="23"/>
      <c r="AH469" s="27"/>
    </row>
    <row r="470" spans="1:34" x14ac:dyDescent="0.25">
      <c r="A470" s="69"/>
      <c r="B470" s="67"/>
      <c r="C470" s="67"/>
      <c r="D470" s="68"/>
      <c r="E470" s="68"/>
      <c r="F470" s="68"/>
      <c r="G470" s="67"/>
      <c r="H470" s="67"/>
      <c r="I470" s="67"/>
      <c r="J470" s="68"/>
      <c r="K470" s="68"/>
      <c r="S470" s="32"/>
      <c r="T470" s="32"/>
      <c r="U470" s="61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23"/>
      <c r="AG470" s="23"/>
      <c r="AH470" s="27"/>
    </row>
    <row r="471" spans="1:34" x14ac:dyDescent="0.25">
      <c r="A471" s="69"/>
      <c r="B471" s="67"/>
      <c r="C471" s="67"/>
      <c r="D471" s="68"/>
      <c r="E471" s="68"/>
      <c r="F471" s="68"/>
      <c r="G471" s="67"/>
      <c r="H471" s="67"/>
      <c r="I471" s="67"/>
      <c r="J471" s="68"/>
      <c r="K471" s="68"/>
      <c r="S471" s="32"/>
      <c r="T471" s="32"/>
      <c r="U471" s="61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23"/>
      <c r="AG471" s="23"/>
      <c r="AH471" s="27"/>
    </row>
    <row r="472" spans="1:34" x14ac:dyDescent="0.25">
      <c r="A472" s="69"/>
      <c r="B472" s="67"/>
      <c r="C472" s="67"/>
      <c r="D472" s="68"/>
      <c r="E472" s="68"/>
      <c r="F472" s="68"/>
      <c r="G472" s="67"/>
      <c r="H472" s="67"/>
      <c r="I472" s="67"/>
      <c r="J472" s="68"/>
      <c r="K472" s="68"/>
      <c r="S472" s="32"/>
      <c r="T472" s="32"/>
      <c r="U472" s="61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23"/>
      <c r="AG472" s="23"/>
      <c r="AH472" s="27"/>
    </row>
    <row r="473" spans="1:34" x14ac:dyDescent="0.25">
      <c r="A473" s="69"/>
      <c r="B473" s="67"/>
      <c r="C473" s="67"/>
      <c r="D473" s="68"/>
      <c r="E473" s="68"/>
      <c r="F473" s="68"/>
      <c r="G473" s="67"/>
      <c r="H473" s="67"/>
      <c r="I473" s="67"/>
      <c r="J473" s="68"/>
      <c r="K473" s="68"/>
      <c r="S473" s="32"/>
      <c r="T473" s="32"/>
      <c r="U473" s="61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23"/>
      <c r="AG473" s="23"/>
      <c r="AH473" s="27"/>
    </row>
    <row r="474" spans="1:34" x14ac:dyDescent="0.25">
      <c r="A474" s="69"/>
      <c r="B474" s="67"/>
      <c r="C474" s="67"/>
      <c r="D474" s="68"/>
      <c r="E474" s="68"/>
      <c r="F474" s="68"/>
      <c r="G474" s="67"/>
      <c r="H474" s="67"/>
      <c r="I474" s="67"/>
      <c r="J474" s="68"/>
      <c r="K474" s="68"/>
      <c r="S474" s="32"/>
      <c r="T474" s="32"/>
      <c r="U474" s="61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23"/>
      <c r="AG474" s="23"/>
      <c r="AH474" s="27"/>
    </row>
    <row r="475" spans="1:34" x14ac:dyDescent="0.25">
      <c r="A475" s="69"/>
      <c r="B475" s="67"/>
      <c r="C475" s="67"/>
      <c r="D475" s="68"/>
      <c r="E475" s="68"/>
      <c r="F475" s="68"/>
      <c r="G475" s="67"/>
      <c r="H475" s="67"/>
      <c r="I475" s="67"/>
      <c r="J475" s="68"/>
      <c r="K475" s="68"/>
      <c r="S475" s="32"/>
      <c r="T475" s="32"/>
      <c r="U475" s="61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23"/>
      <c r="AG475" s="23"/>
      <c r="AH475" s="27"/>
    </row>
    <row r="476" spans="1:34" x14ac:dyDescent="0.25">
      <c r="A476" s="69"/>
      <c r="B476" s="67"/>
      <c r="C476" s="67"/>
      <c r="D476" s="68"/>
      <c r="E476" s="68"/>
      <c r="F476" s="68"/>
      <c r="G476" s="67"/>
      <c r="H476" s="67"/>
      <c r="I476" s="67"/>
      <c r="J476" s="68"/>
      <c r="K476" s="68"/>
      <c r="S476" s="32"/>
      <c r="T476" s="32"/>
      <c r="U476" s="61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23"/>
      <c r="AG476" s="23"/>
      <c r="AH476" s="27"/>
    </row>
    <row r="477" spans="1:34" x14ac:dyDescent="0.25">
      <c r="A477" s="69"/>
      <c r="B477" s="67"/>
      <c r="C477" s="67"/>
      <c r="D477" s="68"/>
      <c r="E477" s="68"/>
      <c r="F477" s="68"/>
      <c r="G477" s="67"/>
      <c r="H477" s="67"/>
      <c r="I477" s="67"/>
      <c r="J477" s="68"/>
      <c r="K477" s="68"/>
      <c r="S477" s="32"/>
      <c r="T477" s="32"/>
      <c r="U477" s="61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23"/>
      <c r="AG477" s="23"/>
      <c r="AH477" s="27"/>
    </row>
    <row r="478" spans="1:34" x14ac:dyDescent="0.25">
      <c r="A478" s="69"/>
      <c r="B478" s="67"/>
      <c r="C478" s="67"/>
      <c r="D478" s="68"/>
      <c r="E478" s="68"/>
      <c r="F478" s="68"/>
      <c r="G478" s="67"/>
      <c r="H478" s="67"/>
      <c r="I478" s="67"/>
      <c r="J478" s="68"/>
      <c r="K478" s="68"/>
      <c r="S478" s="32"/>
      <c r="T478" s="32"/>
      <c r="U478" s="61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23"/>
      <c r="AG478" s="23"/>
      <c r="AH478" s="27"/>
    </row>
    <row r="479" spans="1:34" x14ac:dyDescent="0.25">
      <c r="A479" s="69"/>
      <c r="B479" s="67"/>
      <c r="C479" s="67"/>
      <c r="D479" s="68"/>
      <c r="E479" s="68"/>
      <c r="F479" s="68"/>
      <c r="G479" s="67"/>
      <c r="H479" s="67"/>
      <c r="I479" s="67"/>
      <c r="J479" s="68"/>
      <c r="K479" s="68"/>
      <c r="S479" s="32"/>
      <c r="T479" s="32"/>
      <c r="U479" s="61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23"/>
      <c r="AG479" s="23"/>
      <c r="AH479" s="27"/>
    </row>
    <row r="480" spans="1:34" x14ac:dyDescent="0.25">
      <c r="A480" s="69"/>
      <c r="B480" s="67"/>
      <c r="C480" s="67"/>
      <c r="D480" s="70"/>
      <c r="E480" s="70"/>
      <c r="F480" s="70"/>
      <c r="G480" s="67"/>
      <c r="H480" s="67"/>
      <c r="I480" s="67"/>
      <c r="J480" s="68"/>
      <c r="K480" s="68"/>
      <c r="S480" s="32"/>
      <c r="T480" s="32"/>
      <c r="U480" s="61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23"/>
      <c r="AG480" s="23"/>
      <c r="AH480" s="27"/>
    </row>
    <row r="481" spans="1:34" x14ac:dyDescent="0.25">
      <c r="A481" s="69"/>
      <c r="B481" s="67"/>
      <c r="C481" s="67"/>
      <c r="D481" s="70"/>
      <c r="E481" s="70"/>
      <c r="F481" s="70"/>
      <c r="G481" s="67"/>
      <c r="H481" s="67"/>
      <c r="I481" s="67"/>
      <c r="J481" s="68"/>
      <c r="K481" s="68"/>
      <c r="S481" s="32"/>
      <c r="T481" s="32"/>
      <c r="U481" s="61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23"/>
      <c r="AG481" s="23"/>
      <c r="AH481" s="27"/>
    </row>
    <row r="482" spans="1:34" x14ac:dyDescent="0.25">
      <c r="A482" s="69"/>
      <c r="B482" s="67"/>
      <c r="C482" s="67"/>
      <c r="D482" s="70"/>
      <c r="E482" s="70"/>
      <c r="F482" s="70"/>
      <c r="G482" s="67"/>
      <c r="H482" s="67"/>
      <c r="I482" s="67"/>
      <c r="J482" s="68"/>
      <c r="K482" s="68"/>
      <c r="S482" s="32"/>
      <c r="T482" s="32"/>
      <c r="U482" s="61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23"/>
      <c r="AG482" s="23"/>
      <c r="AH482" s="27"/>
    </row>
    <row r="483" spans="1:34" x14ac:dyDescent="0.25">
      <c r="A483" s="69"/>
      <c r="B483" s="67"/>
      <c r="C483" s="67"/>
      <c r="D483" s="68"/>
      <c r="E483" s="68"/>
      <c r="F483" s="68"/>
      <c r="G483" s="67"/>
      <c r="H483" s="67"/>
      <c r="I483" s="67"/>
      <c r="J483" s="68"/>
      <c r="K483" s="68"/>
      <c r="S483" s="32"/>
      <c r="T483" s="32"/>
      <c r="U483" s="61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23"/>
      <c r="AG483" s="23"/>
      <c r="AH483" s="27"/>
    </row>
    <row r="484" spans="1:34" x14ac:dyDescent="0.25">
      <c r="A484" s="69"/>
      <c r="B484" s="67"/>
      <c r="C484" s="67"/>
      <c r="D484" s="68"/>
      <c r="E484" s="68"/>
      <c r="F484" s="68"/>
      <c r="G484" s="67"/>
      <c r="H484" s="67"/>
      <c r="I484" s="67"/>
      <c r="J484" s="68"/>
      <c r="K484" s="68"/>
      <c r="S484" s="32"/>
      <c r="T484" s="32"/>
      <c r="U484" s="61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23"/>
      <c r="AG484" s="23"/>
      <c r="AH484" s="27"/>
    </row>
    <row r="485" spans="1:34" x14ac:dyDescent="0.25">
      <c r="A485" s="69"/>
      <c r="B485" s="67"/>
      <c r="C485" s="67"/>
      <c r="D485" s="68"/>
      <c r="E485" s="68"/>
      <c r="F485" s="68"/>
      <c r="G485" s="67"/>
      <c r="H485" s="67"/>
      <c r="I485" s="67"/>
      <c r="J485" s="68"/>
      <c r="K485" s="68"/>
      <c r="S485" s="32"/>
      <c r="T485" s="32"/>
      <c r="U485" s="61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23"/>
      <c r="AG485" s="23"/>
      <c r="AH485" s="27"/>
    </row>
    <row r="486" spans="1:34" x14ac:dyDescent="0.25">
      <c r="A486" s="69"/>
      <c r="B486" s="67"/>
      <c r="C486" s="67"/>
      <c r="D486" s="68"/>
      <c r="E486" s="68"/>
      <c r="F486" s="68"/>
      <c r="G486" s="67"/>
      <c r="H486" s="67"/>
      <c r="I486" s="67"/>
      <c r="J486" s="68"/>
      <c r="K486" s="68"/>
      <c r="S486" s="32"/>
      <c r="T486" s="32"/>
      <c r="U486" s="61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23"/>
      <c r="AG486" s="23"/>
      <c r="AH486" s="27"/>
    </row>
    <row r="487" spans="1:34" x14ac:dyDescent="0.25">
      <c r="A487" s="69"/>
      <c r="B487" s="67"/>
      <c r="C487" s="67"/>
      <c r="D487" s="68"/>
      <c r="E487" s="68"/>
      <c r="F487" s="68"/>
      <c r="G487" s="67"/>
      <c r="H487" s="67"/>
      <c r="I487" s="67"/>
      <c r="J487" s="68"/>
      <c r="K487" s="68"/>
      <c r="S487" s="32"/>
      <c r="T487" s="32"/>
      <c r="U487" s="61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23"/>
      <c r="AG487" s="23"/>
      <c r="AH487" s="27"/>
    </row>
    <row r="488" spans="1:34" x14ac:dyDescent="0.25">
      <c r="A488" s="69"/>
      <c r="B488" s="67"/>
      <c r="C488" s="67"/>
      <c r="D488" s="68"/>
      <c r="E488" s="68"/>
      <c r="F488" s="68"/>
      <c r="G488" s="67"/>
      <c r="H488" s="67"/>
      <c r="I488" s="67"/>
      <c r="J488" s="68"/>
      <c r="K488" s="68"/>
      <c r="S488" s="32"/>
      <c r="T488" s="32"/>
      <c r="U488" s="61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23"/>
      <c r="AG488" s="23"/>
      <c r="AH488" s="27"/>
    </row>
    <row r="489" spans="1:34" x14ac:dyDescent="0.25">
      <c r="A489" s="69"/>
      <c r="B489" s="67"/>
      <c r="C489" s="67"/>
      <c r="D489" s="68"/>
      <c r="E489" s="68"/>
      <c r="F489" s="68"/>
      <c r="G489" s="67"/>
      <c r="H489" s="67"/>
      <c r="I489" s="67"/>
      <c r="J489" s="68"/>
      <c r="K489" s="68"/>
      <c r="S489" s="32"/>
      <c r="T489" s="32"/>
      <c r="U489" s="61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23"/>
      <c r="AG489" s="23"/>
      <c r="AH489" s="27"/>
    </row>
    <row r="490" spans="1:34" x14ac:dyDescent="0.25">
      <c r="A490" s="69"/>
      <c r="B490" s="67"/>
      <c r="C490" s="67"/>
      <c r="D490" s="68"/>
      <c r="E490" s="68"/>
      <c r="F490" s="68"/>
      <c r="G490" s="67"/>
      <c r="H490" s="67"/>
      <c r="I490" s="67"/>
      <c r="J490" s="68"/>
      <c r="K490" s="68"/>
      <c r="S490" s="32"/>
      <c r="T490" s="32"/>
      <c r="U490" s="61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23"/>
      <c r="AG490" s="23"/>
      <c r="AH490" s="27"/>
    </row>
    <row r="491" spans="1:34" x14ac:dyDescent="0.25">
      <c r="A491" s="69"/>
      <c r="B491" s="67"/>
      <c r="C491" s="67"/>
      <c r="D491" s="68"/>
      <c r="E491" s="68"/>
      <c r="F491" s="68"/>
      <c r="G491" s="67"/>
      <c r="H491" s="67"/>
      <c r="I491" s="67"/>
      <c r="J491" s="68"/>
      <c r="K491" s="68"/>
      <c r="S491" s="32"/>
      <c r="T491" s="32"/>
      <c r="U491" s="61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23"/>
      <c r="AG491" s="23"/>
      <c r="AH491" s="27"/>
    </row>
    <row r="492" spans="1:34" x14ac:dyDescent="0.25">
      <c r="A492" s="69"/>
      <c r="B492" s="67"/>
      <c r="C492" s="67"/>
      <c r="D492" s="68"/>
      <c r="E492" s="68"/>
      <c r="F492" s="68"/>
      <c r="G492" s="67"/>
      <c r="H492" s="67"/>
      <c r="I492" s="67"/>
      <c r="J492" s="68"/>
      <c r="K492" s="68"/>
      <c r="S492" s="32"/>
      <c r="T492" s="32"/>
      <c r="U492" s="61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23"/>
      <c r="AG492" s="23"/>
      <c r="AH492" s="27"/>
    </row>
    <row r="493" spans="1:34" x14ac:dyDescent="0.25">
      <c r="A493" s="69"/>
      <c r="B493" s="67"/>
      <c r="C493" s="67"/>
      <c r="D493" s="68"/>
      <c r="E493" s="68"/>
      <c r="F493" s="68"/>
      <c r="G493" s="67"/>
      <c r="H493" s="67"/>
      <c r="I493" s="67"/>
      <c r="J493" s="68"/>
      <c r="K493" s="68"/>
      <c r="S493" s="32"/>
      <c r="T493" s="32"/>
      <c r="U493" s="61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23"/>
      <c r="AG493" s="23"/>
      <c r="AH493" s="27"/>
    </row>
    <row r="494" spans="1:34" x14ac:dyDescent="0.25">
      <c r="A494" s="69"/>
      <c r="B494" s="67"/>
      <c r="C494" s="67"/>
      <c r="D494" s="68"/>
      <c r="E494" s="68"/>
      <c r="F494" s="68"/>
      <c r="G494" s="67"/>
      <c r="H494" s="67"/>
      <c r="I494" s="67"/>
      <c r="J494" s="68"/>
      <c r="K494" s="68"/>
      <c r="S494" s="32"/>
      <c r="T494" s="32"/>
      <c r="U494" s="61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23"/>
      <c r="AG494" s="23"/>
      <c r="AH494" s="27"/>
    </row>
    <row r="495" spans="1:34" x14ac:dyDescent="0.25">
      <c r="A495" s="69"/>
      <c r="B495" s="67"/>
      <c r="C495" s="67"/>
      <c r="D495" s="68"/>
      <c r="E495" s="68"/>
      <c r="F495" s="68"/>
      <c r="G495" s="67"/>
      <c r="H495" s="67"/>
      <c r="I495" s="67"/>
      <c r="J495" s="68"/>
      <c r="K495" s="68"/>
      <c r="S495" s="32"/>
      <c r="T495" s="32"/>
      <c r="U495" s="61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23"/>
      <c r="AG495" s="23"/>
      <c r="AH495" s="27"/>
    </row>
    <row r="496" spans="1:34" x14ac:dyDescent="0.25">
      <c r="A496" s="69"/>
      <c r="B496" s="67"/>
      <c r="C496" s="67"/>
      <c r="D496" s="68"/>
      <c r="E496" s="68"/>
      <c r="F496" s="68"/>
      <c r="G496" s="67"/>
      <c r="H496" s="67"/>
      <c r="I496" s="67"/>
      <c r="J496" s="68"/>
      <c r="K496" s="68"/>
      <c r="S496" s="32"/>
      <c r="T496" s="32"/>
      <c r="U496" s="61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23"/>
      <c r="AG496" s="23"/>
      <c r="AH496" s="27"/>
    </row>
    <row r="497" spans="1:34" x14ac:dyDescent="0.25">
      <c r="A497" s="69"/>
      <c r="B497" s="67"/>
      <c r="C497" s="67"/>
      <c r="D497" s="68"/>
      <c r="E497" s="68"/>
      <c r="F497" s="68"/>
      <c r="G497" s="67"/>
      <c r="H497" s="67"/>
      <c r="I497" s="67"/>
      <c r="J497" s="68"/>
      <c r="K497" s="68"/>
      <c r="S497" s="32"/>
      <c r="T497" s="32"/>
      <c r="U497" s="61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23"/>
      <c r="AG497" s="23"/>
      <c r="AH497" s="27"/>
    </row>
    <row r="498" spans="1:34" x14ac:dyDescent="0.25">
      <c r="A498" s="69"/>
      <c r="B498" s="67"/>
      <c r="C498" s="67"/>
      <c r="D498" s="68"/>
      <c r="E498" s="68"/>
      <c r="F498" s="68"/>
      <c r="G498" s="67"/>
      <c r="H498" s="67"/>
      <c r="I498" s="67"/>
      <c r="J498" s="68"/>
      <c r="K498" s="68"/>
      <c r="S498" s="32"/>
      <c r="T498" s="32"/>
      <c r="U498" s="61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23"/>
      <c r="AG498" s="23"/>
      <c r="AH498" s="27"/>
    </row>
    <row r="499" spans="1:34" x14ac:dyDescent="0.25">
      <c r="A499" s="69"/>
      <c r="B499" s="67"/>
      <c r="C499" s="67"/>
      <c r="D499" s="68"/>
      <c r="E499" s="68"/>
      <c r="F499" s="68"/>
      <c r="G499" s="67"/>
      <c r="H499" s="67"/>
      <c r="I499" s="67"/>
      <c r="J499" s="68"/>
      <c r="K499" s="68"/>
      <c r="S499" s="32"/>
      <c r="T499" s="32"/>
      <c r="U499" s="61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23"/>
      <c r="AG499" s="23"/>
      <c r="AH499" s="27"/>
    </row>
    <row r="500" spans="1:34" x14ac:dyDescent="0.25">
      <c r="A500" s="69"/>
      <c r="B500" s="67"/>
      <c r="C500" s="67"/>
      <c r="D500" s="68"/>
      <c r="E500" s="68"/>
      <c r="F500" s="68"/>
      <c r="G500" s="67"/>
      <c r="H500" s="67"/>
      <c r="I500" s="67"/>
      <c r="J500" s="68"/>
      <c r="K500" s="68"/>
      <c r="S500" s="32"/>
      <c r="T500" s="32"/>
      <c r="U500" s="61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23"/>
      <c r="AG500" s="23"/>
      <c r="AH500" s="27"/>
    </row>
    <row r="501" spans="1:34" x14ac:dyDescent="0.25">
      <c r="A501" s="69"/>
      <c r="B501" s="67"/>
      <c r="C501" s="67"/>
      <c r="D501" s="68"/>
      <c r="E501" s="68"/>
      <c r="F501" s="68"/>
      <c r="G501" s="67"/>
      <c r="H501" s="67"/>
      <c r="I501" s="67"/>
      <c r="J501" s="68"/>
      <c r="K501" s="68"/>
      <c r="S501" s="32"/>
      <c r="T501" s="32"/>
      <c r="U501" s="61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23"/>
      <c r="AG501" s="23"/>
      <c r="AH501" s="27"/>
    </row>
    <row r="502" spans="1:34" x14ac:dyDescent="0.25">
      <c r="A502" s="69"/>
      <c r="B502" s="67"/>
      <c r="C502" s="67"/>
      <c r="D502" s="68"/>
      <c r="E502" s="68"/>
      <c r="F502" s="68"/>
      <c r="G502" s="67"/>
      <c r="H502" s="67"/>
      <c r="I502" s="67"/>
      <c r="J502" s="68"/>
      <c r="K502" s="68"/>
      <c r="S502" s="32"/>
      <c r="T502" s="32"/>
      <c r="U502" s="61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23"/>
      <c r="AG502" s="23"/>
      <c r="AH502" s="27"/>
    </row>
    <row r="503" spans="1:34" x14ac:dyDescent="0.25">
      <c r="A503" s="69"/>
      <c r="B503" s="67"/>
      <c r="C503" s="67"/>
      <c r="D503" s="68"/>
      <c r="E503" s="68"/>
      <c r="F503" s="68"/>
      <c r="G503" s="67"/>
      <c r="H503" s="67"/>
      <c r="I503" s="67"/>
      <c r="J503" s="68"/>
      <c r="K503" s="68"/>
      <c r="S503" s="32"/>
      <c r="T503" s="32"/>
      <c r="U503" s="61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23"/>
      <c r="AG503" s="23"/>
      <c r="AH503" s="27"/>
    </row>
    <row r="504" spans="1:34" x14ac:dyDescent="0.25">
      <c r="A504" s="69"/>
      <c r="B504" s="67"/>
      <c r="C504" s="67"/>
      <c r="D504" s="70"/>
      <c r="E504" s="70"/>
      <c r="F504" s="70"/>
      <c r="G504" s="67"/>
      <c r="H504" s="67"/>
      <c r="I504" s="67"/>
      <c r="J504" s="68"/>
      <c r="K504" s="68"/>
      <c r="S504" s="32"/>
      <c r="T504" s="32"/>
      <c r="U504" s="61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23"/>
      <c r="AG504" s="23"/>
      <c r="AH504" s="27"/>
    </row>
    <row r="505" spans="1:34" x14ac:dyDescent="0.25">
      <c r="A505" s="69"/>
      <c r="B505" s="67"/>
      <c r="C505" s="67"/>
      <c r="D505" s="70"/>
      <c r="E505" s="70"/>
      <c r="F505" s="70"/>
      <c r="G505" s="67"/>
      <c r="H505" s="67"/>
      <c r="I505" s="67"/>
      <c r="J505" s="68"/>
      <c r="K505" s="68"/>
      <c r="S505" s="32"/>
      <c r="T505" s="32"/>
      <c r="U505" s="61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23"/>
      <c r="AG505" s="23"/>
      <c r="AH505" s="27"/>
    </row>
    <row r="506" spans="1:34" x14ac:dyDescent="0.25">
      <c r="A506" s="69"/>
      <c r="B506" s="67"/>
      <c r="C506" s="67"/>
      <c r="D506" s="70"/>
      <c r="E506" s="70"/>
      <c r="F506" s="70"/>
      <c r="G506" s="67"/>
      <c r="H506" s="67"/>
      <c r="I506" s="67"/>
      <c r="J506" s="68"/>
      <c r="K506" s="68"/>
      <c r="S506" s="32"/>
      <c r="T506" s="32"/>
      <c r="U506" s="61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23"/>
      <c r="AG506" s="23"/>
      <c r="AH506" s="27"/>
    </row>
    <row r="507" spans="1:34" x14ac:dyDescent="0.25">
      <c r="A507" s="69"/>
      <c r="B507" s="67"/>
      <c r="C507" s="67"/>
      <c r="D507" s="68"/>
      <c r="E507" s="68"/>
      <c r="F507" s="68"/>
      <c r="G507" s="67"/>
      <c r="H507" s="67"/>
      <c r="I507" s="67"/>
      <c r="J507" s="68"/>
      <c r="K507" s="68"/>
      <c r="S507" s="32"/>
      <c r="T507" s="32"/>
      <c r="U507" s="61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23"/>
      <c r="AG507" s="23"/>
      <c r="AH507" s="27"/>
    </row>
    <row r="508" spans="1:34" x14ac:dyDescent="0.25">
      <c r="A508" s="69"/>
      <c r="B508" s="67"/>
      <c r="C508" s="67"/>
      <c r="D508" s="68"/>
      <c r="E508" s="68"/>
      <c r="F508" s="68"/>
      <c r="G508" s="67"/>
      <c r="H508" s="67"/>
      <c r="I508" s="67"/>
      <c r="J508" s="68"/>
      <c r="K508" s="68"/>
      <c r="S508" s="32"/>
      <c r="T508" s="32"/>
      <c r="U508" s="61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23"/>
      <c r="AG508" s="23"/>
      <c r="AH508" s="27"/>
    </row>
    <row r="509" spans="1:34" x14ac:dyDescent="0.25">
      <c r="A509" s="69"/>
      <c r="B509" s="67"/>
      <c r="C509" s="67"/>
      <c r="D509" s="68"/>
      <c r="E509" s="68"/>
      <c r="F509" s="68"/>
      <c r="G509" s="67"/>
      <c r="H509" s="67"/>
      <c r="I509" s="67"/>
      <c r="J509" s="68"/>
      <c r="K509" s="68"/>
      <c r="S509" s="32"/>
      <c r="T509" s="32"/>
      <c r="U509" s="61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23"/>
      <c r="AG509" s="23"/>
      <c r="AH509" s="27"/>
    </row>
    <row r="510" spans="1:34" x14ac:dyDescent="0.25">
      <c r="A510" s="69"/>
      <c r="B510" s="67"/>
      <c r="C510" s="67"/>
      <c r="D510" s="68"/>
      <c r="E510" s="68"/>
      <c r="F510" s="68"/>
      <c r="G510" s="67"/>
      <c r="H510" s="67"/>
      <c r="I510" s="67"/>
      <c r="J510" s="68"/>
      <c r="K510" s="68"/>
      <c r="S510" s="32"/>
      <c r="T510" s="32"/>
      <c r="U510" s="61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23"/>
      <c r="AG510" s="23"/>
      <c r="AH510" s="27"/>
    </row>
    <row r="511" spans="1:34" x14ac:dyDescent="0.25">
      <c r="A511" s="69"/>
      <c r="B511" s="67"/>
      <c r="C511" s="67"/>
      <c r="D511" s="68"/>
      <c r="E511" s="68"/>
      <c r="F511" s="68"/>
      <c r="G511" s="67"/>
      <c r="H511" s="67"/>
      <c r="I511" s="67"/>
      <c r="J511" s="68"/>
      <c r="K511" s="68"/>
      <c r="S511" s="32"/>
      <c r="T511" s="32"/>
      <c r="U511" s="61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23"/>
      <c r="AG511" s="23"/>
      <c r="AH511" s="27"/>
    </row>
    <row r="512" spans="1:34" x14ac:dyDescent="0.25">
      <c r="A512" s="69"/>
      <c r="B512" s="67"/>
      <c r="C512" s="67"/>
      <c r="D512" s="68"/>
      <c r="E512" s="68"/>
      <c r="F512" s="68"/>
      <c r="G512" s="67"/>
      <c r="H512" s="67"/>
      <c r="I512" s="67"/>
      <c r="J512" s="68"/>
      <c r="K512" s="68"/>
      <c r="S512" s="32"/>
      <c r="T512" s="32"/>
      <c r="U512" s="61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23"/>
      <c r="AG512" s="23"/>
      <c r="AH512" s="27"/>
    </row>
    <row r="513" spans="1:34" x14ac:dyDescent="0.25">
      <c r="A513" s="69"/>
      <c r="B513" s="67"/>
      <c r="C513" s="67"/>
      <c r="D513" s="68"/>
      <c r="E513" s="68"/>
      <c r="F513" s="68"/>
      <c r="G513" s="67"/>
      <c r="H513" s="67"/>
      <c r="I513" s="67"/>
      <c r="J513" s="68"/>
      <c r="K513" s="68"/>
      <c r="S513" s="32"/>
      <c r="T513" s="32"/>
      <c r="U513" s="61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23"/>
      <c r="AG513" s="23"/>
      <c r="AH513" s="27"/>
    </row>
    <row r="514" spans="1:34" x14ac:dyDescent="0.25">
      <c r="A514" s="69"/>
      <c r="B514" s="67"/>
      <c r="C514" s="67"/>
      <c r="D514" s="68"/>
      <c r="E514" s="68"/>
      <c r="F514" s="68"/>
      <c r="G514" s="67"/>
      <c r="H514" s="67"/>
      <c r="I514" s="67"/>
      <c r="J514" s="68"/>
      <c r="K514" s="68"/>
      <c r="S514" s="32"/>
      <c r="T514" s="32"/>
      <c r="U514" s="61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23"/>
      <c r="AG514" s="23"/>
      <c r="AH514" s="27"/>
    </row>
    <row r="515" spans="1:34" x14ac:dyDescent="0.25">
      <c r="A515" s="69"/>
      <c r="B515" s="67"/>
      <c r="C515" s="67"/>
      <c r="D515" s="68"/>
      <c r="E515" s="68"/>
      <c r="F515" s="68"/>
      <c r="G515" s="67"/>
      <c r="H515" s="67"/>
      <c r="I515" s="67"/>
      <c r="J515" s="68"/>
      <c r="K515" s="68"/>
      <c r="S515" s="32"/>
      <c r="T515" s="32"/>
      <c r="U515" s="61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23"/>
      <c r="AG515" s="23"/>
      <c r="AH515" s="27"/>
    </row>
    <row r="516" spans="1:34" x14ac:dyDescent="0.25">
      <c r="A516" s="69"/>
      <c r="B516" s="67"/>
      <c r="C516" s="67"/>
      <c r="D516" s="68"/>
      <c r="E516" s="68"/>
      <c r="F516" s="68"/>
      <c r="G516" s="67"/>
      <c r="H516" s="67"/>
      <c r="I516" s="67"/>
      <c r="J516" s="68"/>
      <c r="K516" s="68"/>
      <c r="S516" s="32"/>
      <c r="T516" s="32"/>
      <c r="U516" s="61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23"/>
      <c r="AG516" s="23"/>
      <c r="AH516" s="27"/>
    </row>
    <row r="517" spans="1:34" x14ac:dyDescent="0.25">
      <c r="A517" s="69"/>
      <c r="B517" s="67"/>
      <c r="C517" s="67"/>
      <c r="D517" s="68"/>
      <c r="E517" s="68"/>
      <c r="F517" s="68"/>
      <c r="G517" s="67"/>
      <c r="H517" s="67"/>
      <c r="I517" s="67"/>
      <c r="J517" s="68"/>
      <c r="K517" s="68"/>
      <c r="S517" s="32"/>
      <c r="T517" s="32"/>
      <c r="U517" s="61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23"/>
      <c r="AG517" s="23"/>
      <c r="AH517" s="27"/>
    </row>
    <row r="518" spans="1:34" x14ac:dyDescent="0.25">
      <c r="A518" s="69"/>
      <c r="B518" s="67"/>
      <c r="C518" s="67"/>
      <c r="D518" s="68"/>
      <c r="E518" s="68"/>
      <c r="F518" s="68"/>
      <c r="G518" s="67"/>
      <c r="H518" s="67"/>
      <c r="I518" s="67"/>
      <c r="J518" s="68"/>
      <c r="K518" s="68"/>
      <c r="S518" s="32"/>
      <c r="T518" s="32"/>
      <c r="U518" s="61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23"/>
      <c r="AG518" s="23"/>
      <c r="AH518" s="27"/>
    </row>
    <row r="519" spans="1:34" x14ac:dyDescent="0.25">
      <c r="A519" s="69"/>
      <c r="B519" s="67"/>
      <c r="C519" s="67"/>
      <c r="D519" s="68"/>
      <c r="E519" s="68"/>
      <c r="F519" s="68"/>
      <c r="G519" s="67"/>
      <c r="H519" s="67"/>
      <c r="I519" s="67"/>
      <c r="J519" s="68"/>
      <c r="K519" s="68"/>
      <c r="S519" s="32"/>
      <c r="T519" s="32"/>
      <c r="U519" s="61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23"/>
      <c r="AG519" s="23"/>
      <c r="AH519" s="27"/>
    </row>
    <row r="520" spans="1:34" x14ac:dyDescent="0.25">
      <c r="A520" s="69"/>
      <c r="B520" s="67"/>
      <c r="C520" s="67"/>
      <c r="D520" s="68"/>
      <c r="E520" s="68"/>
      <c r="F520" s="68"/>
      <c r="G520" s="67"/>
      <c r="H520" s="67"/>
      <c r="I520" s="67"/>
      <c r="J520" s="68"/>
      <c r="K520" s="68"/>
      <c r="S520" s="32"/>
      <c r="T520" s="32"/>
      <c r="U520" s="61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23"/>
      <c r="AG520" s="23"/>
      <c r="AH520" s="27"/>
    </row>
    <row r="521" spans="1:34" x14ac:dyDescent="0.25">
      <c r="A521" s="69"/>
      <c r="B521" s="67"/>
      <c r="C521" s="67"/>
      <c r="D521" s="68"/>
      <c r="E521" s="68"/>
      <c r="F521" s="68"/>
      <c r="G521" s="67"/>
      <c r="H521" s="67"/>
      <c r="I521" s="67"/>
      <c r="J521" s="68"/>
      <c r="K521" s="68"/>
      <c r="S521" s="32"/>
      <c r="T521" s="32"/>
      <c r="U521" s="61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23"/>
      <c r="AG521" s="23"/>
      <c r="AH521" s="27"/>
    </row>
    <row r="522" spans="1:34" x14ac:dyDescent="0.25">
      <c r="A522" s="69"/>
      <c r="B522" s="67"/>
      <c r="C522" s="67"/>
      <c r="D522" s="68"/>
      <c r="E522" s="68"/>
      <c r="F522" s="68"/>
      <c r="G522" s="67"/>
      <c r="H522" s="67"/>
      <c r="I522" s="67"/>
      <c r="J522" s="68"/>
      <c r="K522" s="68"/>
      <c r="S522" s="32"/>
      <c r="T522" s="32"/>
      <c r="U522" s="61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23"/>
      <c r="AG522" s="23"/>
      <c r="AH522" s="27"/>
    </row>
    <row r="523" spans="1:34" x14ac:dyDescent="0.25">
      <c r="A523" s="69"/>
      <c r="B523" s="67"/>
      <c r="C523" s="67"/>
      <c r="D523" s="68"/>
      <c r="E523" s="68"/>
      <c r="F523" s="68"/>
      <c r="G523" s="67"/>
      <c r="H523" s="67"/>
      <c r="I523" s="67"/>
      <c r="J523" s="68"/>
      <c r="K523" s="68"/>
      <c r="S523" s="32"/>
      <c r="T523" s="32"/>
      <c r="U523" s="61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23"/>
      <c r="AG523" s="23"/>
      <c r="AH523" s="27"/>
    </row>
    <row r="524" spans="1:34" x14ac:dyDescent="0.25">
      <c r="A524" s="69"/>
      <c r="B524" s="67"/>
      <c r="C524" s="67"/>
      <c r="D524" s="68"/>
      <c r="E524" s="68"/>
      <c r="F524" s="68"/>
      <c r="G524" s="67"/>
      <c r="H524" s="67"/>
      <c r="I524" s="67"/>
      <c r="J524" s="68"/>
      <c r="K524" s="68"/>
      <c r="S524" s="32"/>
      <c r="T524" s="32"/>
      <c r="U524" s="61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23"/>
      <c r="AG524" s="23"/>
      <c r="AH524" s="27"/>
    </row>
    <row r="525" spans="1:34" x14ac:dyDescent="0.25">
      <c r="A525" s="69"/>
      <c r="B525" s="67"/>
      <c r="C525" s="67"/>
      <c r="D525" s="68"/>
      <c r="E525" s="68"/>
      <c r="F525" s="68"/>
      <c r="G525" s="67"/>
      <c r="H525" s="67"/>
      <c r="I525" s="67"/>
      <c r="J525" s="68"/>
      <c r="K525" s="68"/>
      <c r="S525" s="32"/>
      <c r="T525" s="32"/>
      <c r="U525" s="61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23"/>
      <c r="AG525" s="23"/>
      <c r="AH525" s="27"/>
    </row>
    <row r="526" spans="1:34" x14ac:dyDescent="0.25">
      <c r="A526" s="69"/>
      <c r="B526" s="67"/>
      <c r="C526" s="67"/>
      <c r="D526" s="68"/>
      <c r="E526" s="68"/>
      <c r="F526" s="68"/>
      <c r="G526" s="67"/>
      <c r="H526" s="67"/>
      <c r="I526" s="67"/>
      <c r="J526" s="68"/>
      <c r="K526" s="68"/>
      <c r="S526" s="32"/>
      <c r="T526" s="32"/>
      <c r="U526" s="61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23"/>
      <c r="AG526" s="23"/>
      <c r="AH526" s="27"/>
    </row>
    <row r="527" spans="1:34" x14ac:dyDescent="0.25">
      <c r="A527" s="69"/>
      <c r="B527" s="67"/>
      <c r="C527" s="67"/>
      <c r="D527" s="68"/>
      <c r="E527" s="68"/>
      <c r="F527" s="68"/>
      <c r="G527" s="67"/>
      <c r="H527" s="67"/>
      <c r="I527" s="67"/>
      <c r="J527" s="68"/>
      <c r="K527" s="68"/>
      <c r="S527" s="32"/>
      <c r="T527" s="32"/>
      <c r="U527" s="61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23"/>
      <c r="AG527" s="23"/>
      <c r="AH527" s="27"/>
    </row>
    <row r="528" spans="1:34" x14ac:dyDescent="0.25">
      <c r="A528" s="69"/>
      <c r="B528" s="67"/>
      <c r="C528" s="67"/>
      <c r="D528" s="70"/>
      <c r="E528" s="70"/>
      <c r="F528" s="70"/>
      <c r="G528" s="67"/>
      <c r="H528" s="67"/>
      <c r="I528" s="67"/>
      <c r="J528" s="68"/>
      <c r="K528" s="68"/>
      <c r="S528" s="32"/>
      <c r="T528" s="32"/>
      <c r="U528" s="61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23"/>
      <c r="AG528" s="23"/>
      <c r="AH528" s="27"/>
    </row>
    <row r="529" spans="1:34" x14ac:dyDescent="0.25">
      <c r="A529" s="69"/>
      <c r="B529" s="67"/>
      <c r="C529" s="67"/>
      <c r="D529" s="70"/>
      <c r="E529" s="70"/>
      <c r="F529" s="70"/>
      <c r="G529" s="67"/>
      <c r="H529" s="67"/>
      <c r="I529" s="67"/>
      <c r="J529" s="68"/>
      <c r="K529" s="68"/>
      <c r="S529" s="32"/>
      <c r="T529" s="32"/>
      <c r="U529" s="61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23"/>
      <c r="AG529" s="23"/>
      <c r="AH529" s="27"/>
    </row>
    <row r="530" spans="1:34" x14ac:dyDescent="0.25">
      <c r="A530" s="69"/>
      <c r="B530" s="67"/>
      <c r="C530" s="67"/>
      <c r="D530" s="70"/>
      <c r="E530" s="70"/>
      <c r="F530" s="70"/>
      <c r="G530" s="67"/>
      <c r="H530" s="67"/>
      <c r="I530" s="67"/>
      <c r="J530" s="68"/>
      <c r="K530" s="68"/>
      <c r="S530" s="32"/>
      <c r="T530" s="32"/>
      <c r="U530" s="61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23"/>
      <c r="AG530" s="23"/>
      <c r="AH530" s="27"/>
    </row>
    <row r="531" spans="1:34" x14ac:dyDescent="0.25">
      <c r="A531" s="69"/>
      <c r="B531" s="67"/>
      <c r="C531" s="67"/>
      <c r="D531" s="68"/>
      <c r="E531" s="68"/>
      <c r="F531" s="68"/>
      <c r="G531" s="67"/>
      <c r="H531" s="67"/>
      <c r="I531" s="67"/>
      <c r="J531" s="68"/>
      <c r="K531" s="68"/>
      <c r="S531" s="32"/>
      <c r="T531" s="32"/>
      <c r="U531" s="61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23"/>
      <c r="AG531" s="23"/>
      <c r="AH531" s="27"/>
    </row>
    <row r="532" spans="1:34" x14ac:dyDescent="0.25">
      <c r="A532" s="69"/>
      <c r="B532" s="67"/>
      <c r="C532" s="67"/>
      <c r="D532" s="68"/>
      <c r="E532" s="68"/>
      <c r="F532" s="68"/>
      <c r="G532" s="67"/>
      <c r="H532" s="67"/>
      <c r="I532" s="67"/>
      <c r="J532" s="68"/>
      <c r="K532" s="68"/>
      <c r="S532" s="32"/>
      <c r="T532" s="32"/>
      <c r="U532" s="61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23"/>
      <c r="AG532" s="23"/>
      <c r="AH532" s="27"/>
    </row>
    <row r="533" spans="1:34" x14ac:dyDescent="0.25">
      <c r="A533" s="69"/>
      <c r="B533" s="67"/>
      <c r="C533" s="67"/>
      <c r="D533" s="68"/>
      <c r="E533" s="68"/>
      <c r="F533" s="68"/>
      <c r="G533" s="67"/>
      <c r="H533" s="67"/>
      <c r="I533" s="67"/>
      <c r="J533" s="68"/>
      <c r="K533" s="68"/>
      <c r="S533" s="32"/>
      <c r="T533" s="32"/>
      <c r="U533" s="61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23"/>
      <c r="AG533" s="23"/>
      <c r="AH533" s="27"/>
    </row>
    <row r="534" spans="1:34" x14ac:dyDescent="0.25">
      <c r="A534" s="69"/>
      <c r="B534" s="67"/>
      <c r="C534" s="67"/>
      <c r="D534" s="68"/>
      <c r="E534" s="68"/>
      <c r="F534" s="68"/>
      <c r="G534" s="67"/>
      <c r="H534" s="67"/>
      <c r="I534" s="67"/>
      <c r="J534" s="68"/>
      <c r="K534" s="68"/>
      <c r="S534" s="32"/>
      <c r="T534" s="32"/>
      <c r="U534" s="61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23"/>
      <c r="AG534" s="23"/>
      <c r="AH534" s="27"/>
    </row>
    <row r="535" spans="1:34" x14ac:dyDescent="0.25">
      <c r="A535" s="69"/>
      <c r="B535" s="67"/>
      <c r="C535" s="67"/>
      <c r="D535" s="68"/>
      <c r="E535" s="68"/>
      <c r="F535" s="68"/>
      <c r="G535" s="67"/>
      <c r="H535" s="67"/>
      <c r="I535" s="67"/>
      <c r="J535" s="68"/>
      <c r="K535" s="68"/>
      <c r="S535" s="32"/>
      <c r="T535" s="32"/>
      <c r="U535" s="61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23"/>
      <c r="AG535" s="23"/>
      <c r="AH535" s="27"/>
    </row>
    <row r="536" spans="1:34" x14ac:dyDescent="0.25">
      <c r="A536" s="69"/>
      <c r="B536" s="67"/>
      <c r="C536" s="67"/>
      <c r="D536" s="68"/>
      <c r="E536" s="68"/>
      <c r="F536" s="68"/>
      <c r="G536" s="67"/>
      <c r="H536" s="67"/>
      <c r="I536" s="67"/>
      <c r="J536" s="68"/>
      <c r="K536" s="68"/>
      <c r="S536" s="32"/>
      <c r="T536" s="32"/>
      <c r="U536" s="61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23"/>
      <c r="AG536" s="23"/>
      <c r="AH536" s="27"/>
    </row>
    <row r="537" spans="1:34" x14ac:dyDescent="0.25">
      <c r="A537" s="69"/>
      <c r="B537" s="67"/>
      <c r="C537" s="67"/>
      <c r="D537" s="68"/>
      <c r="E537" s="68"/>
      <c r="F537" s="68"/>
      <c r="G537" s="67"/>
      <c r="H537" s="67"/>
      <c r="I537" s="67"/>
      <c r="J537" s="68"/>
      <c r="K537" s="68"/>
      <c r="S537" s="32"/>
      <c r="T537" s="32"/>
      <c r="U537" s="61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23"/>
      <c r="AG537" s="23"/>
      <c r="AH537" s="27"/>
    </row>
    <row r="538" spans="1:34" x14ac:dyDescent="0.25">
      <c r="A538" s="69"/>
      <c r="B538" s="67"/>
      <c r="C538" s="67"/>
      <c r="D538" s="68"/>
      <c r="E538" s="68"/>
      <c r="F538" s="68"/>
      <c r="G538" s="67"/>
      <c r="H538" s="67"/>
      <c r="I538" s="67"/>
      <c r="J538" s="68"/>
      <c r="K538" s="68"/>
      <c r="S538" s="32"/>
      <c r="T538" s="32"/>
      <c r="U538" s="61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23"/>
      <c r="AG538" s="23"/>
      <c r="AH538" s="27"/>
    </row>
    <row r="539" spans="1:34" x14ac:dyDescent="0.25">
      <c r="A539" s="69"/>
      <c r="B539" s="67"/>
      <c r="C539" s="67"/>
      <c r="D539" s="68"/>
      <c r="E539" s="68"/>
      <c r="F539" s="68"/>
      <c r="G539" s="67"/>
      <c r="H539" s="67"/>
      <c r="I539" s="67"/>
      <c r="J539" s="68"/>
      <c r="K539" s="68"/>
      <c r="S539" s="32"/>
      <c r="T539" s="32"/>
      <c r="U539" s="61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23"/>
      <c r="AG539" s="23"/>
      <c r="AH539" s="27"/>
    </row>
    <row r="540" spans="1:34" x14ac:dyDescent="0.25">
      <c r="A540" s="69"/>
      <c r="B540" s="67"/>
      <c r="C540" s="67"/>
      <c r="D540" s="68"/>
      <c r="E540" s="68"/>
      <c r="F540" s="68"/>
      <c r="G540" s="67"/>
      <c r="H540" s="67"/>
      <c r="I540" s="67"/>
      <c r="J540" s="68"/>
      <c r="K540" s="68"/>
      <c r="S540" s="32"/>
      <c r="T540" s="32"/>
      <c r="U540" s="61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23"/>
      <c r="AG540" s="23"/>
      <c r="AH540" s="27"/>
    </row>
    <row r="541" spans="1:34" x14ac:dyDescent="0.25">
      <c r="A541" s="69"/>
      <c r="B541" s="67"/>
      <c r="C541" s="67"/>
      <c r="D541" s="68"/>
      <c r="E541" s="68"/>
      <c r="F541" s="68"/>
      <c r="G541" s="67"/>
      <c r="H541" s="67"/>
      <c r="I541" s="67"/>
      <c r="J541" s="68"/>
      <c r="K541" s="68"/>
      <c r="S541" s="32"/>
      <c r="T541" s="32"/>
      <c r="U541" s="61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23"/>
      <c r="AG541" s="23"/>
      <c r="AH541" s="27"/>
    </row>
    <row r="542" spans="1:34" x14ac:dyDescent="0.25">
      <c r="A542" s="69"/>
      <c r="B542" s="67"/>
      <c r="C542" s="67"/>
      <c r="D542" s="68"/>
      <c r="E542" s="68"/>
      <c r="F542" s="68"/>
      <c r="G542" s="67"/>
      <c r="H542" s="67"/>
      <c r="I542" s="67"/>
      <c r="J542" s="68"/>
      <c r="K542" s="68"/>
      <c r="S542" s="32"/>
      <c r="T542" s="32"/>
      <c r="U542" s="61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23"/>
      <c r="AG542" s="23"/>
      <c r="AH542" s="27"/>
    </row>
    <row r="543" spans="1:34" x14ac:dyDescent="0.25">
      <c r="A543" s="69"/>
      <c r="B543" s="67"/>
      <c r="C543" s="67"/>
      <c r="D543" s="68"/>
      <c r="E543" s="68"/>
      <c r="F543" s="68"/>
      <c r="G543" s="67"/>
      <c r="H543" s="67"/>
      <c r="I543" s="67"/>
      <c r="J543" s="68"/>
      <c r="K543" s="68"/>
      <c r="S543" s="32"/>
      <c r="T543" s="32"/>
      <c r="U543" s="61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23"/>
      <c r="AG543" s="23"/>
      <c r="AH543" s="27"/>
    </row>
    <row r="544" spans="1:34" x14ac:dyDescent="0.25">
      <c r="A544" s="69"/>
      <c r="B544" s="67"/>
      <c r="C544" s="67"/>
      <c r="D544" s="68"/>
      <c r="E544" s="68"/>
      <c r="F544" s="68"/>
      <c r="G544" s="67"/>
      <c r="H544" s="67"/>
      <c r="I544" s="67"/>
      <c r="J544" s="68"/>
      <c r="K544" s="68"/>
      <c r="S544" s="32"/>
      <c r="T544" s="32"/>
      <c r="U544" s="61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23"/>
      <c r="AG544" s="23"/>
      <c r="AH544" s="27"/>
    </row>
    <row r="545" spans="1:34" x14ac:dyDescent="0.25">
      <c r="A545" s="69"/>
      <c r="B545" s="67"/>
      <c r="C545" s="67"/>
      <c r="D545" s="68"/>
      <c r="E545" s="68"/>
      <c r="F545" s="68"/>
      <c r="G545" s="67"/>
      <c r="H545" s="67"/>
      <c r="I545" s="67"/>
      <c r="J545" s="68"/>
      <c r="K545" s="68"/>
      <c r="S545" s="32"/>
      <c r="T545" s="32"/>
      <c r="U545" s="61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23"/>
      <c r="AG545" s="23"/>
      <c r="AH545" s="27"/>
    </row>
    <row r="546" spans="1:34" x14ac:dyDescent="0.25">
      <c r="A546" s="69"/>
      <c r="B546" s="67"/>
      <c r="C546" s="67"/>
      <c r="D546" s="68"/>
      <c r="E546" s="68"/>
      <c r="F546" s="68"/>
      <c r="G546" s="67"/>
      <c r="H546" s="67"/>
      <c r="I546" s="67"/>
      <c r="J546" s="68"/>
      <c r="K546" s="68"/>
      <c r="S546" s="32"/>
      <c r="T546" s="32"/>
      <c r="U546" s="61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23"/>
      <c r="AG546" s="23"/>
      <c r="AH546" s="27"/>
    </row>
    <row r="547" spans="1:34" x14ac:dyDescent="0.25">
      <c r="A547" s="69"/>
      <c r="B547" s="67"/>
      <c r="C547" s="67"/>
      <c r="D547" s="68"/>
      <c r="E547" s="68"/>
      <c r="F547" s="68"/>
      <c r="G547" s="67"/>
      <c r="H547" s="67"/>
      <c r="I547" s="67"/>
      <c r="J547" s="68"/>
      <c r="K547" s="68"/>
      <c r="S547" s="32"/>
      <c r="T547" s="32"/>
      <c r="U547" s="61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23"/>
      <c r="AG547" s="23"/>
      <c r="AH547" s="27"/>
    </row>
    <row r="548" spans="1:34" x14ac:dyDescent="0.25">
      <c r="A548" s="69"/>
      <c r="B548" s="67"/>
      <c r="C548" s="67"/>
      <c r="D548" s="68"/>
      <c r="E548" s="68"/>
      <c r="F548" s="68"/>
      <c r="G548" s="67"/>
      <c r="H548" s="67"/>
      <c r="I548" s="67"/>
      <c r="J548" s="68"/>
      <c r="K548" s="68"/>
      <c r="S548" s="32"/>
      <c r="T548" s="32"/>
      <c r="U548" s="61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23"/>
      <c r="AG548" s="23"/>
      <c r="AH548" s="27"/>
    </row>
    <row r="549" spans="1:34" x14ac:dyDescent="0.25">
      <c r="A549" s="69"/>
      <c r="B549" s="67"/>
      <c r="C549" s="67"/>
      <c r="D549" s="68"/>
      <c r="E549" s="68"/>
      <c r="F549" s="68"/>
      <c r="G549" s="67"/>
      <c r="H549" s="67"/>
      <c r="I549" s="67"/>
      <c r="J549" s="68"/>
      <c r="K549" s="68"/>
      <c r="S549" s="32"/>
      <c r="T549" s="32"/>
      <c r="U549" s="61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23"/>
      <c r="AG549" s="23"/>
      <c r="AH549" s="27"/>
    </row>
    <row r="550" spans="1:34" x14ac:dyDescent="0.25">
      <c r="A550" s="69"/>
      <c r="B550" s="67"/>
      <c r="C550" s="67"/>
      <c r="D550" s="68"/>
      <c r="E550" s="68"/>
      <c r="F550" s="68"/>
      <c r="G550" s="67"/>
      <c r="H550" s="67"/>
      <c r="I550" s="67"/>
      <c r="J550" s="68"/>
      <c r="K550" s="68"/>
      <c r="S550" s="32"/>
      <c r="T550" s="32"/>
      <c r="U550" s="61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23"/>
      <c r="AG550" s="23"/>
      <c r="AH550" s="27"/>
    </row>
    <row r="551" spans="1:34" x14ac:dyDescent="0.25">
      <c r="A551" s="69"/>
      <c r="B551" s="67"/>
      <c r="C551" s="67"/>
      <c r="D551" s="68"/>
      <c r="E551" s="68"/>
      <c r="F551" s="68"/>
      <c r="G551" s="67"/>
      <c r="H551" s="67"/>
      <c r="I551" s="67"/>
      <c r="J551" s="68"/>
      <c r="K551" s="68"/>
      <c r="S551" s="32"/>
      <c r="T551" s="32"/>
      <c r="U551" s="61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23"/>
      <c r="AG551" s="23"/>
      <c r="AH551" s="27"/>
    </row>
    <row r="552" spans="1:34" x14ac:dyDescent="0.25">
      <c r="A552" s="69"/>
      <c r="B552" s="67"/>
      <c r="C552" s="67"/>
      <c r="D552" s="70"/>
      <c r="E552" s="70"/>
      <c r="F552" s="70"/>
      <c r="G552" s="67"/>
      <c r="H552" s="67"/>
      <c r="I552" s="67"/>
      <c r="J552" s="68"/>
      <c r="K552" s="68"/>
      <c r="S552" s="32"/>
      <c r="T552" s="32"/>
      <c r="U552" s="61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23"/>
      <c r="AG552" s="23"/>
      <c r="AH552" s="27"/>
    </row>
    <row r="553" spans="1:34" x14ac:dyDescent="0.25">
      <c r="A553" s="69"/>
      <c r="B553" s="67"/>
      <c r="C553" s="67"/>
      <c r="D553" s="70"/>
      <c r="E553" s="70"/>
      <c r="F553" s="70"/>
      <c r="G553" s="67"/>
      <c r="H553" s="67"/>
      <c r="I553" s="67"/>
      <c r="J553" s="68"/>
      <c r="K553" s="68"/>
      <c r="S553" s="32"/>
      <c r="T553" s="32"/>
      <c r="U553" s="61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23"/>
      <c r="AG553" s="23"/>
      <c r="AH553" s="27"/>
    </row>
    <row r="554" spans="1:34" x14ac:dyDescent="0.25">
      <c r="A554" s="69"/>
      <c r="B554" s="67"/>
      <c r="C554" s="67"/>
      <c r="D554" s="70"/>
      <c r="E554" s="70"/>
      <c r="F554" s="70"/>
      <c r="G554" s="67"/>
      <c r="H554" s="67"/>
      <c r="I554" s="67"/>
      <c r="J554" s="68"/>
      <c r="K554" s="68"/>
      <c r="S554" s="32"/>
      <c r="T554" s="32"/>
      <c r="U554" s="61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23"/>
      <c r="AG554" s="23"/>
      <c r="AH554" s="27"/>
    </row>
    <row r="555" spans="1:34" x14ac:dyDescent="0.25">
      <c r="A555" s="69"/>
      <c r="B555" s="67"/>
      <c r="C555" s="67"/>
      <c r="D555" s="68"/>
      <c r="E555" s="68"/>
      <c r="F555" s="68"/>
      <c r="G555" s="67"/>
      <c r="H555" s="67"/>
      <c r="I555" s="67"/>
      <c r="J555" s="68"/>
      <c r="K555" s="68"/>
      <c r="S555" s="32"/>
      <c r="T555" s="32"/>
      <c r="U555" s="61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23"/>
      <c r="AG555" s="23"/>
      <c r="AH555" s="27"/>
    </row>
    <row r="556" spans="1:34" x14ac:dyDescent="0.25">
      <c r="A556" s="69"/>
      <c r="B556" s="67"/>
      <c r="C556" s="67"/>
      <c r="D556" s="68"/>
      <c r="E556" s="68"/>
      <c r="F556" s="68"/>
      <c r="G556" s="67"/>
      <c r="H556" s="67"/>
      <c r="I556" s="67"/>
      <c r="J556" s="68"/>
      <c r="K556" s="68"/>
      <c r="S556" s="32"/>
      <c r="T556" s="32"/>
      <c r="U556" s="61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23"/>
      <c r="AG556" s="23"/>
      <c r="AH556" s="27"/>
    </row>
    <row r="557" spans="1:34" x14ac:dyDescent="0.25">
      <c r="A557" s="69"/>
      <c r="B557" s="67"/>
      <c r="C557" s="67"/>
      <c r="D557" s="68"/>
      <c r="E557" s="68"/>
      <c r="F557" s="68"/>
      <c r="G557" s="67"/>
      <c r="H557" s="67"/>
      <c r="I557" s="67"/>
      <c r="J557" s="68"/>
      <c r="K557" s="68"/>
      <c r="S557" s="32"/>
      <c r="T557" s="32"/>
      <c r="U557" s="61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23"/>
      <c r="AG557" s="23"/>
      <c r="AH557" s="27"/>
    </row>
    <row r="558" spans="1:34" x14ac:dyDescent="0.25">
      <c r="A558" s="69"/>
      <c r="B558" s="67"/>
      <c r="C558" s="67"/>
      <c r="D558" s="68"/>
      <c r="E558" s="68"/>
      <c r="F558" s="68"/>
      <c r="G558" s="67"/>
      <c r="H558" s="67"/>
      <c r="I558" s="67"/>
      <c r="J558" s="68"/>
      <c r="K558" s="68"/>
      <c r="S558" s="32"/>
      <c r="T558" s="32"/>
      <c r="U558" s="61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23"/>
      <c r="AG558" s="23"/>
      <c r="AH558" s="27"/>
    </row>
    <row r="559" spans="1:34" x14ac:dyDescent="0.25">
      <c r="A559" s="69"/>
      <c r="B559" s="67"/>
      <c r="C559" s="67"/>
      <c r="D559" s="68"/>
      <c r="E559" s="68"/>
      <c r="F559" s="68"/>
      <c r="G559" s="67"/>
      <c r="H559" s="67"/>
      <c r="I559" s="67"/>
      <c r="J559" s="68"/>
      <c r="K559" s="68"/>
      <c r="S559" s="32"/>
      <c r="T559" s="32"/>
      <c r="U559" s="61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23"/>
      <c r="AG559" s="23"/>
      <c r="AH559" s="27"/>
    </row>
    <row r="560" spans="1:34" x14ac:dyDescent="0.25">
      <c r="A560" s="69"/>
      <c r="B560" s="67"/>
      <c r="C560" s="67"/>
      <c r="D560" s="68"/>
      <c r="E560" s="68"/>
      <c r="F560" s="68"/>
      <c r="G560" s="67"/>
      <c r="H560" s="67"/>
      <c r="I560" s="67"/>
      <c r="J560" s="68"/>
      <c r="K560" s="68"/>
      <c r="S560" s="32"/>
      <c r="T560" s="32"/>
      <c r="U560" s="61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23"/>
      <c r="AG560" s="23"/>
      <c r="AH560" s="27"/>
    </row>
    <row r="561" spans="1:34" x14ac:dyDescent="0.25">
      <c r="A561" s="69"/>
      <c r="B561" s="67"/>
      <c r="C561" s="67"/>
      <c r="D561" s="68"/>
      <c r="E561" s="68"/>
      <c r="F561" s="68"/>
      <c r="G561" s="67"/>
      <c r="H561" s="67"/>
      <c r="I561" s="67"/>
      <c r="J561" s="68"/>
      <c r="K561" s="68"/>
      <c r="S561" s="32"/>
      <c r="T561" s="32"/>
      <c r="U561" s="61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23"/>
      <c r="AG561" s="23"/>
      <c r="AH561" s="27"/>
    </row>
    <row r="562" spans="1:34" x14ac:dyDescent="0.25">
      <c r="A562" s="69"/>
      <c r="B562" s="67"/>
      <c r="C562" s="67"/>
      <c r="D562" s="68"/>
      <c r="E562" s="68"/>
      <c r="F562" s="68"/>
      <c r="G562" s="67"/>
      <c r="H562" s="67"/>
      <c r="I562" s="67"/>
      <c r="J562" s="68"/>
      <c r="K562" s="68"/>
      <c r="S562" s="32"/>
      <c r="T562" s="32"/>
      <c r="U562" s="61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23"/>
      <c r="AG562" s="23"/>
      <c r="AH562" s="27"/>
    </row>
    <row r="563" spans="1:34" x14ac:dyDescent="0.25">
      <c r="A563" s="69"/>
      <c r="B563" s="67"/>
      <c r="C563" s="67"/>
      <c r="D563" s="68"/>
      <c r="E563" s="68"/>
      <c r="F563" s="68"/>
      <c r="G563" s="67"/>
      <c r="H563" s="67"/>
      <c r="I563" s="67"/>
      <c r="J563" s="68"/>
      <c r="K563" s="68"/>
      <c r="S563" s="32"/>
      <c r="T563" s="32"/>
      <c r="U563" s="61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23"/>
      <c r="AG563" s="23"/>
      <c r="AH563" s="27"/>
    </row>
    <row r="564" spans="1:34" x14ac:dyDescent="0.25">
      <c r="A564" s="69"/>
      <c r="B564" s="67"/>
      <c r="C564" s="67"/>
      <c r="D564" s="68"/>
      <c r="E564" s="68"/>
      <c r="F564" s="68"/>
      <c r="G564" s="67"/>
      <c r="H564" s="67"/>
      <c r="I564" s="67"/>
      <c r="J564" s="68"/>
      <c r="K564" s="68"/>
      <c r="S564" s="32"/>
      <c r="T564" s="32"/>
      <c r="U564" s="61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23"/>
      <c r="AG564" s="23"/>
      <c r="AH564" s="27"/>
    </row>
    <row r="565" spans="1:34" x14ac:dyDescent="0.25">
      <c r="A565" s="69"/>
      <c r="B565" s="67"/>
      <c r="C565" s="67"/>
      <c r="D565" s="68"/>
      <c r="E565" s="68"/>
      <c r="F565" s="68"/>
      <c r="G565" s="67"/>
      <c r="H565" s="67"/>
      <c r="I565" s="67"/>
      <c r="J565" s="68"/>
      <c r="K565" s="68"/>
      <c r="S565" s="32"/>
      <c r="T565" s="32"/>
      <c r="U565" s="61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23"/>
      <c r="AG565" s="23"/>
      <c r="AH565" s="27"/>
    </row>
    <row r="566" spans="1:34" x14ac:dyDescent="0.25">
      <c r="A566" s="69"/>
      <c r="B566" s="67"/>
      <c r="C566" s="67"/>
      <c r="D566" s="68"/>
      <c r="E566" s="68"/>
      <c r="F566" s="68"/>
      <c r="G566" s="67"/>
      <c r="H566" s="67"/>
      <c r="I566" s="67"/>
      <c r="J566" s="68"/>
      <c r="K566" s="68"/>
      <c r="S566" s="32"/>
      <c r="T566" s="32"/>
      <c r="U566" s="61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23"/>
      <c r="AG566" s="23"/>
      <c r="AH566" s="27"/>
    </row>
    <row r="567" spans="1:34" x14ac:dyDescent="0.25">
      <c r="A567" s="69"/>
      <c r="B567" s="67"/>
      <c r="C567" s="67"/>
      <c r="D567" s="68"/>
      <c r="E567" s="68"/>
      <c r="F567" s="68"/>
      <c r="G567" s="67"/>
      <c r="H567" s="67"/>
      <c r="I567" s="67"/>
      <c r="J567" s="68"/>
      <c r="K567" s="68"/>
      <c r="S567" s="32"/>
      <c r="T567" s="32"/>
      <c r="U567" s="61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23"/>
      <c r="AG567" s="23"/>
      <c r="AH567" s="27"/>
    </row>
    <row r="568" spans="1:34" x14ac:dyDescent="0.25">
      <c r="A568" s="69"/>
      <c r="B568" s="67"/>
      <c r="C568" s="67"/>
      <c r="D568" s="68"/>
      <c r="E568" s="68"/>
      <c r="F568" s="68"/>
      <c r="G568" s="67"/>
      <c r="H568" s="67"/>
      <c r="I568" s="67"/>
      <c r="J568" s="68"/>
      <c r="K568" s="68"/>
      <c r="S568" s="32"/>
      <c r="T568" s="32"/>
      <c r="U568" s="61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23"/>
      <c r="AG568" s="23"/>
      <c r="AH568" s="27"/>
    </row>
    <row r="569" spans="1:34" x14ac:dyDescent="0.25">
      <c r="A569" s="69"/>
      <c r="B569" s="67"/>
      <c r="C569" s="67"/>
      <c r="D569" s="68"/>
      <c r="E569" s="68"/>
      <c r="F569" s="68"/>
      <c r="G569" s="67"/>
      <c r="H569" s="67"/>
      <c r="I569" s="67"/>
      <c r="J569" s="68"/>
      <c r="K569" s="68"/>
      <c r="S569" s="32"/>
      <c r="T569" s="32"/>
      <c r="U569" s="61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23"/>
      <c r="AG569" s="23"/>
      <c r="AH569" s="27"/>
    </row>
    <row r="570" spans="1:34" x14ac:dyDescent="0.25">
      <c r="A570" s="69"/>
      <c r="B570" s="67"/>
      <c r="C570" s="67"/>
      <c r="D570" s="68"/>
      <c r="E570" s="68"/>
      <c r="F570" s="68"/>
      <c r="G570" s="67"/>
      <c r="H570" s="67"/>
      <c r="I570" s="67"/>
      <c r="J570" s="68"/>
      <c r="K570" s="68"/>
      <c r="S570" s="32"/>
      <c r="T570" s="32"/>
      <c r="U570" s="61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23"/>
      <c r="AG570" s="23"/>
      <c r="AH570" s="27"/>
    </row>
    <row r="571" spans="1:34" x14ac:dyDescent="0.25">
      <c r="A571" s="69"/>
      <c r="B571" s="67"/>
      <c r="C571" s="67"/>
      <c r="D571" s="68"/>
      <c r="E571" s="68"/>
      <c r="F571" s="68"/>
      <c r="G571" s="67"/>
      <c r="H571" s="67"/>
      <c r="I571" s="67"/>
      <c r="J571" s="68"/>
      <c r="K571" s="68"/>
      <c r="S571" s="32"/>
      <c r="T571" s="32"/>
      <c r="U571" s="61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23"/>
      <c r="AG571" s="23"/>
      <c r="AH571" s="27"/>
    </row>
    <row r="572" spans="1:34" x14ac:dyDescent="0.25">
      <c r="A572" s="69"/>
      <c r="B572" s="67"/>
      <c r="C572" s="67"/>
      <c r="D572" s="68"/>
      <c r="E572" s="68"/>
      <c r="F572" s="68"/>
      <c r="G572" s="67"/>
      <c r="H572" s="67"/>
      <c r="I572" s="67"/>
      <c r="J572" s="68"/>
      <c r="K572" s="68"/>
      <c r="S572" s="32"/>
      <c r="T572" s="32"/>
      <c r="U572" s="61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23"/>
      <c r="AG572" s="23"/>
      <c r="AH572" s="27"/>
    </row>
    <row r="573" spans="1:34" x14ac:dyDescent="0.25">
      <c r="A573" s="69"/>
      <c r="B573" s="67"/>
      <c r="C573" s="67"/>
      <c r="D573" s="68"/>
      <c r="E573" s="68"/>
      <c r="F573" s="68"/>
      <c r="G573" s="67"/>
      <c r="H573" s="67"/>
      <c r="I573" s="67"/>
      <c r="J573" s="68"/>
      <c r="K573" s="68"/>
      <c r="S573" s="32"/>
      <c r="T573" s="32"/>
      <c r="U573" s="61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23"/>
      <c r="AG573" s="23"/>
      <c r="AH573" s="27"/>
    </row>
    <row r="574" spans="1:34" x14ac:dyDescent="0.25">
      <c r="A574" s="69"/>
      <c r="B574" s="67"/>
      <c r="C574" s="67"/>
      <c r="D574" s="68"/>
      <c r="E574" s="68"/>
      <c r="F574" s="68"/>
      <c r="G574" s="67"/>
      <c r="H574" s="67"/>
      <c r="I574" s="67"/>
      <c r="J574" s="68"/>
      <c r="K574" s="68"/>
      <c r="S574" s="32"/>
      <c r="T574" s="32"/>
      <c r="U574" s="61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23"/>
      <c r="AG574" s="23"/>
      <c r="AH574" s="27"/>
    </row>
    <row r="575" spans="1:34" x14ac:dyDescent="0.25">
      <c r="A575" s="69"/>
      <c r="B575" s="67"/>
      <c r="C575" s="67"/>
      <c r="D575" s="68"/>
      <c r="E575" s="68"/>
      <c r="F575" s="68"/>
      <c r="G575" s="67"/>
      <c r="H575" s="67"/>
      <c r="I575" s="67"/>
      <c r="J575" s="68"/>
      <c r="K575" s="68"/>
      <c r="S575" s="32"/>
      <c r="T575" s="32"/>
      <c r="U575" s="61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23"/>
      <c r="AG575" s="23"/>
      <c r="AH575" s="27"/>
    </row>
    <row r="576" spans="1:34" x14ac:dyDescent="0.25">
      <c r="A576" s="69"/>
      <c r="B576" s="67"/>
      <c r="C576" s="67"/>
      <c r="D576" s="70"/>
      <c r="E576" s="70"/>
      <c r="F576" s="70"/>
      <c r="G576" s="67"/>
      <c r="H576" s="67"/>
      <c r="I576" s="67"/>
      <c r="J576" s="68"/>
      <c r="K576" s="68"/>
      <c r="S576" s="32"/>
      <c r="T576" s="32"/>
      <c r="U576" s="61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23"/>
      <c r="AG576" s="23"/>
      <c r="AH576" s="27"/>
    </row>
    <row r="577" spans="1:34" x14ac:dyDescent="0.25">
      <c r="A577" s="69"/>
      <c r="B577" s="67"/>
      <c r="C577" s="67"/>
      <c r="D577" s="70"/>
      <c r="E577" s="70"/>
      <c r="F577" s="70"/>
      <c r="G577" s="67"/>
      <c r="H577" s="67"/>
      <c r="I577" s="67"/>
      <c r="J577" s="68"/>
      <c r="K577" s="68"/>
      <c r="S577" s="32"/>
      <c r="T577" s="32"/>
      <c r="U577" s="61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23"/>
      <c r="AG577" s="23"/>
      <c r="AH577" s="27"/>
    </row>
    <row r="578" spans="1:34" x14ac:dyDescent="0.25">
      <c r="A578" s="69"/>
      <c r="B578" s="67"/>
      <c r="C578" s="67"/>
      <c r="D578" s="70"/>
      <c r="E578" s="70"/>
      <c r="F578" s="70"/>
      <c r="G578" s="67"/>
      <c r="H578" s="67"/>
      <c r="I578" s="67"/>
      <c r="J578" s="68"/>
      <c r="K578" s="68"/>
      <c r="S578" s="32"/>
      <c r="T578" s="32"/>
      <c r="U578" s="61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23"/>
      <c r="AG578" s="23"/>
      <c r="AH578" s="27"/>
    </row>
    <row r="579" spans="1:34" x14ac:dyDescent="0.25">
      <c r="A579" s="69"/>
      <c r="B579" s="67"/>
      <c r="C579" s="67"/>
      <c r="D579" s="68"/>
      <c r="E579" s="68"/>
      <c r="F579" s="68"/>
      <c r="G579" s="67"/>
      <c r="H579" s="67"/>
      <c r="I579" s="67"/>
      <c r="J579" s="68"/>
      <c r="K579" s="68"/>
      <c r="S579" s="32"/>
      <c r="T579" s="32"/>
      <c r="U579" s="61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23"/>
      <c r="AG579" s="23"/>
      <c r="AH579" s="27"/>
    </row>
    <row r="580" spans="1:34" x14ac:dyDescent="0.25">
      <c r="A580" s="69"/>
      <c r="B580" s="67"/>
      <c r="C580" s="67"/>
      <c r="D580" s="68"/>
      <c r="E580" s="68"/>
      <c r="F580" s="68"/>
      <c r="G580" s="67"/>
      <c r="H580" s="67"/>
      <c r="I580" s="67"/>
      <c r="J580" s="68"/>
      <c r="K580" s="68"/>
      <c r="S580" s="32"/>
      <c r="T580" s="32"/>
      <c r="U580" s="61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23"/>
      <c r="AG580" s="23"/>
      <c r="AH580" s="27"/>
    </row>
    <row r="581" spans="1:34" x14ac:dyDescent="0.25">
      <c r="A581" s="69"/>
      <c r="B581" s="67"/>
      <c r="C581" s="67"/>
      <c r="D581" s="68"/>
      <c r="E581" s="68"/>
      <c r="F581" s="68"/>
      <c r="G581" s="67"/>
      <c r="H581" s="67"/>
      <c r="I581" s="67"/>
      <c r="J581" s="68"/>
      <c r="K581" s="68"/>
      <c r="S581" s="32"/>
      <c r="T581" s="32"/>
      <c r="U581" s="61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23"/>
      <c r="AG581" s="23"/>
      <c r="AH581" s="27"/>
    </row>
    <row r="582" spans="1:34" x14ac:dyDescent="0.25">
      <c r="A582" s="69"/>
      <c r="B582" s="67"/>
      <c r="C582" s="67"/>
      <c r="D582" s="68"/>
      <c r="E582" s="68"/>
      <c r="F582" s="68"/>
      <c r="G582" s="67"/>
      <c r="H582" s="67"/>
      <c r="I582" s="67"/>
      <c r="J582" s="68"/>
      <c r="K582" s="68"/>
      <c r="S582" s="32"/>
      <c r="T582" s="32"/>
      <c r="U582" s="61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23"/>
      <c r="AG582" s="23"/>
      <c r="AH582" s="27"/>
    </row>
    <row r="583" spans="1:34" x14ac:dyDescent="0.25">
      <c r="A583" s="69"/>
      <c r="B583" s="67"/>
      <c r="C583" s="67"/>
      <c r="D583" s="68"/>
      <c r="E583" s="68"/>
      <c r="F583" s="68"/>
      <c r="G583" s="67"/>
      <c r="H583" s="67"/>
      <c r="I583" s="67"/>
      <c r="J583" s="68"/>
      <c r="K583" s="68"/>
      <c r="S583" s="32"/>
      <c r="T583" s="32"/>
      <c r="U583" s="61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23"/>
      <c r="AG583" s="23"/>
      <c r="AH583" s="27"/>
    </row>
    <row r="584" spans="1:34" x14ac:dyDescent="0.25">
      <c r="A584" s="69"/>
      <c r="B584" s="67"/>
      <c r="C584" s="67"/>
      <c r="D584" s="68"/>
      <c r="E584" s="68"/>
      <c r="F584" s="68"/>
      <c r="G584" s="67"/>
      <c r="H584" s="67"/>
      <c r="I584" s="67"/>
      <c r="J584" s="68"/>
      <c r="K584" s="68"/>
      <c r="S584" s="32"/>
      <c r="T584" s="32"/>
      <c r="U584" s="61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23"/>
      <c r="AG584" s="23"/>
      <c r="AH584" s="27"/>
    </row>
    <row r="585" spans="1:34" x14ac:dyDescent="0.25">
      <c r="A585" s="69"/>
      <c r="B585" s="67"/>
      <c r="C585" s="67"/>
      <c r="D585" s="68"/>
      <c r="E585" s="68"/>
      <c r="F585" s="68"/>
      <c r="G585" s="67"/>
      <c r="H585" s="67"/>
      <c r="I585" s="67"/>
      <c r="J585" s="68"/>
      <c r="K585" s="68"/>
      <c r="S585" s="32"/>
      <c r="T585" s="32"/>
      <c r="U585" s="61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23"/>
      <c r="AG585" s="23"/>
      <c r="AH585" s="27"/>
    </row>
    <row r="586" spans="1:34" x14ac:dyDescent="0.25">
      <c r="A586" s="69"/>
      <c r="B586" s="67"/>
      <c r="C586" s="67"/>
      <c r="D586" s="68"/>
      <c r="E586" s="68"/>
      <c r="F586" s="68"/>
      <c r="G586" s="67"/>
      <c r="H586" s="67"/>
      <c r="I586" s="67"/>
      <c r="J586" s="68"/>
      <c r="K586" s="68"/>
      <c r="S586" s="32"/>
      <c r="T586" s="32"/>
      <c r="U586" s="61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23"/>
      <c r="AG586" s="23"/>
      <c r="AH586" s="27"/>
    </row>
    <row r="587" spans="1:34" x14ac:dyDescent="0.25">
      <c r="A587" s="69"/>
      <c r="B587" s="67"/>
      <c r="C587" s="67"/>
      <c r="D587" s="68"/>
      <c r="E587" s="68"/>
      <c r="F587" s="68"/>
      <c r="G587" s="67"/>
      <c r="H587" s="67"/>
      <c r="I587" s="67"/>
      <c r="J587" s="68"/>
      <c r="K587" s="68"/>
      <c r="S587" s="32"/>
      <c r="T587" s="32"/>
      <c r="U587" s="61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23"/>
      <c r="AG587" s="23"/>
      <c r="AH587" s="27"/>
    </row>
    <row r="588" spans="1:34" x14ac:dyDescent="0.25">
      <c r="A588" s="69"/>
      <c r="B588" s="67"/>
      <c r="C588" s="67"/>
      <c r="D588" s="68"/>
      <c r="E588" s="68"/>
      <c r="F588" s="68"/>
      <c r="G588" s="67"/>
      <c r="H588" s="67"/>
      <c r="I588" s="67"/>
      <c r="J588" s="68"/>
      <c r="K588" s="68"/>
      <c r="S588" s="32"/>
      <c r="T588" s="32"/>
      <c r="U588" s="61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23"/>
      <c r="AG588" s="23"/>
      <c r="AH588" s="27"/>
    </row>
    <row r="589" spans="1:34" x14ac:dyDescent="0.25">
      <c r="A589" s="69"/>
      <c r="B589" s="67"/>
      <c r="C589" s="67"/>
      <c r="D589" s="68"/>
      <c r="E589" s="68"/>
      <c r="F589" s="68"/>
      <c r="G589" s="67"/>
      <c r="H589" s="67"/>
      <c r="I589" s="67"/>
      <c r="J589" s="68"/>
      <c r="K589" s="68"/>
      <c r="S589" s="32"/>
      <c r="T589" s="32"/>
      <c r="U589" s="61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23"/>
      <c r="AG589" s="23"/>
      <c r="AH589" s="27"/>
    </row>
    <row r="590" spans="1:34" x14ac:dyDescent="0.25">
      <c r="A590" s="69"/>
      <c r="B590" s="67"/>
      <c r="C590" s="67"/>
      <c r="D590" s="68"/>
      <c r="E590" s="68"/>
      <c r="F590" s="68"/>
      <c r="G590" s="67"/>
      <c r="H590" s="67"/>
      <c r="I590" s="67"/>
      <c r="J590" s="68"/>
      <c r="K590" s="68"/>
      <c r="S590" s="32"/>
      <c r="T590" s="32"/>
      <c r="U590" s="61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23"/>
      <c r="AG590" s="23"/>
      <c r="AH590" s="27"/>
    </row>
    <row r="591" spans="1:34" x14ac:dyDescent="0.25">
      <c r="A591" s="69"/>
      <c r="B591" s="67"/>
      <c r="C591" s="67"/>
      <c r="D591" s="68"/>
      <c r="E591" s="68"/>
      <c r="F591" s="68"/>
      <c r="G591" s="67"/>
      <c r="H591" s="67"/>
      <c r="I591" s="67"/>
      <c r="J591" s="68"/>
      <c r="K591" s="68"/>
      <c r="S591" s="32"/>
      <c r="T591" s="32"/>
      <c r="U591" s="61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23"/>
      <c r="AG591" s="23"/>
      <c r="AH591" s="27"/>
    </row>
    <row r="592" spans="1:34" x14ac:dyDescent="0.25">
      <c r="A592" s="69"/>
      <c r="B592" s="67"/>
      <c r="C592" s="67"/>
      <c r="D592" s="68"/>
      <c r="E592" s="68"/>
      <c r="F592" s="68"/>
      <c r="G592" s="67"/>
      <c r="H592" s="67"/>
      <c r="I592" s="67"/>
      <c r="J592" s="68"/>
      <c r="K592" s="68"/>
      <c r="S592" s="32"/>
      <c r="T592" s="32"/>
      <c r="U592" s="61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23"/>
      <c r="AG592" s="23"/>
      <c r="AH592" s="27"/>
    </row>
    <row r="593" spans="1:34" x14ac:dyDescent="0.25">
      <c r="A593" s="69"/>
      <c r="B593" s="67"/>
      <c r="C593" s="67"/>
      <c r="D593" s="68"/>
      <c r="E593" s="68"/>
      <c r="F593" s="68"/>
      <c r="G593" s="67"/>
      <c r="H593" s="67"/>
      <c r="I593" s="67"/>
      <c r="J593" s="68"/>
      <c r="K593" s="68"/>
      <c r="S593" s="32"/>
      <c r="T593" s="32"/>
      <c r="U593" s="61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23"/>
      <c r="AG593" s="23"/>
      <c r="AH593" s="27"/>
    </row>
    <row r="594" spans="1:34" x14ac:dyDescent="0.25">
      <c r="A594" s="69"/>
      <c r="B594" s="67"/>
      <c r="C594" s="67"/>
      <c r="D594" s="68"/>
      <c r="E594" s="68"/>
      <c r="F594" s="68"/>
      <c r="G594" s="67"/>
      <c r="H594" s="67"/>
      <c r="I594" s="67"/>
      <c r="J594" s="68"/>
      <c r="K594" s="68"/>
      <c r="S594" s="32"/>
      <c r="T594" s="32"/>
      <c r="U594" s="61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23"/>
      <c r="AG594" s="23"/>
      <c r="AH594" s="27"/>
    </row>
    <row r="595" spans="1:34" x14ac:dyDescent="0.25">
      <c r="A595" s="69"/>
      <c r="B595" s="67"/>
      <c r="C595" s="67"/>
      <c r="D595" s="68"/>
      <c r="E595" s="68"/>
      <c r="F595" s="68"/>
      <c r="G595" s="67"/>
      <c r="H595" s="67"/>
      <c r="I595" s="67"/>
      <c r="J595" s="68"/>
      <c r="K595" s="68"/>
      <c r="S595" s="32"/>
      <c r="T595" s="32"/>
      <c r="U595" s="61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23"/>
      <c r="AG595" s="23"/>
      <c r="AH595" s="27"/>
    </row>
    <row r="596" spans="1:34" x14ac:dyDescent="0.25">
      <c r="A596" s="69"/>
      <c r="B596" s="67"/>
      <c r="C596" s="67"/>
      <c r="D596" s="68"/>
      <c r="E596" s="68"/>
      <c r="F596" s="68"/>
      <c r="G596" s="67"/>
      <c r="H596" s="67"/>
      <c r="I596" s="67"/>
      <c r="J596" s="68"/>
      <c r="K596" s="68"/>
      <c r="S596" s="32"/>
      <c r="T596" s="32"/>
      <c r="U596" s="61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23"/>
      <c r="AG596" s="23"/>
      <c r="AH596" s="27"/>
    </row>
    <row r="597" spans="1:34" x14ac:dyDescent="0.25">
      <c r="A597" s="69"/>
      <c r="B597" s="67"/>
      <c r="C597" s="67"/>
      <c r="D597" s="68"/>
      <c r="E597" s="68"/>
      <c r="F597" s="68"/>
      <c r="G597" s="67"/>
      <c r="H597" s="67"/>
      <c r="I597" s="67"/>
      <c r="J597" s="68"/>
      <c r="K597" s="68"/>
      <c r="S597" s="32"/>
      <c r="T597" s="32"/>
      <c r="U597" s="61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23"/>
      <c r="AG597" s="23"/>
      <c r="AH597" s="27"/>
    </row>
    <row r="598" spans="1:34" x14ac:dyDescent="0.25">
      <c r="A598" s="69"/>
      <c r="B598" s="67"/>
      <c r="C598" s="67"/>
      <c r="D598" s="68"/>
      <c r="E598" s="68"/>
      <c r="F598" s="68"/>
      <c r="G598" s="67"/>
      <c r="H598" s="67"/>
      <c r="I598" s="67"/>
      <c r="J598" s="68"/>
      <c r="K598" s="68"/>
      <c r="S598" s="32"/>
      <c r="T598" s="32"/>
      <c r="U598" s="61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23"/>
      <c r="AG598" s="23"/>
      <c r="AH598" s="27"/>
    </row>
    <row r="599" spans="1:34" x14ac:dyDescent="0.25">
      <c r="A599" s="69"/>
      <c r="B599" s="67"/>
      <c r="C599" s="67"/>
      <c r="D599" s="68"/>
      <c r="E599" s="68"/>
      <c r="F599" s="68"/>
      <c r="G599" s="67"/>
      <c r="H599" s="67"/>
      <c r="I599" s="67"/>
      <c r="J599" s="68"/>
      <c r="K599" s="68"/>
      <c r="S599" s="32"/>
      <c r="T599" s="32"/>
      <c r="U599" s="61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23"/>
      <c r="AG599" s="23"/>
      <c r="AH599" s="27"/>
    </row>
    <row r="600" spans="1:34" x14ac:dyDescent="0.25">
      <c r="A600" s="69"/>
      <c r="B600" s="67"/>
      <c r="C600" s="67"/>
      <c r="D600" s="70"/>
      <c r="E600" s="70"/>
      <c r="F600" s="70"/>
      <c r="G600" s="67"/>
      <c r="H600" s="67"/>
      <c r="I600" s="67"/>
      <c r="J600" s="68"/>
      <c r="K600" s="68"/>
      <c r="S600" s="32"/>
      <c r="T600" s="32"/>
      <c r="U600" s="61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23"/>
      <c r="AG600" s="23"/>
      <c r="AH600" s="27"/>
    </row>
    <row r="601" spans="1:34" x14ac:dyDescent="0.25">
      <c r="A601" s="69"/>
      <c r="B601" s="67"/>
      <c r="C601" s="67"/>
      <c r="D601" s="70"/>
      <c r="E601" s="70"/>
      <c r="F601" s="70"/>
      <c r="G601" s="67"/>
      <c r="H601" s="67"/>
      <c r="I601" s="67"/>
      <c r="J601" s="68"/>
      <c r="K601" s="68"/>
      <c r="S601" s="32"/>
      <c r="T601" s="32"/>
      <c r="U601" s="61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23"/>
      <c r="AG601" s="23"/>
      <c r="AH601" s="27"/>
    </row>
    <row r="602" spans="1:34" x14ac:dyDescent="0.25">
      <c r="A602" s="69"/>
      <c r="B602" s="67"/>
      <c r="C602" s="67"/>
      <c r="D602" s="70"/>
      <c r="E602" s="70"/>
      <c r="F602" s="70"/>
      <c r="G602" s="67"/>
      <c r="H602" s="67"/>
      <c r="I602" s="67"/>
      <c r="J602" s="68"/>
      <c r="K602" s="68"/>
      <c r="S602" s="32"/>
      <c r="T602" s="32"/>
      <c r="U602" s="61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23"/>
      <c r="AG602" s="23"/>
      <c r="AH602" s="27"/>
    </row>
    <row r="603" spans="1:34" x14ac:dyDescent="0.25">
      <c r="A603" s="69"/>
      <c r="B603" s="67"/>
      <c r="C603" s="67"/>
      <c r="D603" s="68"/>
      <c r="E603" s="68"/>
      <c r="F603" s="68"/>
      <c r="G603" s="67"/>
      <c r="H603" s="67"/>
      <c r="I603" s="67"/>
      <c r="J603" s="68"/>
      <c r="K603" s="68"/>
      <c r="S603" s="32"/>
      <c r="T603" s="32"/>
      <c r="U603" s="61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23"/>
      <c r="AG603" s="23"/>
      <c r="AH603" s="27"/>
    </row>
    <row r="604" spans="1:34" x14ac:dyDescent="0.25">
      <c r="A604" s="69"/>
      <c r="B604" s="67"/>
      <c r="C604" s="67"/>
      <c r="D604" s="68"/>
      <c r="E604" s="68"/>
      <c r="F604" s="68"/>
      <c r="G604" s="67"/>
      <c r="H604" s="67"/>
      <c r="I604" s="67"/>
      <c r="J604" s="68"/>
      <c r="K604" s="68"/>
      <c r="S604" s="32"/>
      <c r="T604" s="32"/>
      <c r="U604" s="61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23"/>
      <c r="AG604" s="23"/>
      <c r="AH604" s="27"/>
    </row>
    <row r="605" spans="1:34" x14ac:dyDescent="0.25">
      <c r="A605" s="69"/>
      <c r="B605" s="67"/>
      <c r="C605" s="67"/>
      <c r="D605" s="68"/>
      <c r="E605" s="68"/>
      <c r="F605" s="68"/>
      <c r="G605" s="67"/>
      <c r="H605" s="67"/>
      <c r="I605" s="67"/>
      <c r="J605" s="68"/>
      <c r="K605" s="68"/>
      <c r="S605" s="32"/>
      <c r="T605" s="32"/>
      <c r="U605" s="61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23"/>
      <c r="AG605" s="23"/>
      <c r="AH605" s="27"/>
    </row>
    <row r="606" spans="1:34" x14ac:dyDescent="0.25">
      <c r="A606" s="69"/>
      <c r="B606" s="67"/>
      <c r="C606" s="67"/>
      <c r="D606" s="68"/>
      <c r="E606" s="68"/>
      <c r="F606" s="68"/>
      <c r="G606" s="67"/>
      <c r="H606" s="67"/>
      <c r="I606" s="67"/>
      <c r="J606" s="68"/>
      <c r="K606" s="68"/>
      <c r="S606" s="32"/>
      <c r="T606" s="32"/>
      <c r="U606" s="61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23"/>
      <c r="AG606" s="23"/>
      <c r="AH606" s="27"/>
    </row>
    <row r="607" spans="1:34" x14ac:dyDescent="0.25">
      <c r="A607" s="69"/>
      <c r="B607" s="67"/>
      <c r="C607" s="67"/>
      <c r="D607" s="68"/>
      <c r="E607" s="68"/>
      <c r="F607" s="68"/>
      <c r="G607" s="67"/>
      <c r="H607" s="67"/>
      <c r="I607" s="67"/>
      <c r="J607" s="68"/>
      <c r="K607" s="68"/>
      <c r="S607" s="32"/>
      <c r="T607" s="32"/>
      <c r="U607" s="61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23"/>
      <c r="AG607" s="23"/>
      <c r="AH607" s="27"/>
    </row>
    <row r="608" spans="1:34" x14ac:dyDescent="0.25">
      <c r="A608" s="69"/>
      <c r="B608" s="67"/>
      <c r="C608" s="67"/>
      <c r="D608" s="68"/>
      <c r="E608" s="68"/>
      <c r="F608" s="68"/>
      <c r="G608" s="67"/>
      <c r="H608" s="67"/>
      <c r="I608" s="67"/>
      <c r="J608" s="68"/>
      <c r="K608" s="68"/>
      <c r="S608" s="32"/>
      <c r="T608" s="32"/>
      <c r="U608" s="61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23"/>
      <c r="AG608" s="23"/>
      <c r="AH608" s="27"/>
    </row>
    <row r="609" spans="1:34" x14ac:dyDescent="0.25">
      <c r="A609" s="69"/>
      <c r="B609" s="67"/>
      <c r="C609" s="67"/>
      <c r="D609" s="68"/>
      <c r="E609" s="68"/>
      <c r="F609" s="68"/>
      <c r="G609" s="67"/>
      <c r="H609" s="67"/>
      <c r="I609" s="67"/>
      <c r="J609" s="68"/>
      <c r="K609" s="68"/>
      <c r="S609" s="32"/>
      <c r="T609" s="32"/>
      <c r="U609" s="61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23"/>
      <c r="AG609" s="23"/>
      <c r="AH609" s="27"/>
    </row>
    <row r="610" spans="1:34" x14ac:dyDescent="0.25">
      <c r="A610" s="69"/>
      <c r="B610" s="67"/>
      <c r="C610" s="67"/>
      <c r="D610" s="68"/>
      <c r="E610" s="68"/>
      <c r="F610" s="68"/>
      <c r="G610" s="67"/>
      <c r="H610" s="67"/>
      <c r="I610" s="67"/>
      <c r="J610" s="68"/>
      <c r="K610" s="68"/>
      <c r="S610" s="32"/>
      <c r="T610" s="32"/>
      <c r="U610" s="61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23"/>
      <c r="AG610" s="23"/>
      <c r="AH610" s="27"/>
    </row>
    <row r="611" spans="1:34" x14ac:dyDescent="0.25">
      <c r="A611" s="69"/>
      <c r="B611" s="67"/>
      <c r="C611" s="67"/>
      <c r="D611" s="68"/>
      <c r="E611" s="68"/>
      <c r="F611" s="68"/>
      <c r="G611" s="67"/>
      <c r="H611" s="67"/>
      <c r="I611" s="67"/>
      <c r="J611" s="68"/>
      <c r="K611" s="68"/>
      <c r="S611" s="32"/>
      <c r="T611" s="32"/>
      <c r="U611" s="61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23"/>
      <c r="AG611" s="23"/>
      <c r="AH611" s="27"/>
    </row>
    <row r="612" spans="1:34" x14ac:dyDescent="0.25">
      <c r="A612" s="69"/>
      <c r="B612" s="67"/>
      <c r="C612" s="67"/>
      <c r="D612" s="68"/>
      <c r="E612" s="68"/>
      <c r="F612" s="68"/>
      <c r="G612" s="67"/>
      <c r="H612" s="67"/>
      <c r="I612" s="67"/>
      <c r="J612" s="68"/>
      <c r="K612" s="68"/>
      <c r="S612" s="32"/>
      <c r="T612" s="32"/>
      <c r="U612" s="61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23"/>
      <c r="AG612" s="23"/>
      <c r="AH612" s="27"/>
    </row>
    <row r="613" spans="1:34" x14ac:dyDescent="0.25">
      <c r="A613" s="69"/>
      <c r="B613" s="67"/>
      <c r="C613" s="67"/>
      <c r="D613" s="68"/>
      <c r="E613" s="68"/>
      <c r="F613" s="68"/>
      <c r="G613" s="67"/>
      <c r="H613" s="67"/>
      <c r="I613" s="67"/>
      <c r="J613" s="68"/>
      <c r="K613" s="68"/>
      <c r="S613" s="32"/>
      <c r="T613" s="32"/>
      <c r="U613" s="61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23"/>
      <c r="AG613" s="23"/>
      <c r="AH613" s="27"/>
    </row>
    <row r="614" spans="1:34" x14ac:dyDescent="0.25">
      <c r="A614" s="69"/>
      <c r="B614" s="67"/>
      <c r="C614" s="67"/>
      <c r="D614" s="68"/>
      <c r="E614" s="68"/>
      <c r="F614" s="68"/>
      <c r="G614" s="67"/>
      <c r="H614" s="67"/>
      <c r="I614" s="67"/>
      <c r="J614" s="68"/>
      <c r="K614" s="68"/>
      <c r="S614" s="32"/>
      <c r="T614" s="32"/>
      <c r="U614" s="61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23"/>
      <c r="AG614" s="23"/>
      <c r="AH614" s="27"/>
    </row>
    <row r="615" spans="1:34" x14ac:dyDescent="0.25">
      <c r="A615" s="69"/>
      <c r="B615" s="67"/>
      <c r="C615" s="67"/>
      <c r="D615" s="68"/>
      <c r="E615" s="68"/>
      <c r="F615" s="68"/>
      <c r="G615" s="67"/>
      <c r="H615" s="67"/>
      <c r="I615" s="67"/>
      <c r="J615" s="68"/>
      <c r="K615" s="68"/>
      <c r="S615" s="32"/>
      <c r="T615" s="32"/>
      <c r="U615" s="61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23"/>
      <c r="AG615" s="23"/>
      <c r="AH615" s="27"/>
    </row>
    <row r="616" spans="1:34" x14ac:dyDescent="0.25">
      <c r="A616" s="69"/>
      <c r="B616" s="67"/>
      <c r="C616" s="67"/>
      <c r="D616" s="68"/>
      <c r="E616" s="68"/>
      <c r="F616" s="68"/>
      <c r="G616" s="67"/>
      <c r="H616" s="67"/>
      <c r="I616" s="67"/>
      <c r="J616" s="68"/>
      <c r="K616" s="68"/>
      <c r="S616" s="32"/>
      <c r="T616" s="32"/>
      <c r="U616" s="61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23"/>
      <c r="AG616" s="23"/>
      <c r="AH616" s="27"/>
    </row>
    <row r="617" spans="1:34" x14ac:dyDescent="0.25">
      <c r="A617" s="69"/>
      <c r="B617" s="67"/>
      <c r="C617" s="67"/>
      <c r="D617" s="68"/>
      <c r="E617" s="68"/>
      <c r="F617" s="68"/>
      <c r="G617" s="67"/>
      <c r="H617" s="67"/>
      <c r="I617" s="67"/>
      <c r="J617" s="68"/>
      <c r="K617" s="68"/>
      <c r="S617" s="32"/>
      <c r="T617" s="32"/>
      <c r="U617" s="61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23"/>
      <c r="AG617" s="23"/>
      <c r="AH617" s="27"/>
    </row>
    <row r="618" spans="1:34" x14ac:dyDescent="0.25">
      <c r="A618" s="69"/>
      <c r="B618" s="67"/>
      <c r="C618" s="67"/>
      <c r="D618" s="68"/>
      <c r="E618" s="68"/>
      <c r="F618" s="68"/>
      <c r="G618" s="67"/>
      <c r="H618" s="67"/>
      <c r="I618" s="67"/>
      <c r="J618" s="68"/>
      <c r="K618" s="68"/>
      <c r="S618" s="32"/>
      <c r="T618" s="32"/>
      <c r="U618" s="61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23"/>
      <c r="AG618" s="23"/>
      <c r="AH618" s="27"/>
    </row>
    <row r="619" spans="1:34" x14ac:dyDescent="0.25">
      <c r="A619" s="69"/>
      <c r="B619" s="67"/>
      <c r="C619" s="67"/>
      <c r="D619" s="68"/>
      <c r="E619" s="68"/>
      <c r="F619" s="68"/>
      <c r="G619" s="67"/>
      <c r="H619" s="67"/>
      <c r="I619" s="67"/>
      <c r="J619" s="68"/>
      <c r="K619" s="68"/>
      <c r="S619" s="32"/>
      <c r="T619" s="32"/>
      <c r="U619" s="61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23"/>
      <c r="AG619" s="23"/>
      <c r="AH619" s="27"/>
    </row>
    <row r="620" spans="1:34" x14ac:dyDescent="0.25">
      <c r="A620" s="69"/>
      <c r="B620" s="67"/>
      <c r="C620" s="67"/>
      <c r="D620" s="68"/>
      <c r="E620" s="68"/>
      <c r="F620" s="68"/>
      <c r="G620" s="67"/>
      <c r="H620" s="67"/>
      <c r="I620" s="67"/>
      <c r="J620" s="68"/>
      <c r="K620" s="68"/>
      <c r="S620" s="32"/>
      <c r="T620" s="32"/>
      <c r="U620" s="61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23"/>
      <c r="AG620" s="23"/>
      <c r="AH620" s="27"/>
    </row>
    <row r="621" spans="1:34" x14ac:dyDescent="0.25">
      <c r="A621" s="69"/>
      <c r="B621" s="67"/>
      <c r="C621" s="67"/>
      <c r="D621" s="68"/>
      <c r="E621" s="68"/>
      <c r="F621" s="68"/>
      <c r="G621" s="67"/>
      <c r="H621" s="67"/>
      <c r="I621" s="67"/>
      <c r="J621" s="68"/>
      <c r="K621" s="68"/>
      <c r="S621" s="32"/>
      <c r="T621" s="32"/>
      <c r="U621" s="61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23"/>
      <c r="AG621" s="23"/>
      <c r="AH621" s="27"/>
    </row>
    <row r="622" spans="1:34" x14ac:dyDescent="0.25">
      <c r="A622" s="69"/>
      <c r="B622" s="67"/>
      <c r="C622" s="67"/>
      <c r="D622" s="68"/>
      <c r="E622" s="68"/>
      <c r="F622" s="68"/>
      <c r="G622" s="67"/>
      <c r="H622" s="67"/>
      <c r="I622" s="67"/>
      <c r="J622" s="68"/>
      <c r="K622" s="68"/>
      <c r="S622" s="32"/>
      <c r="T622" s="32"/>
      <c r="U622" s="61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23"/>
      <c r="AG622" s="23"/>
      <c r="AH622" s="27"/>
    </row>
    <row r="623" spans="1:34" x14ac:dyDescent="0.25">
      <c r="A623" s="69"/>
      <c r="B623" s="67"/>
      <c r="C623" s="67"/>
      <c r="D623" s="68"/>
      <c r="E623" s="68"/>
      <c r="F623" s="68"/>
      <c r="G623" s="67"/>
      <c r="H623" s="67"/>
      <c r="I623" s="67"/>
      <c r="J623" s="68"/>
      <c r="K623" s="68"/>
      <c r="S623" s="32"/>
      <c r="T623" s="32"/>
      <c r="U623" s="61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23"/>
      <c r="AG623" s="23"/>
      <c r="AH623" s="27"/>
    </row>
    <row r="624" spans="1:34" x14ac:dyDescent="0.25">
      <c r="A624" s="69"/>
      <c r="B624" s="67"/>
      <c r="C624" s="67"/>
      <c r="D624" s="70"/>
      <c r="E624" s="70"/>
      <c r="F624" s="70"/>
      <c r="G624" s="67"/>
      <c r="H624" s="67"/>
      <c r="I624" s="67"/>
      <c r="J624" s="68"/>
      <c r="K624" s="68"/>
      <c r="S624" s="32"/>
      <c r="T624" s="32"/>
      <c r="U624" s="61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23"/>
      <c r="AG624" s="23"/>
      <c r="AH624" s="27"/>
    </row>
    <row r="625" spans="1:34" x14ac:dyDescent="0.25">
      <c r="A625" s="69"/>
      <c r="B625" s="67"/>
      <c r="C625" s="67"/>
      <c r="D625" s="70"/>
      <c r="E625" s="70"/>
      <c r="F625" s="70"/>
      <c r="G625" s="67"/>
      <c r="H625" s="67"/>
      <c r="I625" s="67"/>
      <c r="J625" s="68"/>
      <c r="K625" s="68"/>
      <c r="S625" s="32"/>
      <c r="T625" s="32"/>
      <c r="U625" s="61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23"/>
      <c r="AG625" s="23"/>
      <c r="AH625" s="27"/>
    </row>
    <row r="626" spans="1:34" x14ac:dyDescent="0.25">
      <c r="A626" s="69"/>
      <c r="B626" s="67"/>
      <c r="C626" s="67"/>
      <c r="D626" s="70"/>
      <c r="E626" s="70"/>
      <c r="F626" s="70"/>
      <c r="G626" s="67"/>
      <c r="H626" s="67"/>
      <c r="I626" s="67"/>
      <c r="J626" s="68"/>
      <c r="K626" s="68"/>
      <c r="S626" s="32"/>
      <c r="T626" s="32"/>
      <c r="U626" s="61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23"/>
      <c r="AG626" s="23"/>
      <c r="AH626" s="27"/>
    </row>
    <row r="627" spans="1:34" x14ac:dyDescent="0.25">
      <c r="A627" s="69"/>
      <c r="B627" s="67"/>
      <c r="C627" s="67"/>
      <c r="D627" s="68"/>
      <c r="E627" s="68"/>
      <c r="F627" s="68"/>
      <c r="G627" s="67"/>
      <c r="H627" s="67"/>
      <c r="I627" s="67"/>
      <c r="J627" s="68"/>
      <c r="K627" s="68"/>
      <c r="S627" s="32"/>
      <c r="T627" s="32"/>
      <c r="U627" s="61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23"/>
      <c r="AG627" s="23"/>
      <c r="AH627" s="27"/>
    </row>
    <row r="628" spans="1:34" x14ac:dyDescent="0.25">
      <c r="A628" s="69"/>
      <c r="B628" s="67"/>
      <c r="C628" s="67"/>
      <c r="D628" s="68"/>
      <c r="E628" s="68"/>
      <c r="F628" s="68"/>
      <c r="G628" s="67"/>
      <c r="H628" s="67"/>
      <c r="I628" s="67"/>
      <c r="J628" s="68"/>
      <c r="K628" s="68"/>
      <c r="S628" s="32"/>
      <c r="T628" s="32"/>
      <c r="U628" s="61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23"/>
      <c r="AG628" s="23"/>
      <c r="AH628" s="27"/>
    </row>
    <row r="629" spans="1:34" x14ac:dyDescent="0.25">
      <c r="A629" s="69"/>
      <c r="B629" s="67"/>
      <c r="C629" s="67"/>
      <c r="D629" s="68"/>
      <c r="E629" s="68"/>
      <c r="F629" s="68"/>
      <c r="G629" s="67"/>
      <c r="H629" s="67"/>
      <c r="I629" s="67"/>
      <c r="J629" s="68"/>
      <c r="K629" s="68"/>
      <c r="S629" s="32"/>
      <c r="T629" s="32"/>
      <c r="U629" s="61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23"/>
      <c r="AG629" s="23"/>
      <c r="AH629" s="27"/>
    </row>
    <row r="630" spans="1:34" x14ac:dyDescent="0.25">
      <c r="A630" s="69"/>
      <c r="B630" s="67"/>
      <c r="C630" s="67"/>
      <c r="D630" s="68"/>
      <c r="E630" s="68"/>
      <c r="F630" s="68"/>
      <c r="G630" s="67"/>
      <c r="H630" s="67"/>
      <c r="I630" s="67"/>
      <c r="J630" s="68"/>
      <c r="K630" s="68"/>
      <c r="S630" s="32"/>
      <c r="T630" s="32"/>
      <c r="U630" s="61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23"/>
      <c r="AG630" s="23"/>
      <c r="AH630" s="27"/>
    </row>
    <row r="631" spans="1:34" x14ac:dyDescent="0.25">
      <c r="A631" s="69"/>
      <c r="B631" s="67"/>
      <c r="C631" s="67"/>
      <c r="D631" s="68"/>
      <c r="E631" s="68"/>
      <c r="F631" s="68"/>
      <c r="G631" s="67"/>
      <c r="H631" s="67"/>
      <c r="I631" s="67"/>
      <c r="J631" s="68"/>
      <c r="K631" s="68"/>
      <c r="S631" s="32"/>
      <c r="T631" s="32"/>
      <c r="U631" s="61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23"/>
      <c r="AG631" s="23"/>
      <c r="AH631" s="27"/>
    </row>
    <row r="632" spans="1:34" x14ac:dyDescent="0.25">
      <c r="A632" s="69"/>
      <c r="B632" s="67"/>
      <c r="C632" s="67"/>
      <c r="D632" s="68"/>
      <c r="E632" s="68"/>
      <c r="F632" s="68"/>
      <c r="G632" s="67"/>
      <c r="H632" s="67"/>
      <c r="I632" s="67"/>
      <c r="J632" s="68"/>
      <c r="K632" s="68"/>
      <c r="S632" s="32"/>
      <c r="T632" s="32"/>
      <c r="U632" s="61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23"/>
      <c r="AG632" s="23"/>
      <c r="AH632" s="27"/>
    </row>
    <row r="633" spans="1:34" x14ac:dyDescent="0.25">
      <c r="A633" s="69"/>
      <c r="B633" s="67"/>
      <c r="C633" s="67"/>
      <c r="D633" s="68"/>
      <c r="E633" s="68"/>
      <c r="F633" s="68"/>
      <c r="G633" s="67"/>
      <c r="H633" s="67"/>
      <c r="I633" s="67"/>
      <c r="J633" s="68"/>
      <c r="K633" s="68"/>
      <c r="S633" s="32"/>
      <c r="T633" s="32"/>
      <c r="U633" s="61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23"/>
      <c r="AG633" s="23"/>
      <c r="AH633" s="27"/>
    </row>
    <row r="634" spans="1:34" x14ac:dyDescent="0.25">
      <c r="A634" s="69"/>
      <c r="B634" s="67"/>
      <c r="C634" s="67"/>
      <c r="D634" s="68"/>
      <c r="E634" s="68"/>
      <c r="F634" s="68"/>
      <c r="G634" s="67"/>
      <c r="H634" s="67"/>
      <c r="I634" s="67"/>
      <c r="J634" s="68"/>
      <c r="K634" s="68"/>
      <c r="S634" s="32"/>
      <c r="T634" s="32"/>
      <c r="U634" s="61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23"/>
      <c r="AG634" s="23"/>
      <c r="AH634" s="27"/>
    </row>
    <row r="635" spans="1:34" x14ac:dyDescent="0.25">
      <c r="A635" s="69"/>
      <c r="B635" s="67"/>
      <c r="C635" s="67"/>
      <c r="D635" s="68"/>
      <c r="E635" s="68"/>
      <c r="F635" s="68"/>
      <c r="G635" s="67"/>
      <c r="H635" s="67"/>
      <c r="I635" s="67"/>
      <c r="J635" s="68"/>
      <c r="K635" s="68"/>
      <c r="S635" s="32"/>
      <c r="T635" s="32"/>
      <c r="U635" s="61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23"/>
      <c r="AG635" s="23"/>
      <c r="AH635" s="27"/>
    </row>
    <row r="636" spans="1:34" x14ac:dyDescent="0.25">
      <c r="A636" s="69"/>
      <c r="B636" s="67"/>
      <c r="C636" s="67"/>
      <c r="D636" s="68"/>
      <c r="E636" s="68"/>
      <c r="F636" s="68"/>
      <c r="G636" s="67"/>
      <c r="H636" s="67"/>
      <c r="I636" s="67"/>
      <c r="J636" s="68"/>
      <c r="K636" s="68"/>
      <c r="S636" s="32"/>
      <c r="T636" s="32"/>
      <c r="U636" s="61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23"/>
      <c r="AG636" s="23"/>
      <c r="AH636" s="27"/>
    </row>
    <row r="637" spans="1:34" x14ac:dyDescent="0.25">
      <c r="A637" s="69"/>
      <c r="B637" s="67"/>
      <c r="C637" s="67"/>
      <c r="D637" s="68"/>
      <c r="E637" s="68"/>
      <c r="F637" s="68"/>
      <c r="G637" s="67"/>
      <c r="H637" s="67"/>
      <c r="I637" s="67"/>
      <c r="J637" s="68"/>
      <c r="K637" s="68"/>
      <c r="S637" s="32"/>
      <c r="T637" s="32"/>
      <c r="U637" s="61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23"/>
      <c r="AG637" s="23"/>
      <c r="AH637" s="27"/>
    </row>
    <row r="638" spans="1:34" x14ac:dyDescent="0.25">
      <c r="A638" s="69"/>
      <c r="B638" s="67"/>
      <c r="C638" s="67"/>
      <c r="D638" s="68"/>
      <c r="E638" s="68"/>
      <c r="F638" s="68"/>
      <c r="G638" s="67"/>
      <c r="H638" s="67"/>
      <c r="I638" s="67"/>
      <c r="J638" s="68"/>
      <c r="K638" s="68"/>
      <c r="S638" s="32"/>
      <c r="T638" s="32"/>
      <c r="U638" s="61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23"/>
      <c r="AG638" s="23"/>
      <c r="AH638" s="27"/>
    </row>
    <row r="639" spans="1:34" x14ac:dyDescent="0.25">
      <c r="A639" s="69"/>
      <c r="B639" s="67"/>
      <c r="C639" s="67"/>
      <c r="D639" s="68"/>
      <c r="E639" s="68"/>
      <c r="F639" s="68"/>
      <c r="G639" s="67"/>
      <c r="H639" s="67"/>
      <c r="I639" s="67"/>
      <c r="J639" s="68"/>
      <c r="K639" s="68"/>
      <c r="S639" s="32"/>
      <c r="T639" s="32"/>
      <c r="U639" s="61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23"/>
      <c r="AG639" s="23"/>
      <c r="AH639" s="27"/>
    </row>
    <row r="640" spans="1:34" x14ac:dyDescent="0.25">
      <c r="A640" s="69"/>
      <c r="B640" s="67"/>
      <c r="C640" s="67"/>
      <c r="D640" s="68"/>
      <c r="E640" s="68"/>
      <c r="F640" s="68"/>
      <c r="G640" s="67"/>
      <c r="H640" s="67"/>
      <c r="I640" s="67"/>
      <c r="J640" s="68"/>
      <c r="K640" s="68"/>
      <c r="S640" s="32"/>
      <c r="T640" s="32"/>
      <c r="U640" s="61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23"/>
      <c r="AG640" s="23"/>
      <c r="AH640" s="27"/>
    </row>
    <row r="641" spans="1:34" x14ac:dyDescent="0.25">
      <c r="A641" s="69"/>
      <c r="B641" s="67"/>
      <c r="C641" s="67"/>
      <c r="D641" s="68"/>
      <c r="E641" s="68"/>
      <c r="F641" s="68"/>
      <c r="G641" s="67"/>
      <c r="H641" s="67"/>
      <c r="I641" s="67"/>
      <c r="J641" s="68"/>
      <c r="K641" s="68"/>
      <c r="S641" s="32"/>
      <c r="T641" s="32"/>
      <c r="U641" s="61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23"/>
      <c r="AG641" s="23"/>
      <c r="AH641" s="27"/>
    </row>
    <row r="642" spans="1:34" x14ac:dyDescent="0.25">
      <c r="A642" s="69"/>
      <c r="B642" s="67"/>
      <c r="C642" s="67"/>
      <c r="D642" s="68"/>
      <c r="E642" s="68"/>
      <c r="F642" s="68"/>
      <c r="G642" s="67"/>
      <c r="H642" s="67"/>
      <c r="I642" s="67"/>
      <c r="J642" s="68"/>
      <c r="K642" s="68"/>
      <c r="S642" s="32"/>
      <c r="T642" s="32"/>
      <c r="U642" s="61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23"/>
      <c r="AG642" s="23"/>
      <c r="AH642" s="27"/>
    </row>
    <row r="643" spans="1:34" x14ac:dyDescent="0.25">
      <c r="A643" s="69"/>
      <c r="B643" s="67"/>
      <c r="C643" s="67"/>
      <c r="D643" s="68"/>
      <c r="E643" s="68"/>
      <c r="F643" s="68"/>
      <c r="G643" s="67"/>
      <c r="H643" s="67"/>
      <c r="I643" s="67"/>
      <c r="J643" s="68"/>
      <c r="K643" s="68"/>
      <c r="S643" s="32"/>
      <c r="T643" s="32"/>
      <c r="U643" s="61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23"/>
      <c r="AG643" s="23"/>
      <c r="AH643" s="27"/>
    </row>
    <row r="644" spans="1:34" x14ac:dyDescent="0.25">
      <c r="A644" s="69"/>
      <c r="B644" s="67"/>
      <c r="C644" s="67"/>
      <c r="D644" s="68"/>
      <c r="E644" s="68"/>
      <c r="F644" s="68"/>
      <c r="G644" s="67"/>
      <c r="H644" s="67"/>
      <c r="I644" s="67"/>
      <c r="J644" s="68"/>
      <c r="K644" s="68"/>
      <c r="S644" s="32"/>
      <c r="T644" s="32"/>
      <c r="U644" s="61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23"/>
      <c r="AG644" s="23"/>
      <c r="AH644" s="27"/>
    </row>
    <row r="645" spans="1:34" x14ac:dyDescent="0.25">
      <c r="A645" s="69"/>
      <c r="B645" s="67"/>
      <c r="C645" s="67"/>
      <c r="D645" s="68"/>
      <c r="E645" s="68"/>
      <c r="F645" s="68"/>
      <c r="G645" s="67"/>
      <c r="H645" s="67"/>
      <c r="I645" s="67"/>
      <c r="J645" s="68"/>
      <c r="K645" s="68"/>
      <c r="S645" s="32"/>
      <c r="T645" s="32"/>
      <c r="U645" s="61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23"/>
      <c r="AG645" s="23"/>
      <c r="AH645" s="27"/>
    </row>
    <row r="646" spans="1:34" x14ac:dyDescent="0.25">
      <c r="A646" s="69"/>
      <c r="B646" s="67"/>
      <c r="C646" s="67"/>
      <c r="D646" s="68"/>
      <c r="E646" s="68"/>
      <c r="F646" s="68"/>
      <c r="G646" s="67"/>
      <c r="H646" s="67"/>
      <c r="I646" s="67"/>
      <c r="J646" s="68"/>
      <c r="K646" s="68"/>
      <c r="S646" s="32"/>
      <c r="T646" s="32"/>
      <c r="U646" s="61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23"/>
      <c r="AG646" s="23"/>
      <c r="AH646" s="27"/>
    </row>
    <row r="647" spans="1:34" x14ac:dyDescent="0.25">
      <c r="A647" s="69"/>
      <c r="B647" s="67"/>
      <c r="C647" s="67"/>
      <c r="D647" s="68"/>
      <c r="E647" s="68"/>
      <c r="F647" s="68"/>
      <c r="G647" s="67"/>
      <c r="H647" s="67"/>
      <c r="I647" s="67"/>
      <c r="J647" s="68"/>
      <c r="K647" s="68"/>
      <c r="S647" s="32"/>
      <c r="T647" s="32"/>
      <c r="U647" s="61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23"/>
      <c r="AG647" s="23"/>
      <c r="AH647" s="27"/>
    </row>
    <row r="648" spans="1:34" x14ac:dyDescent="0.25">
      <c r="A648" s="69"/>
      <c r="B648" s="67"/>
      <c r="C648" s="67"/>
      <c r="D648" s="70"/>
      <c r="E648" s="70"/>
      <c r="F648" s="70"/>
      <c r="G648" s="67"/>
      <c r="H648" s="67"/>
      <c r="I648" s="67"/>
      <c r="J648" s="68"/>
      <c r="K648" s="68"/>
      <c r="S648" s="32"/>
      <c r="T648" s="32"/>
      <c r="U648" s="61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23"/>
      <c r="AG648" s="23"/>
      <c r="AH648" s="27"/>
    </row>
    <row r="649" spans="1:34" x14ac:dyDescent="0.25">
      <c r="A649" s="69"/>
      <c r="B649" s="67"/>
      <c r="C649" s="67"/>
      <c r="D649" s="70"/>
      <c r="E649" s="70"/>
      <c r="F649" s="70"/>
      <c r="G649" s="67"/>
      <c r="H649" s="67"/>
      <c r="I649" s="67"/>
      <c r="J649" s="68"/>
      <c r="K649" s="68"/>
      <c r="S649" s="32"/>
      <c r="T649" s="32"/>
      <c r="U649" s="61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23"/>
      <c r="AG649" s="23"/>
      <c r="AH649" s="27"/>
    </row>
    <row r="650" spans="1:34" x14ac:dyDescent="0.25">
      <c r="A650" s="69"/>
      <c r="B650" s="67"/>
      <c r="C650" s="67"/>
      <c r="D650" s="70"/>
      <c r="E650" s="70"/>
      <c r="F650" s="70"/>
      <c r="G650" s="67"/>
      <c r="H650" s="67"/>
      <c r="I650" s="67"/>
      <c r="J650" s="68"/>
      <c r="K650" s="68"/>
      <c r="S650" s="32"/>
      <c r="T650" s="32"/>
      <c r="U650" s="61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23"/>
      <c r="AG650" s="23"/>
      <c r="AH650" s="27"/>
    </row>
    <row r="651" spans="1:34" x14ac:dyDescent="0.25">
      <c r="A651" s="69"/>
      <c r="B651" s="67"/>
      <c r="C651" s="67"/>
      <c r="D651" s="68"/>
      <c r="E651" s="68"/>
      <c r="F651" s="68"/>
      <c r="G651" s="67"/>
      <c r="H651" s="67"/>
      <c r="I651" s="67"/>
      <c r="J651" s="68"/>
      <c r="K651" s="68"/>
      <c r="S651" s="32"/>
      <c r="T651" s="32"/>
      <c r="U651" s="61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23"/>
      <c r="AG651" s="23"/>
      <c r="AH651" s="27"/>
    </row>
    <row r="652" spans="1:34" x14ac:dyDescent="0.25">
      <c r="A652" s="69"/>
      <c r="B652" s="67"/>
      <c r="C652" s="67"/>
      <c r="D652" s="68"/>
      <c r="E652" s="68"/>
      <c r="F652" s="68"/>
      <c r="G652" s="67"/>
      <c r="H652" s="67"/>
      <c r="I652" s="67"/>
      <c r="J652" s="68"/>
      <c r="K652" s="68"/>
      <c r="S652" s="32"/>
      <c r="T652" s="32"/>
      <c r="U652" s="61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23"/>
      <c r="AG652" s="23"/>
      <c r="AH652" s="27"/>
    </row>
    <row r="653" spans="1:34" x14ac:dyDescent="0.25">
      <c r="A653" s="69"/>
      <c r="B653" s="67"/>
      <c r="C653" s="67"/>
      <c r="D653" s="68"/>
      <c r="E653" s="68"/>
      <c r="F653" s="68"/>
      <c r="G653" s="67"/>
      <c r="H653" s="67"/>
      <c r="I653" s="67"/>
      <c r="J653" s="68"/>
      <c r="K653" s="68"/>
      <c r="S653" s="32"/>
      <c r="T653" s="32"/>
      <c r="U653" s="61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23"/>
      <c r="AG653" s="23"/>
      <c r="AH653" s="27"/>
    </row>
    <row r="654" spans="1:34" x14ac:dyDescent="0.25">
      <c r="A654" s="69"/>
      <c r="B654" s="67"/>
      <c r="C654" s="67"/>
      <c r="D654" s="68"/>
      <c r="E654" s="68"/>
      <c r="F654" s="68"/>
      <c r="G654" s="67"/>
      <c r="H654" s="67"/>
      <c r="I654" s="67"/>
      <c r="J654" s="68"/>
      <c r="K654" s="68"/>
      <c r="S654" s="32"/>
      <c r="T654" s="32"/>
      <c r="U654" s="61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23"/>
      <c r="AG654" s="23"/>
      <c r="AH654" s="27"/>
    </row>
    <row r="655" spans="1:34" x14ac:dyDescent="0.25">
      <c r="A655" s="69"/>
      <c r="B655" s="67"/>
      <c r="C655" s="67"/>
      <c r="D655" s="68"/>
      <c r="E655" s="68"/>
      <c r="F655" s="68"/>
      <c r="G655" s="67"/>
      <c r="H655" s="67"/>
      <c r="I655" s="67"/>
      <c r="J655" s="68"/>
      <c r="K655" s="68"/>
      <c r="S655" s="32"/>
      <c r="T655" s="32"/>
      <c r="U655" s="61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23"/>
      <c r="AG655" s="23"/>
      <c r="AH655" s="27"/>
    </row>
    <row r="656" spans="1:34" x14ac:dyDescent="0.25">
      <c r="A656" s="69"/>
      <c r="B656" s="67"/>
      <c r="C656" s="67"/>
      <c r="D656" s="68"/>
      <c r="E656" s="68"/>
      <c r="F656" s="68"/>
      <c r="G656" s="67"/>
      <c r="H656" s="67"/>
      <c r="I656" s="67"/>
      <c r="J656" s="68"/>
      <c r="K656" s="68"/>
      <c r="S656" s="32"/>
      <c r="T656" s="32"/>
      <c r="U656" s="61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23"/>
      <c r="AG656" s="23"/>
      <c r="AH656" s="27"/>
    </row>
    <row r="657" spans="1:34" x14ac:dyDescent="0.25">
      <c r="A657" s="69"/>
      <c r="B657" s="67"/>
      <c r="C657" s="67"/>
      <c r="D657" s="68"/>
      <c r="E657" s="68"/>
      <c r="F657" s="68"/>
      <c r="G657" s="67"/>
      <c r="H657" s="67"/>
      <c r="I657" s="67"/>
      <c r="J657" s="68"/>
      <c r="K657" s="68"/>
      <c r="S657" s="32"/>
      <c r="T657" s="32"/>
      <c r="U657" s="61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23"/>
      <c r="AG657" s="23"/>
      <c r="AH657" s="27"/>
    </row>
    <row r="658" spans="1:34" x14ac:dyDescent="0.25">
      <c r="A658" s="69"/>
      <c r="B658" s="67"/>
      <c r="C658" s="67"/>
      <c r="D658" s="68"/>
      <c r="E658" s="68"/>
      <c r="F658" s="68"/>
      <c r="G658" s="67"/>
      <c r="H658" s="67"/>
      <c r="I658" s="67"/>
      <c r="J658" s="68"/>
      <c r="K658" s="68"/>
      <c r="S658" s="32"/>
      <c r="T658" s="32"/>
      <c r="U658" s="61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23"/>
      <c r="AG658" s="23"/>
      <c r="AH658" s="27"/>
    </row>
    <row r="659" spans="1:34" x14ac:dyDescent="0.25">
      <c r="A659" s="69"/>
      <c r="B659" s="67"/>
      <c r="C659" s="67"/>
      <c r="D659" s="68"/>
      <c r="E659" s="68"/>
      <c r="F659" s="68"/>
      <c r="G659" s="67"/>
      <c r="H659" s="67"/>
      <c r="I659" s="67"/>
      <c r="J659" s="68"/>
      <c r="K659" s="68"/>
      <c r="S659" s="32"/>
      <c r="T659" s="32"/>
      <c r="U659" s="61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23"/>
      <c r="AG659" s="23"/>
      <c r="AH659" s="27"/>
    </row>
    <row r="660" spans="1:34" x14ac:dyDescent="0.25">
      <c r="A660" s="69"/>
      <c r="B660" s="67"/>
      <c r="C660" s="67"/>
      <c r="D660" s="68"/>
      <c r="E660" s="68"/>
      <c r="F660" s="68"/>
      <c r="G660" s="67"/>
      <c r="H660" s="67"/>
      <c r="I660" s="67"/>
      <c r="J660" s="68"/>
      <c r="K660" s="68"/>
      <c r="S660" s="32"/>
      <c r="T660" s="32"/>
      <c r="U660" s="61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23"/>
      <c r="AG660" s="23"/>
      <c r="AH660" s="27"/>
    </row>
    <row r="661" spans="1:34" x14ac:dyDescent="0.25">
      <c r="A661" s="69"/>
      <c r="B661" s="67"/>
      <c r="C661" s="67"/>
      <c r="D661" s="68"/>
      <c r="E661" s="68"/>
      <c r="F661" s="68"/>
      <c r="G661" s="67"/>
      <c r="H661" s="67"/>
      <c r="I661" s="67"/>
      <c r="J661" s="68"/>
      <c r="K661" s="68"/>
      <c r="S661" s="32"/>
      <c r="T661" s="32"/>
      <c r="U661" s="61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23"/>
      <c r="AG661" s="23"/>
      <c r="AH661" s="27"/>
    </row>
    <row r="662" spans="1:34" x14ac:dyDescent="0.25">
      <c r="A662" s="69"/>
      <c r="B662" s="67"/>
      <c r="C662" s="67"/>
      <c r="D662" s="68"/>
      <c r="E662" s="68"/>
      <c r="F662" s="68"/>
      <c r="G662" s="67"/>
      <c r="H662" s="67"/>
      <c r="I662" s="67"/>
      <c r="J662" s="68"/>
      <c r="K662" s="68"/>
      <c r="S662" s="32"/>
      <c r="T662" s="32"/>
      <c r="U662" s="61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23"/>
      <c r="AG662" s="23"/>
      <c r="AH662" s="27"/>
    </row>
    <row r="663" spans="1:34" x14ac:dyDescent="0.25">
      <c r="A663" s="69"/>
      <c r="B663" s="67"/>
      <c r="C663" s="67"/>
      <c r="D663" s="68"/>
      <c r="E663" s="68"/>
      <c r="F663" s="68"/>
      <c r="G663" s="67"/>
      <c r="H663" s="67"/>
      <c r="I663" s="67"/>
      <c r="J663" s="68"/>
      <c r="K663" s="68"/>
      <c r="S663" s="32"/>
      <c r="T663" s="32"/>
      <c r="U663" s="61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23"/>
      <c r="AG663" s="23"/>
      <c r="AH663" s="27"/>
    </row>
    <row r="664" spans="1:34" x14ac:dyDescent="0.25">
      <c r="A664" s="69"/>
      <c r="B664" s="67"/>
      <c r="C664" s="67"/>
      <c r="D664" s="68"/>
      <c r="E664" s="68"/>
      <c r="F664" s="68"/>
      <c r="G664" s="67"/>
      <c r="H664" s="67"/>
      <c r="I664" s="67"/>
      <c r="J664" s="68"/>
      <c r="K664" s="68"/>
      <c r="S664" s="32"/>
      <c r="T664" s="32"/>
      <c r="U664" s="61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23"/>
      <c r="AG664" s="23"/>
      <c r="AH664" s="27"/>
    </row>
    <row r="665" spans="1:34" x14ac:dyDescent="0.25">
      <c r="A665" s="69"/>
      <c r="B665" s="67"/>
      <c r="C665" s="67"/>
      <c r="D665" s="68"/>
      <c r="E665" s="68"/>
      <c r="F665" s="68"/>
      <c r="G665" s="67"/>
      <c r="H665" s="67"/>
      <c r="I665" s="67"/>
      <c r="J665" s="68"/>
      <c r="K665" s="68"/>
      <c r="S665" s="32"/>
      <c r="T665" s="32"/>
      <c r="U665" s="61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23"/>
      <c r="AG665" s="23"/>
      <c r="AH665" s="27"/>
    </row>
    <row r="666" spans="1:34" x14ac:dyDescent="0.25">
      <c r="A666" s="69"/>
      <c r="B666" s="67"/>
      <c r="C666" s="67"/>
      <c r="D666" s="68"/>
      <c r="E666" s="68"/>
      <c r="F666" s="68"/>
      <c r="G666" s="67"/>
      <c r="H666" s="67"/>
      <c r="I666" s="67"/>
      <c r="J666" s="68"/>
      <c r="K666" s="68"/>
      <c r="S666" s="32"/>
      <c r="T666" s="32"/>
      <c r="U666" s="61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23"/>
      <c r="AG666" s="23"/>
      <c r="AH666" s="27"/>
    </row>
    <row r="667" spans="1:34" x14ac:dyDescent="0.25">
      <c r="A667" s="69"/>
      <c r="B667" s="67"/>
      <c r="C667" s="67"/>
      <c r="D667" s="68"/>
      <c r="E667" s="68"/>
      <c r="F667" s="68"/>
      <c r="G667" s="67"/>
      <c r="H667" s="67"/>
      <c r="I667" s="67"/>
      <c r="J667" s="68"/>
      <c r="K667" s="68"/>
      <c r="S667" s="32"/>
      <c r="T667" s="32"/>
      <c r="U667" s="61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23"/>
      <c r="AG667" s="23"/>
      <c r="AH667" s="27"/>
    </row>
    <row r="668" spans="1:34" x14ac:dyDescent="0.25">
      <c r="A668" s="69"/>
      <c r="B668" s="67"/>
      <c r="C668" s="67"/>
      <c r="D668" s="68"/>
      <c r="E668" s="68"/>
      <c r="F668" s="68"/>
      <c r="G668" s="67"/>
      <c r="H668" s="67"/>
      <c r="I668" s="67"/>
      <c r="J668" s="68"/>
      <c r="K668" s="68"/>
      <c r="S668" s="32"/>
      <c r="T668" s="32"/>
      <c r="U668" s="61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23"/>
      <c r="AG668" s="23"/>
      <c r="AH668" s="27"/>
    </row>
    <row r="669" spans="1:34" x14ac:dyDescent="0.25">
      <c r="A669" s="69"/>
      <c r="B669" s="67"/>
      <c r="C669" s="67"/>
      <c r="D669" s="68"/>
      <c r="E669" s="68"/>
      <c r="F669" s="68"/>
      <c r="G669" s="67"/>
      <c r="H669" s="67"/>
      <c r="I669" s="67"/>
      <c r="J669" s="68"/>
      <c r="K669" s="68"/>
      <c r="S669" s="32"/>
      <c r="T669" s="32"/>
      <c r="U669" s="61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23"/>
      <c r="AG669" s="23"/>
      <c r="AH669" s="27"/>
    </row>
    <row r="670" spans="1:34" x14ac:dyDescent="0.25">
      <c r="A670" s="69"/>
      <c r="B670" s="67"/>
      <c r="C670" s="67"/>
      <c r="D670" s="68"/>
      <c r="E670" s="68"/>
      <c r="F670" s="68"/>
      <c r="G670" s="67"/>
      <c r="H670" s="67"/>
      <c r="I670" s="67"/>
      <c r="J670" s="68"/>
      <c r="K670" s="68"/>
      <c r="S670" s="32"/>
      <c r="T670" s="32"/>
      <c r="U670" s="61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23"/>
      <c r="AG670" s="23"/>
      <c r="AH670" s="27"/>
    </row>
    <row r="671" spans="1:34" x14ac:dyDescent="0.25">
      <c r="A671" s="69"/>
      <c r="B671" s="67"/>
      <c r="C671" s="67"/>
      <c r="D671" s="68"/>
      <c r="E671" s="68"/>
      <c r="F671" s="68"/>
      <c r="G671" s="67"/>
      <c r="H671" s="67"/>
      <c r="I671" s="67"/>
      <c r="J671" s="68"/>
      <c r="K671" s="68"/>
      <c r="S671" s="32"/>
      <c r="T671" s="32"/>
      <c r="U671" s="61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23"/>
      <c r="AG671" s="23"/>
      <c r="AH671" s="27"/>
    </row>
    <row r="672" spans="1:34" x14ac:dyDescent="0.25">
      <c r="A672" s="69"/>
      <c r="B672" s="67"/>
      <c r="C672" s="67"/>
      <c r="D672" s="70"/>
      <c r="E672" s="70"/>
      <c r="F672" s="70"/>
      <c r="G672" s="67"/>
      <c r="H672" s="67"/>
      <c r="I672" s="67"/>
      <c r="J672" s="68"/>
      <c r="K672" s="68"/>
      <c r="S672" s="32"/>
      <c r="T672" s="32"/>
      <c r="U672" s="61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23"/>
      <c r="AG672" s="23"/>
      <c r="AH672" s="27"/>
    </row>
    <row r="673" spans="1:34" x14ac:dyDescent="0.25">
      <c r="A673" s="69"/>
      <c r="B673" s="67"/>
      <c r="C673" s="67"/>
      <c r="D673" s="70"/>
      <c r="E673" s="70"/>
      <c r="F673" s="70"/>
      <c r="G673" s="67"/>
      <c r="H673" s="67"/>
      <c r="I673" s="67"/>
      <c r="J673" s="68"/>
      <c r="K673" s="68"/>
      <c r="S673" s="32"/>
      <c r="T673" s="32"/>
      <c r="U673" s="61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23"/>
      <c r="AG673" s="23"/>
      <c r="AH673" s="27"/>
    </row>
    <row r="674" spans="1:34" x14ac:dyDescent="0.25">
      <c r="A674" s="69"/>
      <c r="B674" s="67"/>
      <c r="C674" s="67"/>
      <c r="D674" s="70"/>
      <c r="E674" s="70"/>
      <c r="F674" s="70"/>
      <c r="G674" s="67"/>
      <c r="H674" s="67"/>
      <c r="I674" s="67"/>
      <c r="J674" s="68"/>
      <c r="K674" s="68"/>
      <c r="S674" s="32"/>
      <c r="T674" s="32"/>
      <c r="U674" s="61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23"/>
      <c r="AG674" s="23"/>
      <c r="AH674" s="27"/>
    </row>
    <row r="675" spans="1:34" x14ac:dyDescent="0.25">
      <c r="A675" s="69"/>
      <c r="B675" s="67"/>
      <c r="C675" s="67"/>
      <c r="D675" s="68"/>
      <c r="E675" s="68"/>
      <c r="F675" s="68"/>
      <c r="G675" s="67"/>
      <c r="H675" s="67"/>
      <c r="I675" s="67"/>
      <c r="J675" s="68"/>
      <c r="K675" s="68"/>
      <c r="S675" s="32"/>
      <c r="T675" s="32"/>
      <c r="U675" s="61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23"/>
      <c r="AG675" s="23"/>
      <c r="AH675" s="27"/>
    </row>
    <row r="676" spans="1:34" x14ac:dyDescent="0.25">
      <c r="A676" s="69"/>
      <c r="B676" s="67"/>
      <c r="C676" s="67"/>
      <c r="D676" s="68"/>
      <c r="E676" s="68"/>
      <c r="F676" s="68"/>
      <c r="G676" s="67"/>
      <c r="H676" s="67"/>
      <c r="I676" s="67"/>
      <c r="J676" s="68"/>
      <c r="K676" s="68"/>
      <c r="S676" s="32"/>
      <c r="T676" s="32"/>
      <c r="U676" s="61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23"/>
      <c r="AG676" s="23"/>
      <c r="AH676" s="27"/>
    </row>
    <row r="677" spans="1:34" x14ac:dyDescent="0.25">
      <c r="A677" s="69"/>
      <c r="B677" s="67"/>
      <c r="C677" s="67"/>
      <c r="D677" s="68"/>
      <c r="E677" s="68"/>
      <c r="F677" s="68"/>
      <c r="G677" s="67"/>
      <c r="H677" s="67"/>
      <c r="I677" s="67"/>
      <c r="J677" s="68"/>
      <c r="K677" s="68"/>
      <c r="S677" s="32"/>
      <c r="T677" s="32"/>
      <c r="U677" s="61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23"/>
      <c r="AG677" s="23"/>
      <c r="AH677" s="27"/>
    </row>
    <row r="678" spans="1:34" x14ac:dyDescent="0.25">
      <c r="A678" s="69"/>
      <c r="B678" s="67"/>
      <c r="C678" s="67"/>
      <c r="D678" s="68"/>
      <c r="E678" s="68"/>
      <c r="F678" s="68"/>
      <c r="G678" s="67"/>
      <c r="H678" s="67"/>
      <c r="I678" s="67"/>
      <c r="J678" s="68"/>
      <c r="K678" s="68"/>
      <c r="S678" s="32"/>
      <c r="T678" s="32"/>
      <c r="U678" s="61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23"/>
      <c r="AG678" s="23"/>
      <c r="AH678" s="27"/>
    </row>
    <row r="679" spans="1:34" x14ac:dyDescent="0.25">
      <c r="A679" s="69"/>
      <c r="B679" s="67"/>
      <c r="C679" s="67"/>
      <c r="D679" s="68"/>
      <c r="E679" s="68"/>
      <c r="F679" s="68"/>
      <c r="G679" s="67"/>
      <c r="H679" s="67"/>
      <c r="I679" s="67"/>
      <c r="J679" s="68"/>
      <c r="K679" s="68"/>
      <c r="S679" s="32"/>
      <c r="T679" s="32"/>
      <c r="U679" s="61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23"/>
      <c r="AG679" s="23"/>
      <c r="AH679" s="27"/>
    </row>
    <row r="680" spans="1:34" x14ac:dyDescent="0.25">
      <c r="A680" s="69"/>
      <c r="B680" s="67"/>
      <c r="C680" s="67"/>
      <c r="D680" s="68"/>
      <c r="E680" s="68"/>
      <c r="F680" s="68"/>
      <c r="G680" s="67"/>
      <c r="H680" s="67"/>
      <c r="I680" s="67"/>
      <c r="J680" s="68"/>
      <c r="K680" s="68"/>
      <c r="S680" s="32"/>
      <c r="T680" s="32"/>
      <c r="U680" s="61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23"/>
      <c r="AG680" s="23"/>
      <c r="AH680" s="27"/>
    </row>
    <row r="681" spans="1:34" x14ac:dyDescent="0.25">
      <c r="A681" s="69"/>
      <c r="B681" s="67"/>
      <c r="C681" s="67"/>
      <c r="D681" s="68"/>
      <c r="E681" s="68"/>
      <c r="F681" s="68"/>
      <c r="G681" s="67"/>
      <c r="H681" s="67"/>
      <c r="I681" s="67"/>
      <c r="J681" s="68"/>
      <c r="K681" s="68"/>
      <c r="S681" s="32"/>
      <c r="T681" s="32"/>
      <c r="U681" s="61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23"/>
      <c r="AG681" s="23"/>
      <c r="AH681" s="27"/>
    </row>
    <row r="682" spans="1:34" x14ac:dyDescent="0.25">
      <c r="A682" s="69"/>
      <c r="B682" s="67"/>
      <c r="C682" s="67"/>
      <c r="D682" s="68"/>
      <c r="E682" s="68"/>
      <c r="F682" s="68"/>
      <c r="G682" s="67"/>
      <c r="H682" s="67"/>
      <c r="I682" s="67"/>
      <c r="J682" s="68"/>
      <c r="K682" s="68"/>
      <c r="S682" s="32"/>
      <c r="T682" s="32"/>
      <c r="U682" s="61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23"/>
      <c r="AG682" s="23"/>
      <c r="AH682" s="27"/>
    </row>
    <row r="683" spans="1:34" x14ac:dyDescent="0.25">
      <c r="A683" s="69"/>
      <c r="B683" s="67"/>
      <c r="C683" s="67"/>
      <c r="D683" s="68"/>
      <c r="E683" s="68"/>
      <c r="F683" s="68"/>
      <c r="G683" s="67"/>
      <c r="H683" s="67"/>
      <c r="I683" s="67"/>
      <c r="J683" s="68"/>
      <c r="K683" s="68"/>
      <c r="S683" s="32"/>
      <c r="T683" s="32"/>
      <c r="U683" s="61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23"/>
      <c r="AG683" s="23"/>
      <c r="AH683" s="27"/>
    </row>
    <row r="684" spans="1:34" x14ac:dyDescent="0.25">
      <c r="A684" s="69"/>
      <c r="B684" s="67"/>
      <c r="C684" s="67"/>
      <c r="D684" s="68"/>
      <c r="E684" s="68"/>
      <c r="F684" s="68"/>
      <c r="G684" s="67"/>
      <c r="H684" s="67"/>
      <c r="I684" s="67"/>
      <c r="J684" s="68"/>
      <c r="K684" s="68"/>
      <c r="S684" s="32"/>
      <c r="T684" s="32"/>
      <c r="U684" s="61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23"/>
      <c r="AG684" s="23"/>
      <c r="AH684" s="27"/>
    </row>
    <row r="685" spans="1:34" x14ac:dyDescent="0.25">
      <c r="A685" s="69"/>
      <c r="B685" s="67"/>
      <c r="C685" s="67"/>
      <c r="D685" s="68"/>
      <c r="E685" s="68"/>
      <c r="F685" s="68"/>
      <c r="G685" s="67"/>
      <c r="H685" s="67"/>
      <c r="I685" s="67"/>
      <c r="J685" s="68"/>
      <c r="K685" s="68"/>
      <c r="S685" s="32"/>
      <c r="T685" s="32"/>
      <c r="U685" s="61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23"/>
      <c r="AG685" s="23"/>
      <c r="AH685" s="27"/>
    </row>
    <row r="686" spans="1:34" x14ac:dyDescent="0.25">
      <c r="A686" s="69"/>
      <c r="B686" s="67"/>
      <c r="C686" s="67"/>
      <c r="D686" s="68"/>
      <c r="E686" s="68"/>
      <c r="F686" s="68"/>
      <c r="G686" s="67"/>
      <c r="H686" s="67"/>
      <c r="I686" s="67"/>
      <c r="J686" s="68"/>
      <c r="K686" s="68"/>
      <c r="S686" s="32"/>
      <c r="T686" s="32"/>
      <c r="U686" s="61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23"/>
      <c r="AG686" s="23"/>
      <c r="AH686" s="27"/>
    </row>
    <row r="687" spans="1:34" x14ac:dyDescent="0.25">
      <c r="A687" s="69"/>
      <c r="B687" s="67"/>
      <c r="C687" s="67"/>
      <c r="D687" s="68"/>
      <c r="E687" s="68"/>
      <c r="F687" s="68"/>
      <c r="G687" s="67"/>
      <c r="H687" s="67"/>
      <c r="I687" s="67"/>
      <c r="J687" s="68"/>
      <c r="K687" s="68"/>
      <c r="S687" s="32"/>
      <c r="T687" s="32"/>
      <c r="U687" s="61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23"/>
      <c r="AG687" s="23"/>
      <c r="AH687" s="27"/>
    </row>
    <row r="688" spans="1:34" x14ac:dyDescent="0.25">
      <c r="A688" s="69"/>
      <c r="B688" s="67"/>
      <c r="C688" s="67"/>
      <c r="D688" s="68"/>
      <c r="E688" s="68"/>
      <c r="F688" s="68"/>
      <c r="G688" s="67"/>
      <c r="H688" s="67"/>
      <c r="I688" s="67"/>
      <c r="J688" s="68"/>
      <c r="K688" s="68"/>
      <c r="S688" s="32"/>
      <c r="T688" s="32"/>
      <c r="U688" s="61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23"/>
      <c r="AG688" s="23"/>
      <c r="AH688" s="27"/>
    </row>
    <row r="689" spans="1:34" x14ac:dyDescent="0.25">
      <c r="A689" s="69"/>
      <c r="B689" s="67"/>
      <c r="C689" s="67"/>
      <c r="D689" s="68"/>
      <c r="E689" s="68"/>
      <c r="F689" s="68"/>
      <c r="G689" s="67"/>
      <c r="H689" s="67"/>
      <c r="I689" s="67"/>
      <c r="J689" s="68"/>
      <c r="K689" s="68"/>
      <c r="S689" s="32"/>
      <c r="T689" s="32"/>
      <c r="U689" s="61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23"/>
      <c r="AG689" s="23"/>
      <c r="AH689" s="27"/>
    </row>
    <row r="690" spans="1:34" x14ac:dyDescent="0.25">
      <c r="A690" s="69"/>
      <c r="B690" s="67"/>
      <c r="C690" s="67"/>
      <c r="D690" s="68"/>
      <c r="E690" s="68"/>
      <c r="F690" s="68"/>
      <c r="G690" s="67"/>
      <c r="H690" s="67"/>
      <c r="I690" s="67"/>
      <c r="J690" s="68"/>
      <c r="K690" s="68"/>
      <c r="S690" s="32"/>
      <c r="T690" s="32"/>
      <c r="U690" s="61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23"/>
      <c r="AG690" s="23"/>
      <c r="AH690" s="27"/>
    </row>
    <row r="691" spans="1:34" x14ac:dyDescent="0.25">
      <c r="A691" s="69"/>
      <c r="B691" s="67"/>
      <c r="C691" s="67"/>
      <c r="D691" s="68"/>
      <c r="E691" s="68"/>
      <c r="F691" s="68"/>
      <c r="G691" s="67"/>
      <c r="H691" s="67"/>
      <c r="I691" s="67"/>
      <c r="J691" s="68"/>
      <c r="K691" s="68"/>
      <c r="S691" s="32"/>
      <c r="T691" s="32"/>
      <c r="U691" s="61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23"/>
      <c r="AG691" s="23"/>
      <c r="AH691" s="27"/>
    </row>
    <row r="692" spans="1:34" x14ac:dyDescent="0.25">
      <c r="A692" s="69"/>
      <c r="B692" s="67"/>
      <c r="C692" s="67"/>
      <c r="D692" s="68"/>
      <c r="E692" s="68"/>
      <c r="F692" s="68"/>
      <c r="G692" s="67"/>
      <c r="H692" s="67"/>
      <c r="I692" s="67"/>
      <c r="J692" s="68"/>
      <c r="K692" s="68"/>
      <c r="S692" s="32"/>
      <c r="T692" s="32"/>
      <c r="U692" s="61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23"/>
      <c r="AG692" s="23"/>
      <c r="AH692" s="27"/>
    </row>
    <row r="693" spans="1:34" x14ac:dyDescent="0.25">
      <c r="A693" s="69"/>
      <c r="B693" s="67"/>
      <c r="C693" s="67"/>
      <c r="D693" s="68"/>
      <c r="E693" s="68"/>
      <c r="F693" s="68"/>
      <c r="G693" s="67"/>
      <c r="H693" s="67"/>
      <c r="I693" s="67"/>
      <c r="J693" s="68"/>
      <c r="K693" s="68"/>
      <c r="S693" s="32"/>
      <c r="T693" s="32"/>
      <c r="U693" s="61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23"/>
      <c r="AG693" s="23"/>
      <c r="AH693" s="27"/>
    </row>
    <row r="694" spans="1:34" x14ac:dyDescent="0.25">
      <c r="A694" s="69"/>
      <c r="B694" s="67"/>
      <c r="C694" s="67"/>
      <c r="D694" s="68"/>
      <c r="E694" s="68"/>
      <c r="F694" s="68"/>
      <c r="G694" s="67"/>
      <c r="H694" s="67"/>
      <c r="I694" s="67"/>
      <c r="J694" s="68"/>
      <c r="K694" s="68"/>
      <c r="S694" s="32"/>
      <c r="T694" s="32"/>
      <c r="U694" s="61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23"/>
      <c r="AG694" s="23"/>
      <c r="AH694" s="27"/>
    </row>
    <row r="695" spans="1:34" x14ac:dyDescent="0.25">
      <c r="A695" s="69"/>
      <c r="B695" s="67"/>
      <c r="C695" s="67"/>
      <c r="D695" s="68"/>
      <c r="E695" s="68"/>
      <c r="F695" s="68"/>
      <c r="G695" s="67"/>
      <c r="H695" s="67"/>
      <c r="I695" s="67"/>
      <c r="J695" s="68"/>
      <c r="K695" s="68"/>
      <c r="S695" s="32"/>
      <c r="T695" s="32"/>
      <c r="U695" s="61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23"/>
      <c r="AG695" s="23"/>
      <c r="AH695" s="27"/>
    </row>
    <row r="696" spans="1:34" x14ac:dyDescent="0.25">
      <c r="A696" s="69"/>
      <c r="B696" s="67"/>
      <c r="C696" s="67"/>
      <c r="D696" s="70"/>
      <c r="E696" s="70"/>
      <c r="F696" s="70"/>
      <c r="G696" s="67"/>
      <c r="H696" s="67"/>
      <c r="I696" s="67"/>
      <c r="J696" s="68"/>
      <c r="K696" s="68"/>
      <c r="S696" s="32"/>
      <c r="T696" s="32"/>
      <c r="U696" s="61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23"/>
      <c r="AG696" s="23"/>
      <c r="AH696" s="27"/>
    </row>
    <row r="697" spans="1:34" x14ac:dyDescent="0.25">
      <c r="A697" s="69"/>
      <c r="B697" s="67"/>
      <c r="C697" s="67"/>
      <c r="D697" s="70"/>
      <c r="E697" s="70"/>
      <c r="F697" s="70"/>
      <c r="G697" s="67"/>
      <c r="H697" s="67"/>
      <c r="I697" s="67"/>
      <c r="J697" s="68"/>
      <c r="K697" s="68"/>
      <c r="S697" s="32"/>
      <c r="T697" s="32"/>
      <c r="U697" s="61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23"/>
      <c r="AG697" s="23"/>
      <c r="AH697" s="27"/>
    </row>
    <row r="698" spans="1:34" x14ac:dyDescent="0.25">
      <c r="A698" s="69"/>
      <c r="B698" s="67"/>
      <c r="C698" s="67"/>
      <c r="D698" s="70"/>
      <c r="E698" s="70"/>
      <c r="F698" s="70"/>
      <c r="G698" s="67"/>
      <c r="H698" s="67"/>
      <c r="I698" s="67"/>
      <c r="J698" s="68"/>
      <c r="K698" s="68"/>
      <c r="S698" s="32"/>
      <c r="T698" s="32"/>
      <c r="U698" s="61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23"/>
      <c r="AG698" s="23"/>
      <c r="AH698" s="27"/>
    </row>
    <row r="699" spans="1:34" x14ac:dyDescent="0.25">
      <c r="A699" s="69"/>
      <c r="B699" s="67"/>
      <c r="C699" s="67"/>
      <c r="D699" s="68"/>
      <c r="E699" s="68"/>
      <c r="F699" s="68"/>
      <c r="G699" s="67"/>
      <c r="H699" s="67"/>
      <c r="I699" s="67"/>
      <c r="J699" s="68"/>
      <c r="K699" s="68"/>
      <c r="S699" s="32"/>
      <c r="T699" s="32"/>
      <c r="U699" s="61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23"/>
      <c r="AG699" s="23"/>
      <c r="AH699" s="27"/>
    </row>
    <row r="700" spans="1:34" x14ac:dyDescent="0.25">
      <c r="A700" s="69"/>
      <c r="B700" s="67"/>
      <c r="C700" s="67"/>
      <c r="D700" s="68"/>
      <c r="E700" s="68"/>
      <c r="F700" s="68"/>
      <c r="G700" s="67"/>
      <c r="H700" s="67"/>
      <c r="I700" s="67"/>
      <c r="J700" s="68"/>
      <c r="K700" s="68"/>
      <c r="S700" s="32"/>
      <c r="T700" s="32"/>
      <c r="U700" s="61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23"/>
      <c r="AG700" s="23"/>
      <c r="AH700" s="27"/>
    </row>
    <row r="701" spans="1:34" x14ac:dyDescent="0.25">
      <c r="A701" s="69"/>
      <c r="B701" s="67"/>
      <c r="C701" s="67"/>
      <c r="D701" s="68"/>
      <c r="E701" s="68"/>
      <c r="F701" s="68"/>
      <c r="G701" s="67"/>
      <c r="H701" s="67"/>
      <c r="I701" s="67"/>
      <c r="J701" s="68"/>
      <c r="K701" s="68"/>
      <c r="S701" s="32"/>
      <c r="T701" s="32"/>
      <c r="U701" s="61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23"/>
      <c r="AG701" s="23"/>
      <c r="AH701" s="27"/>
    </row>
    <row r="702" spans="1:34" x14ac:dyDescent="0.25">
      <c r="A702" s="69"/>
      <c r="B702" s="67"/>
      <c r="C702" s="67"/>
      <c r="D702" s="68"/>
      <c r="E702" s="68"/>
      <c r="F702" s="68"/>
      <c r="G702" s="67"/>
      <c r="H702" s="67"/>
      <c r="I702" s="67"/>
      <c r="J702" s="68"/>
      <c r="K702" s="68"/>
      <c r="S702" s="32"/>
      <c r="T702" s="32"/>
      <c r="U702" s="61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23"/>
      <c r="AG702" s="23"/>
      <c r="AH702" s="27"/>
    </row>
    <row r="703" spans="1:34" x14ac:dyDescent="0.25">
      <c r="A703" s="69"/>
      <c r="B703" s="67"/>
      <c r="C703" s="67"/>
      <c r="D703" s="68"/>
      <c r="E703" s="68"/>
      <c r="F703" s="68"/>
      <c r="G703" s="67"/>
      <c r="H703" s="67"/>
      <c r="I703" s="67"/>
      <c r="J703" s="68"/>
      <c r="K703" s="68"/>
      <c r="S703" s="32"/>
      <c r="T703" s="32"/>
      <c r="U703" s="61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23"/>
      <c r="AG703" s="23"/>
      <c r="AH703" s="27"/>
    </row>
    <row r="704" spans="1:34" x14ac:dyDescent="0.25">
      <c r="A704" s="69"/>
      <c r="B704" s="67"/>
      <c r="C704" s="67"/>
      <c r="D704" s="68"/>
      <c r="E704" s="68"/>
      <c r="F704" s="68"/>
      <c r="G704" s="67"/>
      <c r="H704" s="67"/>
      <c r="I704" s="67"/>
      <c r="J704" s="68"/>
      <c r="K704" s="68"/>
      <c r="S704" s="32"/>
      <c r="T704" s="32"/>
      <c r="U704" s="61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23"/>
      <c r="AG704" s="23"/>
      <c r="AH704" s="27"/>
    </row>
    <row r="705" spans="1:34" x14ac:dyDescent="0.25">
      <c r="A705" s="69"/>
      <c r="B705" s="67"/>
      <c r="C705" s="67"/>
      <c r="D705" s="68"/>
      <c r="E705" s="68"/>
      <c r="F705" s="68"/>
      <c r="G705" s="67"/>
      <c r="H705" s="67"/>
      <c r="I705" s="67"/>
      <c r="J705" s="68"/>
      <c r="K705" s="68"/>
      <c r="S705" s="32"/>
      <c r="T705" s="32"/>
      <c r="U705" s="61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23"/>
      <c r="AG705" s="23"/>
      <c r="AH705" s="27"/>
    </row>
    <row r="706" spans="1:34" x14ac:dyDescent="0.25">
      <c r="A706" s="69"/>
      <c r="B706" s="67"/>
      <c r="C706" s="67"/>
      <c r="D706" s="68"/>
      <c r="E706" s="68"/>
      <c r="F706" s="68"/>
      <c r="G706" s="67"/>
      <c r="H706" s="67"/>
      <c r="I706" s="67"/>
      <c r="J706" s="68"/>
      <c r="K706" s="68"/>
      <c r="S706" s="32"/>
      <c r="T706" s="32"/>
      <c r="U706" s="61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23"/>
      <c r="AG706" s="23"/>
      <c r="AH706" s="27"/>
    </row>
    <row r="707" spans="1:34" x14ac:dyDescent="0.25">
      <c r="A707" s="69"/>
      <c r="B707" s="67"/>
      <c r="C707" s="67"/>
      <c r="D707" s="68"/>
      <c r="E707" s="68"/>
      <c r="F707" s="68"/>
      <c r="G707" s="67"/>
      <c r="H707" s="67"/>
      <c r="I707" s="67"/>
      <c r="J707" s="68"/>
      <c r="K707" s="68"/>
      <c r="S707" s="32"/>
      <c r="T707" s="32"/>
      <c r="U707" s="61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23"/>
      <c r="AG707" s="23"/>
      <c r="AH707" s="27"/>
    </row>
    <row r="708" spans="1:34" x14ac:dyDescent="0.25">
      <c r="A708" s="69"/>
      <c r="B708" s="67"/>
      <c r="C708" s="67"/>
      <c r="D708" s="68"/>
      <c r="E708" s="68"/>
      <c r="F708" s="68"/>
      <c r="G708" s="67"/>
      <c r="H708" s="67"/>
      <c r="I708" s="67"/>
      <c r="J708" s="68"/>
      <c r="K708" s="68"/>
      <c r="S708" s="32"/>
      <c r="T708" s="32"/>
      <c r="U708" s="61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23"/>
      <c r="AG708" s="23"/>
      <c r="AH708" s="27"/>
    </row>
    <row r="709" spans="1:34" x14ac:dyDescent="0.25">
      <c r="A709" s="69"/>
      <c r="B709" s="67"/>
      <c r="C709" s="67"/>
      <c r="D709" s="68"/>
      <c r="E709" s="68"/>
      <c r="F709" s="68"/>
      <c r="G709" s="67"/>
      <c r="H709" s="67"/>
      <c r="I709" s="67"/>
      <c r="J709" s="68"/>
      <c r="K709" s="68"/>
      <c r="S709" s="32"/>
      <c r="T709" s="32"/>
      <c r="U709" s="61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23"/>
      <c r="AG709" s="23"/>
      <c r="AH709" s="27"/>
    </row>
    <row r="710" spans="1:34" x14ac:dyDescent="0.25">
      <c r="A710" s="69"/>
      <c r="B710" s="67"/>
      <c r="C710" s="67"/>
      <c r="D710" s="68"/>
      <c r="E710" s="68"/>
      <c r="F710" s="68"/>
      <c r="G710" s="67"/>
      <c r="H710" s="67"/>
      <c r="I710" s="67"/>
      <c r="J710" s="68"/>
      <c r="K710" s="68"/>
      <c r="S710" s="32"/>
      <c r="T710" s="32"/>
      <c r="U710" s="61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23"/>
      <c r="AG710" s="23"/>
      <c r="AH710" s="27"/>
    </row>
    <row r="711" spans="1:34" x14ac:dyDescent="0.25">
      <c r="A711" s="69"/>
      <c r="B711" s="67"/>
      <c r="C711" s="67"/>
      <c r="D711" s="68"/>
      <c r="E711" s="68"/>
      <c r="F711" s="68"/>
      <c r="G711" s="67"/>
      <c r="H711" s="67"/>
      <c r="I711" s="67"/>
      <c r="J711" s="68"/>
      <c r="K711" s="68"/>
      <c r="S711" s="32"/>
      <c r="T711" s="32"/>
      <c r="U711" s="61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23"/>
      <c r="AG711" s="23"/>
      <c r="AH711" s="27"/>
    </row>
    <row r="712" spans="1:34" x14ac:dyDescent="0.25">
      <c r="A712" s="69"/>
      <c r="B712" s="67"/>
      <c r="C712" s="67"/>
      <c r="D712" s="68"/>
      <c r="E712" s="68"/>
      <c r="F712" s="68"/>
      <c r="G712" s="67"/>
      <c r="H712" s="67"/>
      <c r="I712" s="67"/>
      <c r="J712" s="68"/>
      <c r="K712" s="68"/>
      <c r="S712" s="32"/>
      <c r="T712" s="32"/>
      <c r="U712" s="61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23"/>
      <c r="AG712" s="23"/>
      <c r="AH712" s="27"/>
    </row>
    <row r="713" spans="1:34" x14ac:dyDescent="0.25">
      <c r="A713" s="69"/>
      <c r="B713" s="67"/>
      <c r="C713" s="67"/>
      <c r="D713" s="68"/>
      <c r="E713" s="68"/>
      <c r="F713" s="68"/>
      <c r="G713" s="67"/>
      <c r="H713" s="67"/>
      <c r="I713" s="67"/>
      <c r="J713" s="68"/>
      <c r="K713" s="68"/>
      <c r="S713" s="32"/>
      <c r="T713" s="32"/>
      <c r="U713" s="61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23"/>
      <c r="AG713" s="23"/>
      <c r="AH713" s="27"/>
    </row>
    <row r="714" spans="1:34" x14ac:dyDescent="0.25">
      <c r="A714" s="69"/>
      <c r="B714" s="67"/>
      <c r="C714" s="67"/>
      <c r="D714" s="68"/>
      <c r="E714" s="68"/>
      <c r="F714" s="68"/>
      <c r="G714" s="67"/>
      <c r="H714" s="67"/>
      <c r="I714" s="67"/>
      <c r="J714" s="68"/>
      <c r="K714" s="68"/>
      <c r="S714" s="32"/>
      <c r="T714" s="32"/>
      <c r="U714" s="61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23"/>
      <c r="AG714" s="23"/>
      <c r="AH714" s="27"/>
    </row>
    <row r="715" spans="1:34" x14ac:dyDescent="0.25">
      <c r="A715" s="69"/>
      <c r="B715" s="67"/>
      <c r="C715" s="67"/>
      <c r="D715" s="68"/>
      <c r="E715" s="68"/>
      <c r="F715" s="68"/>
      <c r="G715" s="67"/>
      <c r="H715" s="67"/>
      <c r="I715" s="67"/>
      <c r="J715" s="68"/>
      <c r="K715" s="68"/>
      <c r="S715" s="32"/>
      <c r="T715" s="32"/>
      <c r="U715" s="61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23"/>
      <c r="AG715" s="23"/>
      <c r="AH715" s="27"/>
    </row>
    <row r="716" spans="1:34" x14ac:dyDescent="0.25">
      <c r="A716" s="69"/>
      <c r="B716" s="67"/>
      <c r="C716" s="67"/>
      <c r="D716" s="68"/>
      <c r="E716" s="68"/>
      <c r="F716" s="68"/>
      <c r="G716" s="67"/>
      <c r="H716" s="67"/>
      <c r="I716" s="67"/>
      <c r="J716" s="68"/>
      <c r="K716" s="68"/>
      <c r="S716" s="32"/>
      <c r="T716" s="32"/>
      <c r="U716" s="61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23"/>
      <c r="AG716" s="23"/>
      <c r="AH716" s="27"/>
    </row>
    <row r="717" spans="1:34" x14ac:dyDescent="0.25">
      <c r="A717" s="69"/>
      <c r="B717" s="67"/>
      <c r="C717" s="67"/>
      <c r="D717" s="68"/>
      <c r="E717" s="68"/>
      <c r="F717" s="68"/>
      <c r="G717" s="67"/>
      <c r="H717" s="67"/>
      <c r="I717" s="67"/>
      <c r="J717" s="68"/>
      <c r="K717" s="68"/>
      <c r="S717" s="32"/>
      <c r="T717" s="32"/>
      <c r="U717" s="61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23"/>
      <c r="AG717" s="23"/>
      <c r="AH717" s="27"/>
    </row>
    <row r="718" spans="1:34" x14ac:dyDescent="0.25">
      <c r="A718" s="69"/>
      <c r="B718" s="67"/>
      <c r="C718" s="67"/>
      <c r="D718" s="68"/>
      <c r="E718" s="68"/>
      <c r="F718" s="68"/>
      <c r="G718" s="67"/>
      <c r="H718" s="67"/>
      <c r="I718" s="67"/>
      <c r="J718" s="68"/>
      <c r="K718" s="68"/>
      <c r="S718" s="32"/>
      <c r="T718" s="32"/>
      <c r="U718" s="61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23"/>
      <c r="AG718" s="23"/>
      <c r="AH718" s="27"/>
    </row>
    <row r="719" spans="1:34" x14ac:dyDescent="0.25">
      <c r="A719" s="69"/>
      <c r="B719" s="67"/>
      <c r="C719" s="67"/>
      <c r="D719" s="68"/>
      <c r="E719" s="68"/>
      <c r="F719" s="68"/>
      <c r="G719" s="67"/>
      <c r="H719" s="67"/>
      <c r="I719" s="67"/>
      <c r="J719" s="68"/>
      <c r="K719" s="68"/>
      <c r="S719" s="32"/>
      <c r="T719" s="32"/>
      <c r="U719" s="61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23"/>
      <c r="AG719" s="23"/>
      <c r="AH719" s="27"/>
    </row>
    <row r="720" spans="1:34" x14ac:dyDescent="0.25">
      <c r="A720" s="69"/>
      <c r="B720" s="67"/>
      <c r="C720" s="67"/>
      <c r="D720" s="70"/>
      <c r="E720" s="70"/>
      <c r="F720" s="70"/>
      <c r="G720" s="67"/>
      <c r="H720" s="67"/>
      <c r="I720" s="67"/>
      <c r="J720" s="68"/>
      <c r="K720" s="68"/>
      <c r="S720" s="32"/>
      <c r="T720" s="32"/>
      <c r="U720" s="61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23"/>
      <c r="AG720" s="23"/>
      <c r="AH720" s="27"/>
    </row>
    <row r="721" spans="1:34" x14ac:dyDescent="0.25">
      <c r="A721" s="69"/>
      <c r="B721" s="67"/>
      <c r="C721" s="67"/>
      <c r="D721" s="70"/>
      <c r="E721" s="70"/>
      <c r="F721" s="70"/>
      <c r="G721" s="67"/>
      <c r="H721" s="67"/>
      <c r="I721" s="67"/>
      <c r="J721" s="68"/>
      <c r="K721" s="68"/>
      <c r="S721" s="32"/>
      <c r="T721" s="32"/>
      <c r="U721" s="61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23"/>
      <c r="AG721" s="23"/>
      <c r="AH721" s="27"/>
    </row>
    <row r="722" spans="1:34" x14ac:dyDescent="0.25">
      <c r="A722" s="69"/>
      <c r="B722" s="67"/>
      <c r="C722" s="67"/>
      <c r="D722" s="70"/>
      <c r="E722" s="70"/>
      <c r="F722" s="70"/>
      <c r="G722" s="67"/>
      <c r="H722" s="67"/>
      <c r="I722" s="67"/>
      <c r="J722" s="68"/>
      <c r="K722" s="68"/>
      <c r="S722" s="32"/>
      <c r="T722" s="32"/>
      <c r="U722" s="61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23"/>
      <c r="AG722" s="23"/>
      <c r="AH722" s="27"/>
    </row>
    <row r="723" spans="1:34" x14ac:dyDescent="0.25">
      <c r="A723" s="69"/>
      <c r="B723" s="67"/>
      <c r="C723" s="67"/>
      <c r="D723" s="68"/>
      <c r="E723" s="68"/>
      <c r="F723" s="68"/>
      <c r="G723" s="67"/>
      <c r="H723" s="67"/>
      <c r="I723" s="67"/>
      <c r="J723" s="68"/>
      <c r="K723" s="68"/>
      <c r="S723" s="32"/>
      <c r="T723" s="32"/>
      <c r="U723" s="61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23"/>
      <c r="AG723" s="23"/>
      <c r="AH723" s="27"/>
    </row>
    <row r="724" spans="1:34" x14ac:dyDescent="0.25">
      <c r="A724" s="69"/>
      <c r="B724" s="67"/>
      <c r="C724" s="67"/>
      <c r="D724" s="68"/>
      <c r="E724" s="68"/>
      <c r="F724" s="68"/>
      <c r="G724" s="67"/>
      <c r="H724" s="67"/>
      <c r="I724" s="67"/>
      <c r="J724" s="68"/>
      <c r="K724" s="68"/>
      <c r="S724" s="32"/>
      <c r="T724" s="32"/>
      <c r="U724" s="61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23"/>
      <c r="AG724" s="23"/>
      <c r="AH724" s="27"/>
    </row>
    <row r="725" spans="1:34" x14ac:dyDescent="0.25">
      <c r="A725" s="69"/>
      <c r="B725" s="67"/>
      <c r="C725" s="67"/>
      <c r="D725" s="68"/>
      <c r="E725" s="68"/>
      <c r="F725" s="68"/>
      <c r="G725" s="67"/>
      <c r="H725" s="67"/>
      <c r="I725" s="67"/>
      <c r="J725" s="68"/>
      <c r="K725" s="68"/>
      <c r="S725" s="32"/>
      <c r="T725" s="32"/>
      <c r="U725" s="61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23"/>
      <c r="AG725" s="23"/>
      <c r="AH725" s="27"/>
    </row>
    <row r="726" spans="1:34" x14ac:dyDescent="0.25">
      <c r="A726" s="69"/>
      <c r="B726" s="67"/>
      <c r="C726" s="67"/>
      <c r="D726" s="68"/>
      <c r="E726" s="68"/>
      <c r="F726" s="68"/>
      <c r="G726" s="67"/>
      <c r="H726" s="67"/>
      <c r="I726" s="67"/>
      <c r="J726" s="68"/>
      <c r="K726" s="68"/>
      <c r="S726" s="32"/>
      <c r="T726" s="32"/>
      <c r="U726" s="61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23"/>
      <c r="AG726" s="23"/>
      <c r="AH726" s="27"/>
    </row>
    <row r="727" spans="1:34" x14ac:dyDescent="0.25">
      <c r="A727" s="69"/>
      <c r="B727" s="67"/>
      <c r="C727" s="67"/>
      <c r="D727" s="68"/>
      <c r="E727" s="68"/>
      <c r="F727" s="68"/>
      <c r="G727" s="67"/>
      <c r="H727" s="67"/>
      <c r="I727" s="67"/>
      <c r="J727" s="68"/>
      <c r="K727" s="68"/>
      <c r="S727" s="32"/>
      <c r="T727" s="32"/>
      <c r="U727" s="61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23"/>
      <c r="AG727" s="23"/>
      <c r="AH727" s="27"/>
    </row>
    <row r="728" spans="1:34" x14ac:dyDescent="0.25">
      <c r="A728" s="69"/>
      <c r="B728" s="67"/>
      <c r="C728" s="67"/>
      <c r="D728" s="68"/>
      <c r="E728" s="68"/>
      <c r="F728" s="68"/>
      <c r="G728" s="67"/>
      <c r="H728" s="67"/>
      <c r="I728" s="67"/>
      <c r="J728" s="68"/>
      <c r="K728" s="68"/>
      <c r="S728" s="32"/>
      <c r="T728" s="32"/>
      <c r="U728" s="61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23"/>
      <c r="AG728" s="23"/>
      <c r="AH728" s="27"/>
    </row>
    <row r="729" spans="1:34" x14ac:dyDescent="0.25">
      <c r="A729" s="69"/>
      <c r="B729" s="67"/>
      <c r="C729" s="67"/>
      <c r="D729" s="68"/>
      <c r="E729" s="68"/>
      <c r="F729" s="68"/>
      <c r="G729" s="67"/>
      <c r="H729" s="67"/>
      <c r="I729" s="67"/>
      <c r="J729" s="68"/>
      <c r="K729" s="68"/>
      <c r="S729" s="32"/>
      <c r="T729" s="32"/>
      <c r="U729" s="61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23"/>
      <c r="AG729" s="23"/>
      <c r="AH729" s="27"/>
    </row>
    <row r="730" spans="1:34" x14ac:dyDescent="0.25">
      <c r="A730" s="69"/>
      <c r="B730" s="67"/>
      <c r="C730" s="67"/>
      <c r="D730" s="68"/>
      <c r="E730" s="68"/>
      <c r="F730" s="68"/>
      <c r="G730" s="67"/>
      <c r="H730" s="67"/>
      <c r="I730" s="67"/>
      <c r="J730" s="68"/>
      <c r="K730" s="68"/>
      <c r="S730" s="32"/>
      <c r="T730" s="32"/>
      <c r="U730" s="61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23"/>
      <c r="AG730" s="23"/>
      <c r="AH730" s="27"/>
    </row>
    <row r="731" spans="1:34" x14ac:dyDescent="0.25">
      <c r="A731" s="69"/>
      <c r="B731" s="67"/>
      <c r="C731" s="67"/>
      <c r="D731" s="68"/>
      <c r="E731" s="68"/>
      <c r="F731" s="68"/>
      <c r="G731" s="67"/>
      <c r="H731" s="67"/>
      <c r="I731" s="67"/>
      <c r="J731" s="68"/>
      <c r="K731" s="68"/>
      <c r="S731" s="32"/>
      <c r="T731" s="32"/>
      <c r="U731" s="61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23"/>
      <c r="AG731" s="23"/>
      <c r="AH731" s="27"/>
    </row>
    <row r="732" spans="1:34" x14ac:dyDescent="0.25">
      <c r="A732" s="69"/>
      <c r="B732" s="67"/>
      <c r="C732" s="67"/>
      <c r="D732" s="68"/>
      <c r="E732" s="68"/>
      <c r="F732" s="68"/>
      <c r="G732" s="67"/>
      <c r="H732" s="67"/>
      <c r="I732" s="67"/>
      <c r="J732" s="68"/>
      <c r="K732" s="68"/>
      <c r="S732" s="32"/>
      <c r="T732" s="32"/>
      <c r="U732" s="61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23"/>
      <c r="AG732" s="23"/>
      <c r="AH732" s="27"/>
    </row>
    <row r="733" spans="1:34" x14ac:dyDescent="0.25">
      <c r="A733" s="69"/>
      <c r="B733" s="67"/>
      <c r="C733" s="67"/>
      <c r="D733" s="68"/>
      <c r="E733" s="68"/>
      <c r="F733" s="68"/>
      <c r="G733" s="67"/>
      <c r="H733" s="67"/>
      <c r="I733" s="67"/>
      <c r="J733" s="68"/>
      <c r="K733" s="68"/>
      <c r="S733" s="32"/>
      <c r="T733" s="32"/>
      <c r="U733" s="61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23"/>
      <c r="AG733" s="23"/>
      <c r="AH733" s="27"/>
    </row>
    <row r="734" spans="1:34" x14ac:dyDescent="0.25">
      <c r="A734" s="69"/>
      <c r="B734" s="67"/>
      <c r="C734" s="67"/>
      <c r="D734" s="68"/>
      <c r="E734" s="68"/>
      <c r="F734" s="68"/>
      <c r="G734" s="67"/>
      <c r="H734" s="67"/>
      <c r="I734" s="67"/>
      <c r="J734" s="68"/>
      <c r="K734" s="68"/>
      <c r="S734" s="32"/>
      <c r="T734" s="32"/>
      <c r="U734" s="61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23"/>
      <c r="AG734" s="23"/>
      <c r="AH734" s="27"/>
    </row>
    <row r="735" spans="1:34" x14ac:dyDescent="0.25">
      <c r="A735" s="69"/>
      <c r="B735" s="67"/>
      <c r="C735" s="67"/>
      <c r="D735" s="68"/>
      <c r="E735" s="68"/>
      <c r="F735" s="68"/>
      <c r="G735" s="67"/>
      <c r="H735" s="67"/>
      <c r="I735" s="67"/>
      <c r="J735" s="68"/>
      <c r="K735" s="68"/>
      <c r="S735" s="32"/>
      <c r="T735" s="32"/>
      <c r="U735" s="61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23"/>
      <c r="AG735" s="23"/>
      <c r="AH735" s="27"/>
    </row>
    <row r="736" spans="1:34" x14ac:dyDescent="0.25">
      <c r="A736" s="69"/>
      <c r="B736" s="67"/>
      <c r="C736" s="67"/>
      <c r="D736" s="68"/>
      <c r="E736" s="68"/>
      <c r="F736" s="68"/>
      <c r="G736" s="67"/>
      <c r="H736" s="67"/>
      <c r="I736" s="67"/>
      <c r="J736" s="68"/>
      <c r="K736" s="68"/>
      <c r="S736" s="32"/>
      <c r="T736" s="32"/>
      <c r="U736" s="61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23"/>
      <c r="AG736" s="23"/>
      <c r="AH736" s="27"/>
    </row>
    <row r="737" spans="1:34" x14ac:dyDescent="0.25">
      <c r="A737" s="69"/>
      <c r="B737" s="67"/>
      <c r="C737" s="67"/>
      <c r="D737" s="68"/>
      <c r="E737" s="68"/>
      <c r="F737" s="68"/>
      <c r="G737" s="67"/>
      <c r="H737" s="67"/>
      <c r="I737" s="67"/>
      <c r="J737" s="68"/>
      <c r="K737" s="68"/>
      <c r="S737" s="32"/>
      <c r="T737" s="32"/>
      <c r="U737" s="61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23"/>
      <c r="AG737" s="23"/>
      <c r="AH737" s="27"/>
    </row>
    <row r="738" spans="1:34" x14ac:dyDescent="0.25">
      <c r="A738" s="69"/>
      <c r="B738" s="67"/>
      <c r="C738" s="67"/>
      <c r="D738" s="68"/>
      <c r="E738" s="68"/>
      <c r="F738" s="68"/>
      <c r="G738" s="67"/>
      <c r="H738" s="67"/>
      <c r="I738" s="67"/>
      <c r="J738" s="68"/>
      <c r="K738" s="68"/>
      <c r="S738" s="32"/>
      <c r="T738" s="32"/>
      <c r="U738" s="61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23"/>
      <c r="AG738" s="23"/>
      <c r="AH738" s="27"/>
    </row>
    <row r="739" spans="1:34" x14ac:dyDescent="0.25">
      <c r="A739" s="69"/>
      <c r="B739" s="67"/>
      <c r="C739" s="67"/>
      <c r="D739" s="68"/>
      <c r="E739" s="68"/>
      <c r="F739" s="68"/>
      <c r="G739" s="67"/>
      <c r="H739" s="67"/>
      <c r="I739" s="67"/>
      <c r="J739" s="68"/>
      <c r="K739" s="68"/>
      <c r="S739" s="32"/>
      <c r="T739" s="32"/>
      <c r="U739" s="61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23"/>
      <c r="AG739" s="23"/>
      <c r="AH739" s="27"/>
    </row>
    <row r="740" spans="1:34" x14ac:dyDescent="0.25">
      <c r="A740" s="69"/>
      <c r="B740" s="67"/>
      <c r="C740" s="67"/>
      <c r="D740" s="68"/>
      <c r="E740" s="68"/>
      <c r="F740" s="68"/>
      <c r="G740" s="67"/>
      <c r="H740" s="67"/>
      <c r="I740" s="67"/>
      <c r="J740" s="68"/>
      <c r="K740" s="68"/>
      <c r="S740" s="32"/>
      <c r="T740" s="32"/>
      <c r="U740" s="61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23"/>
      <c r="AG740" s="23"/>
      <c r="AH740" s="27"/>
    </row>
    <row r="741" spans="1:34" x14ac:dyDescent="0.25">
      <c r="A741" s="69"/>
      <c r="B741" s="67"/>
      <c r="C741" s="67"/>
      <c r="D741" s="68"/>
      <c r="E741" s="68"/>
      <c r="F741" s="68"/>
      <c r="G741" s="67"/>
      <c r="H741" s="67"/>
      <c r="I741" s="67"/>
      <c r="J741" s="68"/>
      <c r="K741" s="68"/>
      <c r="S741" s="32"/>
      <c r="T741" s="32"/>
      <c r="U741" s="61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23"/>
      <c r="AG741" s="23"/>
      <c r="AH741" s="27"/>
    </row>
    <row r="742" spans="1:34" x14ac:dyDescent="0.25">
      <c r="A742" s="69"/>
      <c r="B742" s="67"/>
      <c r="C742" s="67"/>
      <c r="D742" s="68"/>
      <c r="E742" s="68"/>
      <c r="F742" s="68"/>
      <c r="G742" s="67"/>
      <c r="H742" s="67"/>
      <c r="I742" s="67"/>
      <c r="J742" s="68"/>
      <c r="K742" s="68"/>
      <c r="S742" s="32"/>
      <c r="T742" s="32"/>
      <c r="U742" s="61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23"/>
      <c r="AG742" s="23"/>
      <c r="AH742" s="27"/>
    </row>
    <row r="743" spans="1:34" x14ac:dyDescent="0.25">
      <c r="A743" s="69"/>
      <c r="B743" s="67"/>
      <c r="C743" s="67"/>
      <c r="D743" s="68"/>
      <c r="E743" s="68"/>
      <c r="F743" s="68"/>
      <c r="G743" s="67"/>
      <c r="H743" s="67"/>
      <c r="I743" s="67"/>
      <c r="J743" s="68"/>
      <c r="K743" s="68"/>
      <c r="S743" s="32"/>
      <c r="T743" s="32"/>
      <c r="U743" s="61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23"/>
      <c r="AG743" s="23"/>
      <c r="AH743" s="27"/>
    </row>
    <row r="744" spans="1:34" x14ac:dyDescent="0.25">
      <c r="A744" s="69"/>
      <c r="B744" s="67"/>
      <c r="C744" s="67"/>
      <c r="D744" s="70"/>
      <c r="E744" s="70"/>
      <c r="F744" s="70"/>
      <c r="G744" s="67"/>
      <c r="H744" s="67"/>
      <c r="I744" s="67"/>
      <c r="J744" s="68"/>
      <c r="K744" s="68"/>
      <c r="S744" s="32"/>
      <c r="T744" s="32"/>
      <c r="U744" s="61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23"/>
      <c r="AG744" s="23"/>
      <c r="AH744" s="27"/>
    </row>
    <row r="745" spans="1:34" x14ac:dyDescent="0.25">
      <c r="A745" s="69"/>
      <c r="B745" s="67"/>
      <c r="C745" s="67"/>
      <c r="D745" s="70"/>
      <c r="E745" s="70"/>
      <c r="F745" s="70"/>
      <c r="G745" s="67"/>
      <c r="H745" s="67"/>
      <c r="I745" s="67"/>
      <c r="J745" s="68"/>
      <c r="K745" s="68"/>
      <c r="S745" s="32"/>
      <c r="T745" s="32"/>
      <c r="U745" s="61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23"/>
      <c r="AG745" s="23"/>
      <c r="AH745" s="27"/>
    </row>
    <row r="746" spans="1:34" x14ac:dyDescent="0.25">
      <c r="A746" s="69"/>
      <c r="B746" s="67"/>
      <c r="C746" s="67"/>
      <c r="D746" s="70"/>
      <c r="E746" s="70"/>
      <c r="F746" s="70"/>
      <c r="G746" s="67"/>
      <c r="H746" s="67"/>
      <c r="I746" s="67"/>
      <c r="J746" s="68"/>
      <c r="K746" s="68"/>
      <c r="S746" s="32"/>
      <c r="T746" s="32"/>
      <c r="U746" s="61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23"/>
      <c r="AG746" s="23"/>
      <c r="AH746" s="27"/>
    </row>
    <row r="747" spans="1:34" x14ac:dyDescent="0.25">
      <c r="A747" s="69"/>
      <c r="B747" s="67"/>
      <c r="C747" s="67"/>
      <c r="D747" s="68"/>
      <c r="E747" s="68"/>
      <c r="F747" s="68"/>
      <c r="G747" s="67"/>
      <c r="H747" s="67"/>
      <c r="I747" s="67"/>
      <c r="J747" s="68"/>
      <c r="K747" s="68"/>
      <c r="S747" s="32"/>
      <c r="T747" s="32"/>
      <c r="U747" s="61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23"/>
      <c r="AG747" s="23"/>
      <c r="AH747" s="27"/>
    </row>
    <row r="748" spans="1:34" x14ac:dyDescent="0.25">
      <c r="A748" s="69"/>
      <c r="B748" s="67"/>
      <c r="C748" s="67"/>
      <c r="D748" s="68"/>
      <c r="E748" s="68"/>
      <c r="F748" s="68"/>
      <c r="G748" s="67"/>
      <c r="H748" s="67"/>
      <c r="I748" s="67"/>
      <c r="J748" s="68"/>
      <c r="K748" s="68"/>
      <c r="S748" s="32"/>
      <c r="T748" s="32"/>
      <c r="U748" s="61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23"/>
      <c r="AG748" s="23"/>
      <c r="AH748" s="27"/>
    </row>
    <row r="749" spans="1:34" x14ac:dyDescent="0.25">
      <c r="A749" s="69"/>
      <c r="B749" s="67"/>
      <c r="C749" s="67"/>
      <c r="D749" s="68"/>
      <c r="E749" s="68"/>
      <c r="F749" s="68"/>
      <c r="G749" s="67"/>
      <c r="H749" s="67"/>
      <c r="I749" s="67"/>
      <c r="J749" s="68"/>
      <c r="K749" s="68"/>
      <c r="S749" s="32"/>
      <c r="T749" s="32"/>
      <c r="U749" s="61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23"/>
      <c r="AG749" s="23"/>
      <c r="AH749" s="27"/>
    </row>
    <row r="750" spans="1:34" x14ac:dyDescent="0.25">
      <c r="A750" s="69"/>
      <c r="B750" s="67"/>
      <c r="C750" s="67"/>
      <c r="D750" s="68"/>
      <c r="E750" s="68"/>
      <c r="F750" s="68"/>
      <c r="G750" s="67"/>
      <c r="H750" s="67"/>
      <c r="I750" s="67"/>
      <c r="J750" s="68"/>
      <c r="K750" s="68"/>
      <c r="S750" s="32"/>
      <c r="T750" s="32"/>
      <c r="U750" s="61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23"/>
      <c r="AG750" s="23"/>
      <c r="AH750" s="27"/>
    </row>
    <row r="751" spans="1:34" x14ac:dyDescent="0.25">
      <c r="A751" s="69"/>
      <c r="B751" s="67"/>
      <c r="C751" s="67"/>
      <c r="D751" s="68"/>
      <c r="E751" s="68"/>
      <c r="F751" s="68"/>
      <c r="G751" s="67"/>
      <c r="H751" s="67"/>
      <c r="I751" s="67"/>
      <c r="J751" s="68"/>
      <c r="K751" s="68"/>
      <c r="S751" s="32"/>
      <c r="T751" s="32"/>
      <c r="U751" s="61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23"/>
      <c r="AG751" s="23"/>
      <c r="AH751" s="27"/>
    </row>
    <row r="752" spans="1:34" x14ac:dyDescent="0.25">
      <c r="A752" s="69"/>
      <c r="B752" s="67"/>
      <c r="C752" s="67"/>
      <c r="D752" s="68"/>
      <c r="E752" s="68"/>
      <c r="F752" s="68"/>
      <c r="G752" s="67"/>
      <c r="H752" s="67"/>
      <c r="I752" s="67"/>
      <c r="J752" s="68"/>
      <c r="K752" s="68"/>
      <c r="S752" s="32"/>
      <c r="T752" s="32"/>
      <c r="U752" s="61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23"/>
      <c r="AG752" s="23"/>
      <c r="AH752" s="27"/>
    </row>
    <row r="753" spans="1:34" x14ac:dyDescent="0.25">
      <c r="A753" s="69"/>
      <c r="B753" s="67"/>
      <c r="C753" s="67"/>
      <c r="D753" s="68"/>
      <c r="E753" s="68"/>
      <c r="F753" s="68"/>
      <c r="G753" s="67"/>
      <c r="H753" s="67"/>
      <c r="I753" s="67"/>
      <c r="J753" s="68"/>
      <c r="K753" s="68"/>
      <c r="S753" s="32"/>
      <c r="T753" s="32"/>
      <c r="U753" s="61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23"/>
      <c r="AG753" s="23"/>
      <c r="AH753" s="27"/>
    </row>
    <row r="754" spans="1:34" x14ac:dyDescent="0.25">
      <c r="A754" s="69"/>
      <c r="B754" s="67"/>
      <c r="C754" s="67"/>
      <c r="D754" s="68"/>
      <c r="E754" s="68"/>
      <c r="F754" s="68"/>
      <c r="G754" s="67"/>
      <c r="H754" s="67"/>
      <c r="I754" s="67"/>
      <c r="J754" s="68"/>
      <c r="K754" s="68"/>
      <c r="S754" s="32"/>
      <c r="T754" s="32"/>
      <c r="U754" s="61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23"/>
      <c r="AG754" s="23"/>
      <c r="AH754" s="27"/>
    </row>
    <row r="755" spans="1:34" x14ac:dyDescent="0.25">
      <c r="A755" s="69"/>
      <c r="B755" s="67"/>
      <c r="C755" s="67"/>
      <c r="D755" s="68"/>
      <c r="E755" s="68"/>
      <c r="F755" s="68"/>
      <c r="G755" s="67"/>
      <c r="H755" s="67"/>
      <c r="I755" s="67"/>
      <c r="J755" s="68"/>
      <c r="K755" s="68"/>
      <c r="S755" s="32"/>
      <c r="T755" s="32"/>
      <c r="U755" s="61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23"/>
      <c r="AG755" s="23"/>
      <c r="AH755" s="27"/>
    </row>
    <row r="756" spans="1:34" x14ac:dyDescent="0.25">
      <c r="A756" s="69"/>
      <c r="B756" s="67"/>
      <c r="C756" s="67"/>
      <c r="D756" s="68"/>
      <c r="E756" s="68"/>
      <c r="F756" s="68"/>
      <c r="G756" s="67"/>
      <c r="H756" s="67"/>
      <c r="I756" s="67"/>
      <c r="J756" s="68"/>
      <c r="K756" s="68"/>
      <c r="S756" s="32"/>
      <c r="T756" s="32"/>
      <c r="U756" s="61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23"/>
      <c r="AG756" s="23"/>
      <c r="AH756" s="27"/>
    </row>
    <row r="757" spans="1:34" x14ac:dyDescent="0.25">
      <c r="A757" s="69"/>
      <c r="B757" s="67"/>
      <c r="C757" s="67"/>
      <c r="D757" s="68"/>
      <c r="E757" s="68"/>
      <c r="F757" s="68"/>
      <c r="G757" s="67"/>
      <c r="H757" s="67"/>
      <c r="I757" s="67"/>
      <c r="J757" s="68"/>
      <c r="K757" s="68"/>
      <c r="S757" s="32"/>
      <c r="T757" s="32"/>
      <c r="U757" s="61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23"/>
      <c r="AG757" s="23"/>
      <c r="AH757" s="27"/>
    </row>
    <row r="758" spans="1:34" x14ac:dyDescent="0.25">
      <c r="A758" s="69"/>
      <c r="B758" s="67"/>
      <c r="C758" s="67"/>
      <c r="D758" s="68"/>
      <c r="E758" s="68"/>
      <c r="F758" s="68"/>
      <c r="G758" s="67"/>
      <c r="H758" s="67"/>
      <c r="I758" s="67"/>
      <c r="J758" s="68"/>
      <c r="K758" s="68"/>
      <c r="S758" s="32"/>
      <c r="T758" s="32"/>
      <c r="U758" s="61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23"/>
      <c r="AG758" s="23"/>
      <c r="AH758" s="27"/>
    </row>
    <row r="759" spans="1:34" x14ac:dyDescent="0.25">
      <c r="A759" s="69"/>
      <c r="B759" s="67"/>
      <c r="C759" s="67"/>
      <c r="D759" s="68"/>
      <c r="E759" s="68"/>
      <c r="F759" s="68"/>
      <c r="G759" s="67"/>
      <c r="H759" s="67"/>
      <c r="I759" s="67"/>
      <c r="J759" s="68"/>
      <c r="K759" s="68"/>
      <c r="S759" s="32"/>
      <c r="T759" s="32"/>
      <c r="U759" s="61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23"/>
      <c r="AG759" s="23"/>
      <c r="AH759" s="27"/>
    </row>
    <row r="760" spans="1:34" x14ac:dyDescent="0.25">
      <c r="A760" s="69"/>
      <c r="B760" s="67"/>
      <c r="C760" s="67"/>
      <c r="D760" s="68"/>
      <c r="E760" s="68"/>
      <c r="F760" s="68"/>
      <c r="G760" s="67"/>
      <c r="H760" s="67"/>
      <c r="I760" s="67"/>
      <c r="J760" s="68"/>
      <c r="K760" s="68"/>
      <c r="S760" s="32"/>
      <c r="T760" s="32"/>
      <c r="U760" s="61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23"/>
      <c r="AG760" s="23"/>
      <c r="AH760" s="27"/>
    </row>
    <row r="761" spans="1:34" x14ac:dyDescent="0.25">
      <c r="A761" s="69"/>
      <c r="B761" s="67"/>
      <c r="C761" s="67"/>
      <c r="D761" s="68"/>
      <c r="E761" s="68"/>
      <c r="F761" s="68"/>
      <c r="G761" s="67"/>
      <c r="H761" s="67"/>
      <c r="I761" s="67"/>
      <c r="J761" s="68"/>
      <c r="K761" s="68"/>
      <c r="S761" s="32"/>
      <c r="T761" s="32"/>
      <c r="U761" s="61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23"/>
      <c r="AG761" s="23"/>
      <c r="AH761" s="27"/>
    </row>
    <row r="762" spans="1:34" x14ac:dyDescent="0.25">
      <c r="A762" s="69"/>
      <c r="B762" s="67"/>
      <c r="C762" s="67"/>
      <c r="D762" s="68"/>
      <c r="E762" s="68"/>
      <c r="F762" s="68"/>
      <c r="G762" s="67"/>
      <c r="H762" s="67"/>
      <c r="I762" s="67"/>
      <c r="J762" s="68"/>
      <c r="K762" s="68"/>
      <c r="S762" s="32"/>
      <c r="T762" s="32"/>
      <c r="U762" s="61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23"/>
      <c r="AG762" s="23"/>
      <c r="AH762" s="27"/>
    </row>
    <row r="763" spans="1:34" x14ac:dyDescent="0.25">
      <c r="A763" s="69"/>
      <c r="B763" s="67"/>
      <c r="C763" s="67"/>
      <c r="D763" s="68"/>
      <c r="E763" s="68"/>
      <c r="F763" s="68"/>
      <c r="G763" s="67"/>
      <c r="H763" s="67"/>
      <c r="I763" s="67"/>
      <c r="J763" s="68"/>
      <c r="K763" s="68"/>
      <c r="S763" s="32"/>
      <c r="T763" s="32"/>
      <c r="U763" s="61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23"/>
      <c r="AG763" s="23"/>
      <c r="AH763" s="27"/>
    </row>
    <row r="764" spans="1:34" x14ac:dyDescent="0.25">
      <c r="A764" s="69"/>
      <c r="B764" s="67"/>
      <c r="C764" s="67"/>
      <c r="D764" s="68"/>
      <c r="E764" s="68"/>
      <c r="F764" s="68"/>
      <c r="G764" s="67"/>
      <c r="H764" s="67"/>
      <c r="I764" s="67"/>
      <c r="J764" s="68"/>
      <c r="K764" s="68"/>
      <c r="S764" s="32"/>
      <c r="T764" s="32"/>
      <c r="U764" s="61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23"/>
      <c r="AG764" s="23"/>
      <c r="AH764" s="27"/>
    </row>
    <row r="765" spans="1:34" x14ac:dyDescent="0.25">
      <c r="A765" s="69"/>
      <c r="B765" s="67"/>
      <c r="C765" s="67"/>
      <c r="D765" s="68"/>
      <c r="E765" s="68"/>
      <c r="F765" s="68"/>
      <c r="G765" s="67"/>
      <c r="H765" s="67"/>
      <c r="I765" s="67"/>
      <c r="J765" s="68"/>
      <c r="K765" s="68"/>
      <c r="S765" s="32"/>
      <c r="T765" s="32"/>
      <c r="U765" s="61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23"/>
      <c r="AG765" s="23"/>
      <c r="AH765" s="27"/>
    </row>
    <row r="766" spans="1:34" x14ac:dyDescent="0.25">
      <c r="A766" s="69"/>
      <c r="B766" s="67"/>
      <c r="C766" s="67"/>
      <c r="D766" s="68"/>
      <c r="E766" s="68"/>
      <c r="F766" s="68"/>
      <c r="G766" s="67"/>
      <c r="H766" s="67"/>
      <c r="I766" s="67"/>
      <c r="J766" s="68"/>
      <c r="K766" s="68"/>
      <c r="S766" s="32"/>
      <c r="T766" s="32"/>
      <c r="U766" s="61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23"/>
      <c r="AG766" s="23"/>
      <c r="AH766" s="27"/>
    </row>
    <row r="767" spans="1:34" x14ac:dyDescent="0.25">
      <c r="A767" s="69"/>
      <c r="B767" s="67"/>
      <c r="C767" s="67"/>
      <c r="D767" s="68"/>
      <c r="E767" s="68"/>
      <c r="F767" s="68"/>
      <c r="G767" s="67"/>
      <c r="H767" s="67"/>
      <c r="I767" s="67"/>
      <c r="J767" s="68"/>
      <c r="K767" s="68"/>
      <c r="S767" s="32"/>
      <c r="T767" s="32"/>
      <c r="U767" s="61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23"/>
      <c r="AG767" s="23"/>
      <c r="AH767" s="27"/>
    </row>
    <row r="768" spans="1:34" x14ac:dyDescent="0.25">
      <c r="A768" s="69"/>
      <c r="B768" s="67"/>
      <c r="C768" s="67"/>
      <c r="D768" s="70"/>
      <c r="E768" s="70"/>
      <c r="F768" s="70"/>
      <c r="G768" s="67"/>
      <c r="H768" s="67"/>
      <c r="I768" s="67"/>
      <c r="J768" s="68"/>
      <c r="K768" s="68"/>
      <c r="S768" s="32"/>
      <c r="T768" s="32"/>
      <c r="U768" s="61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23"/>
      <c r="AG768" s="23"/>
      <c r="AH768" s="27"/>
    </row>
    <row r="769" spans="1:34" x14ac:dyDescent="0.25">
      <c r="A769" s="69"/>
      <c r="B769" s="67"/>
      <c r="C769" s="67"/>
      <c r="D769" s="70"/>
      <c r="E769" s="70"/>
      <c r="F769" s="70"/>
      <c r="G769" s="67"/>
      <c r="H769" s="67"/>
      <c r="I769" s="67"/>
      <c r="J769" s="68"/>
      <c r="K769" s="68"/>
      <c r="S769" s="32"/>
      <c r="T769" s="32"/>
      <c r="U769" s="61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23"/>
      <c r="AG769" s="23"/>
      <c r="AH769" s="27"/>
    </row>
    <row r="770" spans="1:34" x14ac:dyDescent="0.25">
      <c r="A770" s="69"/>
      <c r="B770" s="67"/>
      <c r="C770" s="67"/>
      <c r="D770" s="70"/>
      <c r="E770" s="70"/>
      <c r="F770" s="70"/>
      <c r="G770" s="67"/>
      <c r="H770" s="67"/>
      <c r="I770" s="67"/>
      <c r="J770" s="68"/>
      <c r="K770" s="68"/>
      <c r="S770" s="32"/>
      <c r="T770" s="32"/>
      <c r="U770" s="61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23"/>
      <c r="AG770" s="23"/>
      <c r="AH770" s="27"/>
    </row>
    <row r="771" spans="1:34" x14ac:dyDescent="0.25">
      <c r="A771" s="69"/>
      <c r="B771" s="67"/>
      <c r="C771" s="67"/>
      <c r="D771" s="68"/>
      <c r="E771" s="68"/>
      <c r="F771" s="68"/>
      <c r="G771" s="67"/>
      <c r="H771" s="67"/>
      <c r="I771" s="67"/>
      <c r="J771" s="68"/>
      <c r="K771" s="68"/>
      <c r="S771" s="32"/>
      <c r="T771" s="32"/>
      <c r="U771" s="61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23"/>
      <c r="AG771" s="23"/>
      <c r="AH771" s="27"/>
    </row>
    <row r="772" spans="1:34" x14ac:dyDescent="0.25">
      <c r="A772" s="69"/>
      <c r="B772" s="67"/>
      <c r="C772" s="67"/>
      <c r="D772" s="68"/>
      <c r="E772" s="68"/>
      <c r="F772" s="68"/>
      <c r="G772" s="67"/>
      <c r="H772" s="67"/>
      <c r="I772" s="67"/>
      <c r="J772" s="68"/>
      <c r="K772" s="68"/>
      <c r="S772" s="32"/>
      <c r="T772" s="32"/>
      <c r="U772" s="61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23"/>
      <c r="AG772" s="23"/>
      <c r="AH772" s="27"/>
    </row>
    <row r="773" spans="1:34" x14ac:dyDescent="0.25">
      <c r="A773" s="69"/>
      <c r="B773" s="67"/>
      <c r="C773" s="67"/>
      <c r="D773" s="68"/>
      <c r="E773" s="68"/>
      <c r="F773" s="68"/>
      <c r="G773" s="67"/>
      <c r="H773" s="67"/>
      <c r="I773" s="67"/>
      <c r="J773" s="68"/>
      <c r="K773" s="68"/>
      <c r="S773" s="32"/>
      <c r="T773" s="32"/>
      <c r="U773" s="61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23"/>
      <c r="AG773" s="23"/>
      <c r="AH773" s="27"/>
    </row>
    <row r="774" spans="1:34" x14ac:dyDescent="0.25">
      <c r="A774" s="69"/>
      <c r="B774" s="67"/>
      <c r="C774" s="67"/>
      <c r="D774" s="68"/>
      <c r="E774" s="68"/>
      <c r="F774" s="68"/>
      <c r="G774" s="67"/>
      <c r="H774" s="67"/>
      <c r="I774" s="67"/>
      <c r="J774" s="68"/>
      <c r="K774" s="68"/>
      <c r="S774" s="32"/>
      <c r="T774" s="32"/>
      <c r="U774" s="61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23"/>
      <c r="AG774" s="23"/>
      <c r="AH774" s="27"/>
    </row>
    <row r="775" spans="1:34" x14ac:dyDescent="0.25">
      <c r="A775" s="69"/>
      <c r="B775" s="67"/>
      <c r="C775" s="67"/>
      <c r="D775" s="68"/>
      <c r="E775" s="68"/>
      <c r="F775" s="68"/>
      <c r="G775" s="67"/>
      <c r="H775" s="67"/>
      <c r="I775" s="67"/>
      <c r="J775" s="68"/>
      <c r="K775" s="68"/>
      <c r="S775" s="32"/>
      <c r="T775" s="32"/>
      <c r="U775" s="61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23"/>
      <c r="AG775" s="23"/>
      <c r="AH775" s="27"/>
    </row>
    <row r="776" spans="1:34" x14ac:dyDescent="0.25">
      <c r="A776" s="69"/>
      <c r="B776" s="67"/>
      <c r="C776" s="67"/>
      <c r="D776" s="68"/>
      <c r="E776" s="68"/>
      <c r="F776" s="68"/>
      <c r="G776" s="67"/>
      <c r="H776" s="67"/>
      <c r="I776" s="67"/>
      <c r="J776" s="68"/>
      <c r="K776" s="68"/>
      <c r="S776" s="32"/>
      <c r="T776" s="32"/>
      <c r="U776" s="61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23"/>
      <c r="AG776" s="23"/>
      <c r="AH776" s="27"/>
    </row>
    <row r="777" spans="1:34" x14ac:dyDescent="0.25">
      <c r="A777" s="69"/>
      <c r="B777" s="67"/>
      <c r="C777" s="67"/>
      <c r="D777" s="68"/>
      <c r="E777" s="68"/>
      <c r="F777" s="68"/>
      <c r="G777" s="67"/>
      <c r="H777" s="67"/>
      <c r="I777" s="67"/>
      <c r="J777" s="68"/>
      <c r="K777" s="68"/>
      <c r="S777" s="32"/>
      <c r="T777" s="32"/>
      <c r="U777" s="61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23"/>
      <c r="AG777" s="23"/>
      <c r="AH777" s="27"/>
    </row>
    <row r="778" spans="1:34" x14ac:dyDescent="0.25">
      <c r="A778" s="69"/>
      <c r="B778" s="67"/>
      <c r="C778" s="67"/>
      <c r="D778" s="68"/>
      <c r="E778" s="68"/>
      <c r="F778" s="68"/>
      <c r="G778" s="67"/>
      <c r="H778" s="67"/>
      <c r="I778" s="67"/>
      <c r="J778" s="68"/>
      <c r="K778" s="68"/>
      <c r="S778" s="32"/>
      <c r="T778" s="32"/>
      <c r="U778" s="61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23"/>
      <c r="AG778" s="23"/>
      <c r="AH778" s="27"/>
    </row>
    <row r="779" spans="1:34" x14ac:dyDescent="0.25">
      <c r="A779" s="69"/>
      <c r="B779" s="67"/>
      <c r="C779" s="67"/>
      <c r="D779" s="68"/>
      <c r="E779" s="68"/>
      <c r="F779" s="68"/>
      <c r="G779" s="67"/>
      <c r="H779" s="67"/>
      <c r="I779" s="67"/>
      <c r="J779" s="68"/>
      <c r="K779" s="68"/>
      <c r="S779" s="32"/>
      <c r="T779" s="32"/>
      <c r="U779" s="61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23"/>
      <c r="AG779" s="23"/>
      <c r="AH779" s="27"/>
    </row>
    <row r="780" spans="1:34" x14ac:dyDescent="0.25">
      <c r="A780" s="69"/>
      <c r="B780" s="67"/>
      <c r="C780" s="67"/>
      <c r="D780" s="68"/>
      <c r="E780" s="68"/>
      <c r="F780" s="68"/>
      <c r="G780" s="67"/>
      <c r="H780" s="67"/>
      <c r="I780" s="67"/>
      <c r="J780" s="68"/>
      <c r="K780" s="68"/>
      <c r="S780" s="32"/>
      <c r="T780" s="32"/>
      <c r="U780" s="61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23"/>
      <c r="AG780" s="23"/>
      <c r="AH780" s="27"/>
    </row>
    <row r="781" spans="1:34" x14ac:dyDescent="0.25">
      <c r="A781" s="69"/>
      <c r="B781" s="67"/>
      <c r="C781" s="67"/>
      <c r="D781" s="68"/>
      <c r="E781" s="68"/>
      <c r="F781" s="68"/>
      <c r="G781" s="67"/>
      <c r="H781" s="67"/>
      <c r="I781" s="67"/>
      <c r="J781" s="68"/>
      <c r="K781" s="68"/>
      <c r="S781" s="32"/>
      <c r="T781" s="32"/>
      <c r="U781" s="61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23"/>
      <c r="AG781" s="23"/>
      <c r="AH781" s="27"/>
    </row>
    <row r="782" spans="1:34" x14ac:dyDescent="0.25">
      <c r="A782" s="69"/>
      <c r="B782" s="67"/>
      <c r="C782" s="67"/>
      <c r="D782" s="68"/>
      <c r="E782" s="68"/>
      <c r="F782" s="68"/>
      <c r="G782" s="67"/>
      <c r="H782" s="67"/>
      <c r="I782" s="67"/>
      <c r="J782" s="68"/>
      <c r="K782" s="68"/>
      <c r="S782" s="32"/>
      <c r="T782" s="32"/>
      <c r="U782" s="61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23"/>
      <c r="AG782" s="23"/>
      <c r="AH782" s="27"/>
    </row>
    <row r="783" spans="1:34" x14ac:dyDescent="0.25">
      <c r="A783" s="69"/>
      <c r="B783" s="67"/>
      <c r="C783" s="67"/>
      <c r="D783" s="68"/>
      <c r="E783" s="68"/>
      <c r="F783" s="68"/>
      <c r="G783" s="67"/>
      <c r="H783" s="67"/>
      <c r="I783" s="67"/>
      <c r="J783" s="68"/>
      <c r="K783" s="68"/>
      <c r="S783" s="32"/>
      <c r="T783" s="32"/>
      <c r="U783" s="61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23"/>
      <c r="AG783" s="23"/>
      <c r="AH783" s="27"/>
    </row>
    <row r="784" spans="1:34" x14ac:dyDescent="0.25">
      <c r="A784" s="69"/>
      <c r="B784" s="67"/>
      <c r="C784" s="67"/>
      <c r="D784" s="68"/>
      <c r="E784" s="68"/>
      <c r="F784" s="68"/>
      <c r="G784" s="67"/>
      <c r="H784" s="67"/>
      <c r="I784" s="67"/>
      <c r="J784" s="68"/>
      <c r="K784" s="68"/>
      <c r="S784" s="32"/>
      <c r="T784" s="32"/>
      <c r="U784" s="61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23"/>
      <c r="AG784" s="23"/>
      <c r="AH784" s="27"/>
    </row>
    <row r="785" spans="1:34" x14ac:dyDescent="0.25">
      <c r="A785" s="69"/>
      <c r="B785" s="67"/>
      <c r="C785" s="67"/>
      <c r="D785" s="68"/>
      <c r="E785" s="68"/>
      <c r="F785" s="68"/>
      <c r="G785" s="67"/>
      <c r="H785" s="67"/>
      <c r="I785" s="67"/>
      <c r="J785" s="68"/>
      <c r="K785" s="68"/>
      <c r="S785" s="32"/>
      <c r="T785" s="32"/>
      <c r="U785" s="61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23"/>
      <c r="AG785" s="23"/>
      <c r="AH785" s="27"/>
    </row>
    <row r="786" spans="1:34" x14ac:dyDescent="0.25">
      <c r="A786" s="69"/>
      <c r="B786" s="67"/>
      <c r="C786" s="67"/>
      <c r="D786" s="68"/>
      <c r="E786" s="68"/>
      <c r="F786" s="68"/>
      <c r="G786" s="67"/>
      <c r="H786" s="67"/>
      <c r="I786" s="67"/>
      <c r="J786" s="68"/>
      <c r="K786" s="68"/>
      <c r="S786" s="32"/>
      <c r="T786" s="32"/>
      <c r="U786" s="61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23"/>
      <c r="AG786" s="23"/>
      <c r="AH786" s="27"/>
    </row>
    <row r="787" spans="1:34" x14ac:dyDescent="0.25">
      <c r="A787" s="69"/>
      <c r="B787" s="67"/>
      <c r="C787" s="67"/>
      <c r="D787" s="68"/>
      <c r="E787" s="68"/>
      <c r="F787" s="68"/>
      <c r="G787" s="67"/>
      <c r="H787" s="67"/>
      <c r="I787" s="67"/>
      <c r="J787" s="68"/>
      <c r="K787" s="68"/>
      <c r="S787" s="32"/>
      <c r="T787" s="32"/>
      <c r="U787" s="61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23"/>
      <c r="AG787" s="23"/>
      <c r="AH787" s="27"/>
    </row>
    <row r="788" spans="1:34" x14ac:dyDescent="0.25">
      <c r="A788" s="69"/>
      <c r="B788" s="67"/>
      <c r="C788" s="67"/>
      <c r="D788" s="68"/>
      <c r="E788" s="68"/>
      <c r="F788" s="68"/>
      <c r="G788" s="67"/>
      <c r="H788" s="67"/>
      <c r="I788" s="67"/>
      <c r="J788" s="68"/>
      <c r="K788" s="68"/>
      <c r="S788" s="32"/>
      <c r="T788" s="32"/>
      <c r="U788" s="61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23"/>
      <c r="AG788" s="23"/>
      <c r="AH788" s="27"/>
    </row>
    <row r="789" spans="1:34" x14ac:dyDescent="0.25">
      <c r="A789" s="69"/>
      <c r="B789" s="67"/>
      <c r="C789" s="67"/>
      <c r="D789" s="68"/>
      <c r="E789" s="68"/>
      <c r="F789" s="68"/>
      <c r="G789" s="67"/>
      <c r="H789" s="67"/>
      <c r="I789" s="67"/>
      <c r="J789" s="68"/>
      <c r="K789" s="68"/>
      <c r="S789" s="32"/>
      <c r="T789" s="32"/>
      <c r="U789" s="61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23"/>
      <c r="AG789" s="23"/>
      <c r="AH789" s="27"/>
    </row>
    <row r="790" spans="1:34" x14ac:dyDescent="0.25">
      <c r="A790" s="69"/>
      <c r="B790" s="67"/>
      <c r="C790" s="67"/>
      <c r="D790" s="68"/>
      <c r="E790" s="68"/>
      <c r="F790" s="68"/>
      <c r="G790" s="67"/>
      <c r="H790" s="67"/>
      <c r="I790" s="67"/>
      <c r="J790" s="68"/>
      <c r="K790" s="68"/>
      <c r="S790" s="32"/>
      <c r="T790" s="32"/>
      <c r="U790" s="61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23"/>
      <c r="AG790" s="23"/>
      <c r="AH790" s="27"/>
    </row>
    <row r="791" spans="1:34" x14ac:dyDescent="0.25">
      <c r="A791" s="69"/>
      <c r="B791" s="67"/>
      <c r="C791" s="67"/>
      <c r="D791" s="68"/>
      <c r="E791" s="68"/>
      <c r="F791" s="68"/>
      <c r="G791" s="67"/>
      <c r="H791" s="67"/>
      <c r="I791" s="67"/>
      <c r="J791" s="68"/>
      <c r="K791" s="68"/>
      <c r="S791" s="32"/>
      <c r="T791" s="32"/>
      <c r="U791" s="61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23"/>
      <c r="AG791" s="23"/>
      <c r="AH791" s="27"/>
    </row>
    <row r="792" spans="1:34" x14ac:dyDescent="0.25">
      <c r="A792" s="69"/>
      <c r="B792" s="67"/>
      <c r="C792" s="67"/>
      <c r="D792" s="70"/>
      <c r="E792" s="70"/>
      <c r="F792" s="70"/>
      <c r="G792" s="67"/>
      <c r="H792" s="67"/>
      <c r="I792" s="67"/>
      <c r="J792" s="68"/>
      <c r="K792" s="68"/>
      <c r="S792" s="32"/>
      <c r="T792" s="32"/>
      <c r="U792" s="61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23"/>
      <c r="AG792" s="23"/>
      <c r="AH792" s="27"/>
    </row>
    <row r="793" spans="1:34" x14ac:dyDescent="0.25">
      <c r="A793" s="69"/>
      <c r="B793" s="67"/>
      <c r="C793" s="67"/>
      <c r="D793" s="70"/>
      <c r="E793" s="70"/>
      <c r="F793" s="70"/>
      <c r="G793" s="67"/>
      <c r="H793" s="67"/>
      <c r="I793" s="67"/>
      <c r="J793" s="68"/>
      <c r="K793" s="68"/>
      <c r="S793" s="32"/>
      <c r="T793" s="32"/>
      <c r="U793" s="61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23"/>
      <c r="AG793" s="23"/>
      <c r="AH793" s="27"/>
    </row>
    <row r="794" spans="1:34" x14ac:dyDescent="0.25">
      <c r="A794" s="69"/>
      <c r="B794" s="67"/>
      <c r="C794" s="67"/>
      <c r="D794" s="70"/>
      <c r="E794" s="70"/>
      <c r="F794" s="70"/>
      <c r="G794" s="67"/>
      <c r="H794" s="67"/>
      <c r="I794" s="67"/>
      <c r="J794" s="68"/>
      <c r="K794" s="68"/>
      <c r="S794" s="32"/>
      <c r="T794" s="32"/>
      <c r="U794" s="61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23"/>
      <c r="AG794" s="23"/>
      <c r="AH794" s="27"/>
    </row>
    <row r="795" spans="1:34" x14ac:dyDescent="0.25">
      <c r="A795" s="69"/>
      <c r="B795" s="67"/>
      <c r="C795" s="67"/>
      <c r="D795" s="68"/>
      <c r="E795" s="68"/>
      <c r="F795" s="68"/>
      <c r="G795" s="67"/>
      <c r="H795" s="67"/>
      <c r="I795" s="67"/>
      <c r="J795" s="68"/>
      <c r="K795" s="68"/>
      <c r="S795" s="32"/>
      <c r="T795" s="32"/>
      <c r="U795" s="61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23"/>
      <c r="AG795" s="23"/>
      <c r="AH795" s="27"/>
    </row>
    <row r="796" spans="1:34" x14ac:dyDescent="0.25">
      <c r="A796" s="69"/>
      <c r="B796" s="67"/>
      <c r="C796" s="67"/>
      <c r="D796" s="68"/>
      <c r="E796" s="68"/>
      <c r="F796" s="68"/>
      <c r="G796" s="67"/>
      <c r="H796" s="67"/>
      <c r="I796" s="67"/>
      <c r="J796" s="68"/>
      <c r="K796" s="68"/>
      <c r="S796" s="32"/>
      <c r="T796" s="32"/>
      <c r="U796" s="61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23"/>
      <c r="AG796" s="23"/>
      <c r="AH796" s="27"/>
    </row>
    <row r="797" spans="1:34" x14ac:dyDescent="0.25">
      <c r="A797" s="69"/>
      <c r="B797" s="67"/>
      <c r="C797" s="67"/>
      <c r="D797" s="68"/>
      <c r="E797" s="68"/>
      <c r="F797" s="68"/>
      <c r="G797" s="67"/>
      <c r="H797" s="67"/>
      <c r="I797" s="67"/>
      <c r="J797" s="68"/>
      <c r="K797" s="68"/>
      <c r="S797" s="32"/>
      <c r="T797" s="32"/>
      <c r="U797" s="61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23"/>
      <c r="AG797" s="23"/>
      <c r="AH797" s="27"/>
    </row>
    <row r="798" spans="1:34" x14ac:dyDescent="0.25">
      <c r="A798" s="69"/>
      <c r="B798" s="67"/>
      <c r="C798" s="67"/>
      <c r="D798" s="68"/>
      <c r="E798" s="68"/>
      <c r="F798" s="68"/>
      <c r="G798" s="67"/>
      <c r="H798" s="67"/>
      <c r="I798" s="67"/>
      <c r="J798" s="68"/>
      <c r="K798" s="68"/>
      <c r="S798" s="32"/>
      <c r="T798" s="32"/>
      <c r="U798" s="61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23"/>
      <c r="AG798" s="23"/>
      <c r="AH798" s="27"/>
    </row>
    <row r="799" spans="1:34" x14ac:dyDescent="0.25">
      <c r="A799" s="69"/>
      <c r="B799" s="67"/>
      <c r="C799" s="67"/>
      <c r="D799" s="68"/>
      <c r="E799" s="68"/>
      <c r="F799" s="68"/>
      <c r="G799" s="67"/>
      <c r="H799" s="67"/>
      <c r="I799" s="67"/>
      <c r="J799" s="68"/>
      <c r="K799" s="68"/>
      <c r="S799" s="32"/>
      <c r="T799" s="32"/>
      <c r="U799" s="61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23"/>
      <c r="AG799" s="23"/>
      <c r="AH799" s="27"/>
    </row>
    <row r="800" spans="1:34" x14ac:dyDescent="0.25">
      <c r="A800" s="69"/>
      <c r="B800" s="67"/>
      <c r="C800" s="67"/>
      <c r="D800" s="68"/>
      <c r="E800" s="68"/>
      <c r="F800" s="68"/>
      <c r="G800" s="67"/>
      <c r="H800" s="67"/>
      <c r="I800" s="67"/>
      <c r="J800" s="68"/>
      <c r="K800" s="68"/>
      <c r="S800" s="32"/>
      <c r="T800" s="32"/>
      <c r="U800" s="61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23"/>
      <c r="AG800" s="23"/>
      <c r="AH800" s="27"/>
    </row>
    <row r="801" spans="1:34" x14ac:dyDescent="0.25">
      <c r="A801" s="69"/>
      <c r="B801" s="67"/>
      <c r="C801" s="67"/>
      <c r="D801" s="68"/>
      <c r="E801" s="68"/>
      <c r="F801" s="68"/>
      <c r="G801" s="67"/>
      <c r="H801" s="67"/>
      <c r="I801" s="67"/>
      <c r="J801" s="68"/>
      <c r="K801" s="68"/>
      <c r="S801" s="32"/>
      <c r="T801" s="32"/>
      <c r="U801" s="61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23"/>
      <c r="AG801" s="23"/>
      <c r="AH801" s="27"/>
    </row>
    <row r="802" spans="1:34" x14ac:dyDescent="0.25">
      <c r="A802" s="69"/>
      <c r="B802" s="67"/>
      <c r="C802" s="67"/>
      <c r="D802" s="68"/>
      <c r="E802" s="68"/>
      <c r="F802" s="68"/>
      <c r="G802" s="67"/>
      <c r="H802" s="67"/>
      <c r="I802" s="67"/>
      <c r="J802" s="68"/>
      <c r="K802" s="68"/>
      <c r="S802" s="32"/>
      <c r="T802" s="32"/>
      <c r="U802" s="61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23"/>
      <c r="AG802" s="23"/>
      <c r="AH802" s="27"/>
    </row>
    <row r="803" spans="1:34" x14ac:dyDescent="0.25">
      <c r="A803" s="69"/>
      <c r="B803" s="67"/>
      <c r="C803" s="67"/>
      <c r="D803" s="68"/>
      <c r="E803" s="68"/>
      <c r="F803" s="68"/>
      <c r="G803" s="67"/>
      <c r="H803" s="67"/>
      <c r="I803" s="67"/>
      <c r="J803" s="68"/>
      <c r="K803" s="68"/>
      <c r="S803" s="32"/>
      <c r="T803" s="32"/>
      <c r="U803" s="61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23"/>
      <c r="AG803" s="23"/>
      <c r="AH803" s="27"/>
    </row>
    <row r="804" spans="1:34" x14ac:dyDescent="0.25">
      <c r="A804" s="69"/>
      <c r="B804" s="67"/>
      <c r="C804" s="67"/>
      <c r="D804" s="68"/>
      <c r="E804" s="68"/>
      <c r="F804" s="68"/>
      <c r="G804" s="67"/>
      <c r="H804" s="67"/>
      <c r="I804" s="67"/>
      <c r="J804" s="68"/>
      <c r="K804" s="68"/>
      <c r="S804" s="32"/>
      <c r="T804" s="32"/>
      <c r="U804" s="61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23"/>
      <c r="AG804" s="23"/>
      <c r="AH804" s="27"/>
    </row>
    <row r="805" spans="1:34" x14ac:dyDescent="0.25">
      <c r="A805" s="69"/>
      <c r="B805" s="67"/>
      <c r="C805" s="67"/>
      <c r="D805" s="68"/>
      <c r="E805" s="68"/>
      <c r="F805" s="68"/>
      <c r="G805" s="67"/>
      <c r="H805" s="67"/>
      <c r="I805" s="67"/>
      <c r="J805" s="68"/>
      <c r="K805" s="68"/>
      <c r="S805" s="32"/>
      <c r="T805" s="32"/>
      <c r="U805" s="61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23"/>
      <c r="AG805" s="23"/>
      <c r="AH805" s="27"/>
    </row>
    <row r="806" spans="1:34" x14ac:dyDescent="0.25">
      <c r="A806" s="69"/>
      <c r="B806" s="67"/>
      <c r="C806" s="67"/>
      <c r="D806" s="68"/>
      <c r="E806" s="68"/>
      <c r="F806" s="68"/>
      <c r="G806" s="67"/>
      <c r="H806" s="67"/>
      <c r="I806" s="67"/>
      <c r="J806" s="68"/>
      <c r="K806" s="68"/>
      <c r="S806" s="32"/>
      <c r="T806" s="32"/>
      <c r="U806" s="61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23"/>
      <c r="AG806" s="23"/>
      <c r="AH806" s="27"/>
    </row>
    <row r="807" spans="1:34" x14ac:dyDescent="0.25">
      <c r="A807" s="69"/>
      <c r="B807" s="67"/>
      <c r="C807" s="67"/>
      <c r="D807" s="68"/>
      <c r="E807" s="68"/>
      <c r="F807" s="68"/>
      <c r="G807" s="67"/>
      <c r="H807" s="67"/>
      <c r="I807" s="67"/>
      <c r="J807" s="68"/>
      <c r="K807" s="68"/>
      <c r="S807" s="32"/>
      <c r="T807" s="32"/>
      <c r="U807" s="61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23"/>
      <c r="AG807" s="23"/>
      <c r="AH807" s="27"/>
    </row>
    <row r="808" spans="1:34" x14ac:dyDescent="0.25">
      <c r="A808" s="69"/>
      <c r="B808" s="67"/>
      <c r="C808" s="67"/>
      <c r="D808" s="68"/>
      <c r="E808" s="68"/>
      <c r="F808" s="68"/>
      <c r="G808" s="67"/>
      <c r="H808" s="67"/>
      <c r="I808" s="67"/>
      <c r="J808" s="68"/>
      <c r="K808" s="68"/>
      <c r="S808" s="32"/>
      <c r="T808" s="32"/>
      <c r="U808" s="61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23"/>
      <c r="AG808" s="23"/>
      <c r="AH808" s="27"/>
    </row>
    <row r="809" spans="1:34" x14ac:dyDescent="0.25">
      <c r="A809" s="69"/>
      <c r="B809" s="67"/>
      <c r="C809" s="67"/>
      <c r="D809" s="68"/>
      <c r="E809" s="68"/>
      <c r="F809" s="68"/>
      <c r="G809" s="67"/>
      <c r="H809" s="67"/>
      <c r="I809" s="67"/>
      <c r="J809" s="68"/>
      <c r="K809" s="68"/>
      <c r="S809" s="32"/>
      <c r="T809" s="32"/>
      <c r="U809" s="61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23"/>
      <c r="AG809" s="23"/>
      <c r="AH809" s="27"/>
    </row>
    <row r="810" spans="1:34" x14ac:dyDescent="0.25">
      <c r="A810" s="69"/>
      <c r="B810" s="67"/>
      <c r="C810" s="67"/>
      <c r="D810" s="68"/>
      <c r="E810" s="68"/>
      <c r="F810" s="68"/>
      <c r="G810" s="67"/>
      <c r="H810" s="67"/>
      <c r="I810" s="67"/>
      <c r="J810" s="68"/>
      <c r="K810" s="68"/>
      <c r="S810" s="32"/>
      <c r="T810" s="32"/>
      <c r="U810" s="61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23"/>
      <c r="AG810" s="23"/>
      <c r="AH810" s="27"/>
    </row>
    <row r="811" spans="1:34" x14ac:dyDescent="0.25">
      <c r="A811" s="69"/>
      <c r="B811" s="67"/>
      <c r="C811" s="67"/>
      <c r="D811" s="68"/>
      <c r="E811" s="68"/>
      <c r="F811" s="68"/>
      <c r="G811" s="67"/>
      <c r="H811" s="67"/>
      <c r="I811" s="67"/>
      <c r="J811" s="68"/>
      <c r="K811" s="68"/>
      <c r="S811" s="32"/>
      <c r="T811" s="32"/>
      <c r="U811" s="61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23"/>
      <c r="AG811" s="23"/>
      <c r="AH811" s="27"/>
    </row>
    <row r="812" spans="1:34" x14ac:dyDescent="0.25">
      <c r="A812" s="69"/>
      <c r="B812" s="67"/>
      <c r="C812" s="67"/>
      <c r="D812" s="68"/>
      <c r="E812" s="68"/>
      <c r="F812" s="68"/>
      <c r="G812" s="67"/>
      <c r="H812" s="67"/>
      <c r="I812" s="67"/>
      <c r="J812" s="68"/>
      <c r="K812" s="68"/>
      <c r="S812" s="32"/>
      <c r="T812" s="32"/>
      <c r="U812" s="61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23"/>
      <c r="AG812" s="23"/>
      <c r="AH812" s="27"/>
    </row>
    <row r="813" spans="1:34" x14ac:dyDescent="0.25">
      <c r="A813" s="69"/>
      <c r="B813" s="67"/>
      <c r="C813" s="67"/>
      <c r="D813" s="68"/>
      <c r="E813" s="68"/>
      <c r="F813" s="68"/>
      <c r="G813" s="67"/>
      <c r="H813" s="67"/>
      <c r="I813" s="67"/>
      <c r="J813" s="68"/>
      <c r="K813" s="68"/>
      <c r="S813" s="32"/>
      <c r="T813" s="32"/>
      <c r="U813" s="61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23"/>
      <c r="AG813" s="23"/>
      <c r="AH813" s="27"/>
    </row>
    <row r="814" spans="1:34" x14ac:dyDescent="0.25">
      <c r="A814" s="69"/>
      <c r="B814" s="67"/>
      <c r="C814" s="67"/>
      <c r="D814" s="68"/>
      <c r="E814" s="68"/>
      <c r="F814" s="68"/>
      <c r="G814" s="67"/>
      <c r="H814" s="67"/>
      <c r="I814" s="67"/>
      <c r="J814" s="68"/>
      <c r="K814" s="68"/>
      <c r="S814" s="32"/>
      <c r="T814" s="32"/>
      <c r="U814" s="61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23"/>
      <c r="AG814" s="23"/>
      <c r="AH814" s="27"/>
    </row>
    <row r="815" spans="1:34" x14ac:dyDescent="0.25">
      <c r="A815" s="69"/>
      <c r="B815" s="67"/>
      <c r="C815" s="67"/>
      <c r="D815" s="68"/>
      <c r="E815" s="68"/>
      <c r="F815" s="68"/>
      <c r="G815" s="67"/>
      <c r="H815" s="67"/>
      <c r="I815" s="67"/>
      <c r="J815" s="68"/>
      <c r="K815" s="68"/>
      <c r="S815" s="32"/>
      <c r="T815" s="32"/>
      <c r="U815" s="61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23"/>
      <c r="AG815" s="23"/>
      <c r="AH815" s="27"/>
    </row>
    <row r="816" spans="1:34" x14ac:dyDescent="0.25">
      <c r="A816" s="69"/>
      <c r="B816" s="67"/>
      <c r="C816" s="67"/>
      <c r="D816" s="70"/>
      <c r="E816" s="70"/>
      <c r="F816" s="70"/>
      <c r="G816" s="67"/>
      <c r="H816" s="67"/>
      <c r="I816" s="67"/>
      <c r="J816" s="68"/>
      <c r="K816" s="68"/>
      <c r="S816" s="32"/>
      <c r="T816" s="32"/>
      <c r="U816" s="61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23"/>
      <c r="AG816" s="23"/>
      <c r="AH816" s="27"/>
    </row>
    <row r="817" spans="1:34" x14ac:dyDescent="0.25">
      <c r="A817" s="69"/>
      <c r="B817" s="67"/>
      <c r="C817" s="67"/>
      <c r="D817" s="70"/>
      <c r="E817" s="70"/>
      <c r="F817" s="70"/>
      <c r="G817" s="67"/>
      <c r="H817" s="67"/>
      <c r="I817" s="67"/>
      <c r="J817" s="68"/>
      <c r="K817" s="68"/>
      <c r="S817" s="32"/>
      <c r="T817" s="32"/>
      <c r="U817" s="61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23"/>
      <c r="AG817" s="23"/>
      <c r="AH817" s="27"/>
    </row>
    <row r="818" spans="1:34" x14ac:dyDescent="0.25">
      <c r="A818" s="69"/>
      <c r="B818" s="67"/>
      <c r="C818" s="67"/>
      <c r="D818" s="70"/>
      <c r="E818" s="70"/>
      <c r="F818" s="70"/>
      <c r="G818" s="67"/>
      <c r="H818" s="67"/>
      <c r="I818" s="67"/>
      <c r="J818" s="68"/>
      <c r="K818" s="68"/>
      <c r="S818" s="32"/>
      <c r="T818" s="32"/>
      <c r="U818" s="61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23"/>
      <c r="AG818" s="23"/>
      <c r="AH818" s="27"/>
    </row>
    <row r="819" spans="1:34" x14ac:dyDescent="0.25">
      <c r="A819" s="69"/>
      <c r="B819" s="67"/>
      <c r="C819" s="67"/>
      <c r="D819" s="68"/>
      <c r="E819" s="68"/>
      <c r="F819" s="68"/>
      <c r="G819" s="67"/>
      <c r="H819" s="67"/>
      <c r="I819" s="67"/>
      <c r="J819" s="68"/>
      <c r="K819" s="68"/>
      <c r="S819" s="32"/>
      <c r="T819" s="32"/>
      <c r="U819" s="61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23"/>
      <c r="AG819" s="23"/>
      <c r="AH819" s="27"/>
    </row>
    <row r="820" spans="1:34" x14ac:dyDescent="0.25">
      <c r="A820" s="69"/>
      <c r="B820" s="67"/>
      <c r="C820" s="67"/>
      <c r="D820" s="68"/>
      <c r="E820" s="68"/>
      <c r="F820" s="68"/>
      <c r="G820" s="67"/>
      <c r="H820" s="67"/>
      <c r="I820" s="67"/>
      <c r="J820" s="68"/>
      <c r="K820" s="68"/>
      <c r="S820" s="32"/>
      <c r="T820" s="32"/>
      <c r="U820" s="61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23"/>
      <c r="AG820" s="23"/>
      <c r="AH820" s="27"/>
    </row>
    <row r="821" spans="1:34" x14ac:dyDescent="0.25">
      <c r="A821" s="69"/>
      <c r="B821" s="67"/>
      <c r="C821" s="67"/>
      <c r="D821" s="68"/>
      <c r="E821" s="68"/>
      <c r="F821" s="68"/>
      <c r="G821" s="67"/>
      <c r="H821" s="67"/>
      <c r="I821" s="67"/>
      <c r="J821" s="68"/>
      <c r="K821" s="68"/>
      <c r="S821" s="32"/>
      <c r="T821" s="32"/>
      <c r="U821" s="61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23"/>
      <c r="AG821" s="23"/>
      <c r="AH821" s="27"/>
    </row>
    <row r="822" spans="1:34" x14ac:dyDescent="0.25">
      <c r="A822" s="69"/>
      <c r="B822" s="67"/>
      <c r="C822" s="67"/>
      <c r="D822" s="68"/>
      <c r="E822" s="68"/>
      <c r="F822" s="68"/>
      <c r="G822" s="67"/>
      <c r="H822" s="67"/>
      <c r="I822" s="67"/>
      <c r="J822" s="68"/>
      <c r="K822" s="68"/>
      <c r="S822" s="32"/>
      <c r="T822" s="32"/>
      <c r="U822" s="61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23"/>
      <c r="AG822" s="23"/>
      <c r="AH822" s="27"/>
    </row>
    <row r="823" spans="1:34" x14ac:dyDescent="0.25">
      <c r="A823" s="69"/>
      <c r="B823" s="67"/>
      <c r="C823" s="67"/>
      <c r="D823" s="68"/>
      <c r="E823" s="68"/>
      <c r="F823" s="68"/>
      <c r="G823" s="67"/>
      <c r="H823" s="67"/>
      <c r="I823" s="67"/>
      <c r="J823" s="68"/>
      <c r="K823" s="68"/>
      <c r="S823" s="32"/>
      <c r="T823" s="32"/>
      <c r="U823" s="61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23"/>
      <c r="AG823" s="23"/>
      <c r="AH823" s="27"/>
    </row>
    <row r="824" spans="1:34" x14ac:dyDescent="0.25">
      <c r="A824" s="69"/>
      <c r="B824" s="67"/>
      <c r="C824" s="67"/>
      <c r="D824" s="68"/>
      <c r="E824" s="68"/>
      <c r="F824" s="68"/>
      <c r="G824" s="67"/>
      <c r="H824" s="67"/>
      <c r="I824" s="67"/>
      <c r="J824" s="68"/>
      <c r="K824" s="68"/>
      <c r="S824" s="32"/>
      <c r="T824" s="32"/>
      <c r="U824" s="61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23"/>
      <c r="AG824" s="23"/>
      <c r="AH824" s="27"/>
    </row>
    <row r="825" spans="1:34" x14ac:dyDescent="0.25">
      <c r="A825" s="69"/>
      <c r="B825" s="67"/>
      <c r="C825" s="67"/>
      <c r="D825" s="68"/>
      <c r="E825" s="68"/>
      <c r="F825" s="68"/>
      <c r="G825" s="67"/>
      <c r="H825" s="67"/>
      <c r="I825" s="67"/>
      <c r="J825" s="68"/>
      <c r="K825" s="68"/>
      <c r="S825" s="32"/>
      <c r="T825" s="32"/>
      <c r="U825" s="61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23"/>
      <c r="AG825" s="23"/>
      <c r="AH825" s="27"/>
    </row>
    <row r="826" spans="1:34" x14ac:dyDescent="0.25">
      <c r="A826" s="69"/>
      <c r="B826" s="67"/>
      <c r="C826" s="67"/>
      <c r="D826" s="68"/>
      <c r="E826" s="68"/>
      <c r="F826" s="68"/>
      <c r="G826" s="67"/>
      <c r="H826" s="67"/>
      <c r="I826" s="67"/>
      <c r="J826" s="68"/>
      <c r="K826" s="68"/>
      <c r="S826" s="32"/>
      <c r="T826" s="32"/>
      <c r="U826" s="61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23"/>
      <c r="AG826" s="23"/>
      <c r="AH826" s="27"/>
    </row>
    <row r="827" spans="1:34" x14ac:dyDescent="0.25">
      <c r="A827" s="69"/>
      <c r="B827" s="67"/>
      <c r="C827" s="67"/>
      <c r="D827" s="68"/>
      <c r="E827" s="68"/>
      <c r="F827" s="68"/>
      <c r="G827" s="67"/>
      <c r="H827" s="67"/>
      <c r="I827" s="67"/>
      <c r="J827" s="68"/>
      <c r="K827" s="68"/>
      <c r="S827" s="32"/>
      <c r="T827" s="32"/>
      <c r="U827" s="61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23"/>
      <c r="AG827" s="23"/>
      <c r="AH827" s="27"/>
    </row>
    <row r="828" spans="1:34" x14ac:dyDescent="0.25">
      <c r="A828" s="69"/>
      <c r="B828" s="67"/>
      <c r="C828" s="67"/>
      <c r="D828" s="68"/>
      <c r="E828" s="68"/>
      <c r="F828" s="68"/>
      <c r="G828" s="67"/>
      <c r="H828" s="67"/>
      <c r="I828" s="67"/>
      <c r="J828" s="68"/>
      <c r="K828" s="68"/>
      <c r="S828" s="32"/>
      <c r="T828" s="32"/>
      <c r="U828" s="61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23"/>
      <c r="AG828" s="23"/>
      <c r="AH828" s="27"/>
    </row>
    <row r="829" spans="1:34" x14ac:dyDescent="0.25">
      <c r="A829" s="69"/>
      <c r="B829" s="67"/>
      <c r="C829" s="67"/>
      <c r="D829" s="68"/>
      <c r="E829" s="68"/>
      <c r="F829" s="68"/>
      <c r="G829" s="67"/>
      <c r="H829" s="67"/>
      <c r="I829" s="67"/>
      <c r="J829" s="68"/>
      <c r="K829" s="68"/>
      <c r="S829" s="32"/>
      <c r="T829" s="32"/>
      <c r="U829" s="61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23"/>
      <c r="AG829" s="23"/>
      <c r="AH829" s="27"/>
    </row>
    <row r="830" spans="1:34" x14ac:dyDescent="0.25">
      <c r="A830" s="69"/>
      <c r="B830" s="67"/>
      <c r="C830" s="67"/>
      <c r="D830" s="68"/>
      <c r="E830" s="68"/>
      <c r="F830" s="68"/>
      <c r="G830" s="67"/>
      <c r="H830" s="67"/>
      <c r="I830" s="67"/>
      <c r="J830" s="68"/>
      <c r="K830" s="68"/>
      <c r="S830" s="32"/>
      <c r="T830" s="32"/>
      <c r="U830" s="61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23"/>
      <c r="AG830" s="23"/>
      <c r="AH830" s="27"/>
    </row>
    <row r="831" spans="1:34" x14ac:dyDescent="0.25">
      <c r="A831" s="69"/>
      <c r="B831" s="67"/>
      <c r="C831" s="67"/>
      <c r="D831" s="68"/>
      <c r="E831" s="68"/>
      <c r="F831" s="68"/>
      <c r="G831" s="67"/>
      <c r="H831" s="67"/>
      <c r="I831" s="67"/>
      <c r="J831" s="68"/>
      <c r="K831" s="68"/>
      <c r="S831" s="32"/>
      <c r="T831" s="32"/>
      <c r="U831" s="61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23"/>
      <c r="AG831" s="23"/>
      <c r="AH831" s="27"/>
    </row>
    <row r="832" spans="1:34" x14ac:dyDescent="0.25">
      <c r="A832" s="69"/>
      <c r="B832" s="67"/>
      <c r="C832" s="67"/>
      <c r="D832" s="68"/>
      <c r="E832" s="68"/>
      <c r="F832" s="68"/>
      <c r="G832" s="67"/>
      <c r="H832" s="67"/>
      <c r="I832" s="67"/>
      <c r="J832" s="68"/>
      <c r="K832" s="68"/>
      <c r="S832" s="32"/>
      <c r="T832" s="32"/>
      <c r="U832" s="61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23"/>
      <c r="AG832" s="23"/>
      <c r="AH832" s="27"/>
    </row>
    <row r="833" spans="1:34" x14ac:dyDescent="0.25">
      <c r="A833" s="69"/>
      <c r="B833" s="67"/>
      <c r="C833" s="67"/>
      <c r="D833" s="68"/>
      <c r="E833" s="68"/>
      <c r="F833" s="68"/>
      <c r="G833" s="67"/>
      <c r="H833" s="67"/>
      <c r="I833" s="67"/>
      <c r="J833" s="68"/>
      <c r="K833" s="68"/>
      <c r="S833" s="32"/>
      <c r="T833" s="32"/>
      <c r="U833" s="61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23"/>
      <c r="AG833" s="23"/>
      <c r="AH833" s="27"/>
    </row>
    <row r="834" spans="1:34" x14ac:dyDescent="0.25">
      <c r="A834" s="69"/>
      <c r="B834" s="67"/>
      <c r="C834" s="67"/>
      <c r="D834" s="68"/>
      <c r="E834" s="68"/>
      <c r="F834" s="68"/>
      <c r="G834" s="67"/>
      <c r="H834" s="67"/>
      <c r="I834" s="67"/>
      <c r="J834" s="68"/>
      <c r="K834" s="68"/>
      <c r="S834" s="32"/>
      <c r="T834" s="32"/>
      <c r="U834" s="61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23"/>
      <c r="AG834" s="23"/>
      <c r="AH834" s="27"/>
    </row>
    <row r="835" spans="1:34" x14ac:dyDescent="0.25">
      <c r="A835" s="69"/>
      <c r="B835" s="67"/>
      <c r="C835" s="67"/>
      <c r="D835" s="68"/>
      <c r="E835" s="68"/>
      <c r="F835" s="68"/>
      <c r="G835" s="67"/>
      <c r="H835" s="67"/>
      <c r="I835" s="67"/>
      <c r="J835" s="68"/>
      <c r="K835" s="68"/>
      <c r="S835" s="32"/>
      <c r="T835" s="32"/>
      <c r="U835" s="61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23"/>
      <c r="AG835" s="23"/>
      <c r="AH835" s="27"/>
    </row>
    <row r="836" spans="1:34" x14ac:dyDescent="0.25">
      <c r="A836" s="69"/>
      <c r="B836" s="67"/>
      <c r="C836" s="67"/>
      <c r="D836" s="68"/>
      <c r="E836" s="68"/>
      <c r="F836" s="68"/>
      <c r="G836" s="67"/>
      <c r="H836" s="67"/>
      <c r="I836" s="67"/>
      <c r="J836" s="68"/>
      <c r="K836" s="68"/>
      <c r="S836" s="32"/>
      <c r="T836" s="32"/>
      <c r="U836" s="61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23"/>
      <c r="AG836" s="23"/>
      <c r="AH836" s="27"/>
    </row>
    <row r="837" spans="1:34" x14ac:dyDescent="0.25">
      <c r="A837" s="69"/>
      <c r="B837" s="67"/>
      <c r="C837" s="67"/>
      <c r="D837" s="68"/>
      <c r="E837" s="68"/>
      <c r="F837" s="68"/>
      <c r="G837" s="67"/>
      <c r="H837" s="67"/>
      <c r="I837" s="67"/>
      <c r="J837" s="68"/>
      <c r="K837" s="68"/>
      <c r="S837" s="32"/>
      <c r="T837" s="32"/>
      <c r="U837" s="61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23"/>
      <c r="AG837" s="23"/>
      <c r="AH837" s="27"/>
    </row>
    <row r="838" spans="1:34" x14ac:dyDescent="0.25">
      <c r="A838" s="69"/>
      <c r="B838" s="67"/>
      <c r="C838" s="67"/>
      <c r="D838" s="68"/>
      <c r="E838" s="68"/>
      <c r="F838" s="68"/>
      <c r="G838" s="67"/>
      <c r="H838" s="67"/>
      <c r="I838" s="67"/>
      <c r="J838" s="68"/>
      <c r="K838" s="68"/>
      <c r="S838" s="32"/>
      <c r="T838" s="32"/>
      <c r="U838" s="61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23"/>
      <c r="AG838" s="23"/>
      <c r="AH838" s="27"/>
    </row>
    <row r="839" spans="1:34" x14ac:dyDescent="0.25">
      <c r="A839" s="69"/>
      <c r="B839" s="67"/>
      <c r="C839" s="67"/>
      <c r="D839" s="68"/>
      <c r="E839" s="68"/>
      <c r="F839" s="68"/>
      <c r="G839" s="67"/>
      <c r="H839" s="67"/>
      <c r="I839" s="67"/>
      <c r="J839" s="68"/>
      <c r="K839" s="68"/>
      <c r="S839" s="32"/>
      <c r="T839" s="32"/>
      <c r="U839" s="61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23"/>
      <c r="AG839" s="23"/>
      <c r="AH839" s="27"/>
    </row>
    <row r="840" spans="1:34" x14ac:dyDescent="0.25">
      <c r="A840" s="69"/>
      <c r="B840" s="67"/>
      <c r="C840" s="67"/>
      <c r="D840" s="70"/>
      <c r="E840" s="70"/>
      <c r="F840" s="70"/>
      <c r="G840" s="67"/>
      <c r="H840" s="67"/>
      <c r="I840" s="67"/>
      <c r="J840" s="68"/>
      <c r="K840" s="68"/>
      <c r="S840" s="32"/>
      <c r="T840" s="32"/>
      <c r="U840" s="61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23"/>
      <c r="AG840" s="23"/>
      <c r="AH840" s="27"/>
    </row>
    <row r="841" spans="1:34" x14ac:dyDescent="0.25">
      <c r="A841" s="69"/>
      <c r="B841" s="67"/>
      <c r="C841" s="67"/>
      <c r="D841" s="70"/>
      <c r="E841" s="70"/>
      <c r="F841" s="70"/>
      <c r="G841" s="67"/>
      <c r="H841" s="67"/>
      <c r="I841" s="67"/>
      <c r="J841" s="68"/>
      <c r="K841" s="68"/>
      <c r="S841" s="32"/>
      <c r="T841" s="32"/>
      <c r="U841" s="61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23"/>
      <c r="AG841" s="23"/>
      <c r="AH841" s="27"/>
    </row>
    <row r="842" spans="1:34" x14ac:dyDescent="0.25">
      <c r="A842" s="69"/>
      <c r="B842" s="67"/>
      <c r="C842" s="67"/>
      <c r="D842" s="70"/>
      <c r="E842" s="70"/>
      <c r="F842" s="70"/>
      <c r="G842" s="67"/>
      <c r="H842" s="67"/>
      <c r="I842" s="67"/>
      <c r="J842" s="68"/>
      <c r="K842" s="68"/>
      <c r="S842" s="32"/>
      <c r="T842" s="32"/>
      <c r="U842" s="61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23"/>
      <c r="AG842" s="23"/>
      <c r="AH842" s="27"/>
    </row>
    <row r="843" spans="1:34" x14ac:dyDescent="0.25">
      <c r="A843" s="69"/>
      <c r="B843" s="67"/>
      <c r="C843" s="67"/>
      <c r="D843" s="68"/>
      <c r="E843" s="68"/>
      <c r="F843" s="68"/>
      <c r="G843" s="67"/>
      <c r="H843" s="67"/>
      <c r="I843" s="67"/>
      <c r="J843" s="68"/>
      <c r="K843" s="68"/>
      <c r="S843" s="32"/>
      <c r="T843" s="32"/>
      <c r="U843" s="61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23"/>
      <c r="AG843" s="23"/>
      <c r="AH843" s="27"/>
    </row>
    <row r="844" spans="1:34" x14ac:dyDescent="0.25">
      <c r="A844" s="69"/>
      <c r="B844" s="67"/>
      <c r="C844" s="67"/>
      <c r="D844" s="68"/>
      <c r="E844" s="68"/>
      <c r="F844" s="68"/>
      <c r="G844" s="67"/>
      <c r="H844" s="67"/>
      <c r="I844" s="67"/>
      <c r="J844" s="68"/>
      <c r="K844" s="68"/>
      <c r="S844" s="32"/>
      <c r="T844" s="32"/>
      <c r="U844" s="61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23"/>
      <c r="AG844" s="23"/>
      <c r="AH844" s="27"/>
    </row>
    <row r="845" spans="1:34" x14ac:dyDescent="0.25">
      <c r="A845" s="69"/>
      <c r="B845" s="67"/>
      <c r="C845" s="67"/>
      <c r="D845" s="68"/>
      <c r="E845" s="68"/>
      <c r="F845" s="68"/>
      <c r="G845" s="67"/>
      <c r="H845" s="67"/>
      <c r="I845" s="67"/>
      <c r="J845" s="68"/>
      <c r="K845" s="68"/>
      <c r="S845" s="32"/>
      <c r="T845" s="32"/>
      <c r="U845" s="61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23"/>
      <c r="AG845" s="23"/>
      <c r="AH845" s="27"/>
    </row>
    <row r="846" spans="1:34" x14ac:dyDescent="0.25">
      <c r="A846" s="69"/>
      <c r="B846" s="67"/>
      <c r="C846" s="67"/>
      <c r="D846" s="68"/>
      <c r="E846" s="68"/>
      <c r="F846" s="68"/>
      <c r="G846" s="67"/>
      <c r="H846" s="67"/>
      <c r="I846" s="67"/>
      <c r="J846" s="68"/>
      <c r="K846" s="68"/>
      <c r="S846" s="32"/>
      <c r="T846" s="32"/>
      <c r="U846" s="61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23"/>
      <c r="AG846" s="23"/>
      <c r="AH846" s="27"/>
    </row>
    <row r="847" spans="1:34" x14ac:dyDescent="0.25">
      <c r="A847" s="69"/>
      <c r="B847" s="67"/>
      <c r="C847" s="67"/>
      <c r="D847" s="68"/>
      <c r="E847" s="68"/>
      <c r="F847" s="68"/>
      <c r="G847" s="67"/>
      <c r="H847" s="67"/>
      <c r="I847" s="67"/>
      <c r="J847" s="68"/>
      <c r="K847" s="68"/>
      <c r="S847" s="32"/>
      <c r="T847" s="32"/>
      <c r="U847" s="61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23"/>
      <c r="AG847" s="23"/>
      <c r="AH847" s="27"/>
    </row>
    <row r="848" spans="1:34" x14ac:dyDescent="0.25">
      <c r="A848" s="69"/>
      <c r="B848" s="67"/>
      <c r="C848" s="67"/>
      <c r="D848" s="68"/>
      <c r="E848" s="68"/>
      <c r="F848" s="68"/>
      <c r="G848" s="67"/>
      <c r="H848" s="67"/>
      <c r="I848" s="67"/>
      <c r="J848" s="68"/>
      <c r="K848" s="68"/>
      <c r="S848" s="32"/>
      <c r="T848" s="32"/>
      <c r="U848" s="61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23"/>
      <c r="AG848" s="23"/>
      <c r="AH848" s="27"/>
    </row>
    <row r="849" spans="1:34" x14ac:dyDescent="0.25">
      <c r="A849" s="69"/>
      <c r="B849" s="67"/>
      <c r="C849" s="67"/>
      <c r="D849" s="68"/>
      <c r="E849" s="68"/>
      <c r="F849" s="68"/>
      <c r="G849" s="67"/>
      <c r="H849" s="67"/>
      <c r="I849" s="67"/>
      <c r="J849" s="68"/>
      <c r="K849" s="68"/>
      <c r="S849" s="32"/>
      <c r="T849" s="32"/>
      <c r="U849" s="61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23"/>
      <c r="AG849" s="23"/>
      <c r="AH849" s="27"/>
    </row>
    <row r="850" spans="1:34" x14ac:dyDescent="0.25">
      <c r="A850" s="69"/>
      <c r="B850" s="67"/>
      <c r="C850" s="67"/>
      <c r="D850" s="68"/>
      <c r="E850" s="68"/>
      <c r="F850" s="68"/>
      <c r="G850" s="67"/>
      <c r="H850" s="67"/>
      <c r="I850" s="67"/>
      <c r="J850" s="68"/>
      <c r="K850" s="68"/>
      <c r="S850" s="32"/>
      <c r="T850" s="32"/>
      <c r="U850" s="61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23"/>
      <c r="AG850" s="23"/>
      <c r="AH850" s="27"/>
    </row>
    <row r="851" spans="1:34" x14ac:dyDescent="0.25">
      <c r="A851" s="69"/>
      <c r="B851" s="67"/>
      <c r="C851" s="67"/>
      <c r="D851" s="68"/>
      <c r="E851" s="68"/>
      <c r="F851" s="68"/>
      <c r="G851" s="67"/>
      <c r="H851" s="67"/>
      <c r="I851" s="67"/>
      <c r="J851" s="68"/>
      <c r="K851" s="68"/>
      <c r="S851" s="32"/>
      <c r="T851" s="32"/>
      <c r="U851" s="61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23"/>
      <c r="AG851" s="23"/>
      <c r="AH851" s="27"/>
    </row>
    <row r="852" spans="1:34" x14ac:dyDescent="0.25">
      <c r="A852" s="69"/>
      <c r="B852" s="67"/>
      <c r="C852" s="67"/>
      <c r="D852" s="68"/>
      <c r="E852" s="68"/>
      <c r="F852" s="68"/>
      <c r="G852" s="67"/>
      <c r="H852" s="67"/>
      <c r="I852" s="67"/>
      <c r="J852" s="68"/>
      <c r="K852" s="68"/>
      <c r="S852" s="32"/>
      <c r="T852" s="32"/>
      <c r="U852" s="61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23"/>
      <c r="AG852" s="23"/>
      <c r="AH852" s="27"/>
    </row>
    <row r="853" spans="1:34" x14ac:dyDescent="0.25">
      <c r="A853" s="69"/>
      <c r="B853" s="67"/>
      <c r="C853" s="67"/>
      <c r="D853" s="68"/>
      <c r="E853" s="68"/>
      <c r="F853" s="68"/>
      <c r="G853" s="67"/>
      <c r="H853" s="67"/>
      <c r="I853" s="67"/>
      <c r="J853" s="68"/>
      <c r="K853" s="68"/>
      <c r="S853" s="32"/>
      <c r="T853" s="32"/>
      <c r="U853" s="61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23"/>
      <c r="AG853" s="23"/>
      <c r="AH853" s="27"/>
    </row>
    <row r="854" spans="1:34" x14ac:dyDescent="0.25">
      <c r="A854" s="69"/>
      <c r="B854" s="67"/>
      <c r="C854" s="67"/>
      <c r="D854" s="68"/>
      <c r="E854" s="68"/>
      <c r="F854" s="68"/>
      <c r="G854" s="67"/>
      <c r="H854" s="67"/>
      <c r="I854" s="67"/>
      <c r="J854" s="68"/>
      <c r="K854" s="68"/>
      <c r="S854" s="32"/>
      <c r="T854" s="32"/>
      <c r="U854" s="61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23"/>
      <c r="AG854" s="23"/>
      <c r="AH854" s="27"/>
    </row>
    <row r="855" spans="1:34" x14ac:dyDescent="0.25">
      <c r="A855" s="69"/>
      <c r="B855" s="67"/>
      <c r="C855" s="67"/>
      <c r="D855" s="68"/>
      <c r="E855" s="68"/>
      <c r="F855" s="68"/>
      <c r="G855" s="67"/>
      <c r="H855" s="67"/>
      <c r="I855" s="67"/>
      <c r="J855" s="68"/>
      <c r="K855" s="68"/>
      <c r="S855" s="32"/>
      <c r="T855" s="32"/>
      <c r="U855" s="61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23"/>
      <c r="AG855" s="23"/>
      <c r="AH855" s="27"/>
    </row>
    <row r="856" spans="1:34" x14ac:dyDescent="0.25">
      <c r="A856" s="69"/>
      <c r="B856" s="67"/>
      <c r="C856" s="67"/>
      <c r="D856" s="68"/>
      <c r="E856" s="68"/>
      <c r="F856" s="68"/>
      <c r="G856" s="67"/>
      <c r="H856" s="67"/>
      <c r="I856" s="67"/>
      <c r="J856" s="68"/>
      <c r="K856" s="68"/>
      <c r="S856" s="32"/>
      <c r="T856" s="32"/>
      <c r="U856" s="61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23"/>
      <c r="AG856" s="23"/>
      <c r="AH856" s="27"/>
    </row>
    <row r="857" spans="1:34" x14ac:dyDescent="0.25">
      <c r="A857" s="69"/>
      <c r="B857" s="67"/>
      <c r="C857" s="67"/>
      <c r="D857" s="68"/>
      <c r="E857" s="68"/>
      <c r="F857" s="68"/>
      <c r="G857" s="67"/>
      <c r="H857" s="67"/>
      <c r="I857" s="67"/>
      <c r="J857" s="68"/>
      <c r="K857" s="68"/>
      <c r="S857" s="32"/>
      <c r="T857" s="32"/>
      <c r="U857" s="61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23"/>
      <c r="AG857" s="23"/>
      <c r="AH857" s="27"/>
    </row>
    <row r="858" spans="1:34" x14ac:dyDescent="0.25">
      <c r="A858" s="69"/>
      <c r="B858" s="67"/>
      <c r="C858" s="67"/>
      <c r="D858" s="68"/>
      <c r="E858" s="68"/>
      <c r="F858" s="68"/>
      <c r="G858" s="67"/>
      <c r="H858" s="67"/>
      <c r="I858" s="67"/>
      <c r="J858" s="68"/>
      <c r="K858" s="68"/>
      <c r="S858" s="32"/>
      <c r="T858" s="32"/>
      <c r="U858" s="61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23"/>
      <c r="AG858" s="23"/>
      <c r="AH858" s="27"/>
    </row>
    <row r="859" spans="1:34" x14ac:dyDescent="0.25">
      <c r="A859" s="69"/>
      <c r="B859" s="67"/>
      <c r="C859" s="67"/>
      <c r="D859" s="68"/>
      <c r="E859" s="68"/>
      <c r="F859" s="68"/>
      <c r="G859" s="67"/>
      <c r="H859" s="67"/>
      <c r="I859" s="67"/>
      <c r="J859" s="68"/>
      <c r="K859" s="68"/>
      <c r="S859" s="32"/>
      <c r="T859" s="32"/>
      <c r="U859" s="61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23"/>
      <c r="AG859" s="23"/>
      <c r="AH859" s="27"/>
    </row>
    <row r="860" spans="1:34" x14ac:dyDescent="0.25">
      <c r="A860" s="69"/>
      <c r="B860" s="67"/>
      <c r="C860" s="67"/>
      <c r="D860" s="68"/>
      <c r="E860" s="68"/>
      <c r="F860" s="68"/>
      <c r="G860" s="67"/>
      <c r="H860" s="67"/>
      <c r="I860" s="67"/>
      <c r="J860" s="68"/>
      <c r="K860" s="68"/>
      <c r="S860" s="32"/>
      <c r="T860" s="32"/>
      <c r="U860" s="61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23"/>
      <c r="AG860" s="23"/>
      <c r="AH860" s="27"/>
    </row>
    <row r="861" spans="1:34" x14ac:dyDescent="0.25">
      <c r="A861" s="69"/>
      <c r="B861" s="67"/>
      <c r="C861" s="67"/>
      <c r="D861" s="68"/>
      <c r="E861" s="68"/>
      <c r="F861" s="68"/>
      <c r="G861" s="67"/>
      <c r="H861" s="67"/>
      <c r="I861" s="67"/>
      <c r="J861" s="68"/>
      <c r="K861" s="68"/>
      <c r="S861" s="32"/>
      <c r="T861" s="32"/>
      <c r="U861" s="61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23"/>
      <c r="AG861" s="23"/>
      <c r="AH861" s="27"/>
    </row>
    <row r="862" spans="1:34" x14ac:dyDescent="0.25">
      <c r="A862" s="69"/>
      <c r="B862" s="67"/>
      <c r="C862" s="67"/>
      <c r="D862" s="68"/>
      <c r="E862" s="68"/>
      <c r="F862" s="68"/>
      <c r="G862" s="67"/>
      <c r="H862" s="67"/>
      <c r="I862" s="67"/>
      <c r="J862" s="68"/>
      <c r="K862" s="68"/>
      <c r="S862" s="32"/>
      <c r="T862" s="32"/>
      <c r="U862" s="61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23"/>
      <c r="AG862" s="23"/>
      <c r="AH862" s="27"/>
    </row>
    <row r="863" spans="1:34" x14ac:dyDescent="0.25">
      <c r="A863" s="69"/>
      <c r="B863" s="67"/>
      <c r="C863" s="67"/>
      <c r="D863" s="68"/>
      <c r="E863" s="68"/>
      <c r="F863" s="68"/>
      <c r="G863" s="67"/>
      <c r="H863" s="67"/>
      <c r="I863" s="67"/>
      <c r="J863" s="68"/>
      <c r="K863" s="68"/>
      <c r="S863" s="32"/>
      <c r="T863" s="32"/>
      <c r="U863" s="61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23"/>
      <c r="AG863" s="23"/>
      <c r="AH863" s="27"/>
    </row>
    <row r="864" spans="1:34" x14ac:dyDescent="0.25">
      <c r="A864" s="69"/>
      <c r="B864" s="67"/>
      <c r="C864" s="67"/>
      <c r="D864" s="70"/>
      <c r="E864" s="70"/>
      <c r="F864" s="70"/>
      <c r="G864" s="67"/>
      <c r="H864" s="67"/>
      <c r="I864" s="67"/>
      <c r="J864" s="68"/>
      <c r="K864" s="68"/>
      <c r="S864" s="32"/>
      <c r="T864" s="32"/>
      <c r="U864" s="61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23"/>
      <c r="AG864" s="23"/>
      <c r="AH864" s="27"/>
    </row>
    <row r="865" spans="1:34" x14ac:dyDescent="0.25">
      <c r="A865" s="69"/>
      <c r="B865" s="67"/>
      <c r="C865" s="67"/>
      <c r="D865" s="70"/>
      <c r="E865" s="70"/>
      <c r="F865" s="70"/>
      <c r="G865" s="67"/>
      <c r="H865" s="67"/>
      <c r="I865" s="67"/>
      <c r="J865" s="68"/>
      <c r="K865" s="68"/>
      <c r="S865" s="32"/>
      <c r="T865" s="32"/>
      <c r="U865" s="61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23"/>
      <c r="AG865" s="23"/>
      <c r="AH865" s="27"/>
    </row>
    <row r="866" spans="1:34" x14ac:dyDescent="0.25">
      <c r="A866" s="69"/>
      <c r="B866" s="67"/>
      <c r="C866" s="67"/>
      <c r="D866" s="70"/>
      <c r="E866" s="70"/>
      <c r="F866" s="70"/>
      <c r="G866" s="67"/>
      <c r="H866" s="67"/>
      <c r="I866" s="67"/>
      <c r="J866" s="68"/>
      <c r="K866" s="68"/>
      <c r="S866" s="32"/>
      <c r="T866" s="32"/>
      <c r="U866" s="61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23"/>
      <c r="AG866" s="23"/>
      <c r="AH866" s="27"/>
    </row>
    <row r="867" spans="1:34" x14ac:dyDescent="0.25">
      <c r="A867" s="69"/>
      <c r="B867" s="67"/>
      <c r="C867" s="67"/>
      <c r="D867" s="68"/>
      <c r="E867" s="68"/>
      <c r="F867" s="68"/>
      <c r="G867" s="67"/>
      <c r="H867" s="67"/>
      <c r="I867" s="67"/>
      <c r="J867" s="68"/>
      <c r="K867" s="68"/>
      <c r="S867" s="32"/>
      <c r="T867" s="32"/>
      <c r="U867" s="61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23"/>
      <c r="AG867" s="23"/>
      <c r="AH867" s="27"/>
    </row>
    <row r="868" spans="1:34" x14ac:dyDescent="0.25">
      <c r="A868" s="69"/>
      <c r="B868" s="67"/>
      <c r="C868" s="67"/>
      <c r="D868" s="68"/>
      <c r="E868" s="68"/>
      <c r="F868" s="68"/>
      <c r="G868" s="67"/>
      <c r="H868" s="67"/>
      <c r="I868" s="67"/>
      <c r="J868" s="68"/>
      <c r="K868" s="68"/>
      <c r="S868" s="32"/>
      <c r="T868" s="32"/>
      <c r="U868" s="61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23"/>
      <c r="AG868" s="23"/>
      <c r="AH868" s="27"/>
    </row>
    <row r="869" spans="1:34" x14ac:dyDescent="0.25">
      <c r="A869" s="69"/>
      <c r="B869" s="67"/>
      <c r="C869" s="67"/>
      <c r="D869" s="68"/>
      <c r="E869" s="68"/>
      <c r="F869" s="68"/>
      <c r="G869" s="67"/>
      <c r="H869" s="67"/>
      <c r="I869" s="67"/>
      <c r="J869" s="68"/>
      <c r="K869" s="68"/>
      <c r="S869" s="32"/>
      <c r="T869" s="32"/>
      <c r="U869" s="61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23"/>
      <c r="AG869" s="23"/>
      <c r="AH869" s="27"/>
    </row>
    <row r="870" spans="1:34" x14ac:dyDescent="0.25">
      <c r="A870" s="69"/>
      <c r="B870" s="67"/>
      <c r="C870" s="67"/>
      <c r="D870" s="68"/>
      <c r="E870" s="68"/>
      <c r="F870" s="68"/>
      <c r="G870" s="67"/>
      <c r="H870" s="67"/>
      <c r="I870" s="67"/>
      <c r="J870" s="68"/>
      <c r="K870" s="68"/>
      <c r="S870" s="32"/>
      <c r="T870" s="32"/>
      <c r="U870" s="61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23"/>
      <c r="AG870" s="23"/>
      <c r="AH870" s="27"/>
    </row>
    <row r="871" spans="1:34" x14ac:dyDescent="0.25">
      <c r="A871" s="69"/>
      <c r="B871" s="67"/>
      <c r="C871" s="67"/>
      <c r="D871" s="68"/>
      <c r="E871" s="68"/>
      <c r="F871" s="68"/>
      <c r="G871" s="67"/>
      <c r="H871" s="67"/>
      <c r="I871" s="67"/>
      <c r="J871" s="68"/>
      <c r="K871" s="68"/>
      <c r="S871" s="32"/>
      <c r="T871" s="32"/>
      <c r="U871" s="61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23"/>
      <c r="AG871" s="23"/>
      <c r="AH871" s="27"/>
    </row>
    <row r="872" spans="1:34" x14ac:dyDescent="0.25">
      <c r="A872" s="69"/>
      <c r="B872" s="67"/>
      <c r="C872" s="67"/>
      <c r="D872" s="68"/>
      <c r="E872" s="68"/>
      <c r="F872" s="68"/>
      <c r="G872" s="67"/>
      <c r="H872" s="67"/>
      <c r="I872" s="67"/>
      <c r="J872" s="68"/>
      <c r="K872" s="68"/>
      <c r="S872" s="32"/>
      <c r="T872" s="32"/>
      <c r="U872" s="61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23"/>
      <c r="AG872" s="23"/>
      <c r="AH872" s="27"/>
    </row>
    <row r="873" spans="1:34" x14ac:dyDescent="0.25">
      <c r="A873" s="69"/>
      <c r="B873" s="67"/>
      <c r="C873" s="67"/>
      <c r="D873" s="68"/>
      <c r="E873" s="68"/>
      <c r="F873" s="68"/>
      <c r="G873" s="67"/>
      <c r="H873" s="67"/>
      <c r="I873" s="67"/>
      <c r="J873" s="68"/>
      <c r="K873" s="68"/>
      <c r="S873" s="32"/>
      <c r="T873" s="32"/>
      <c r="U873" s="61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23"/>
      <c r="AG873" s="23"/>
      <c r="AH873" s="27"/>
    </row>
    <row r="874" spans="1:34" x14ac:dyDescent="0.25">
      <c r="A874" s="69"/>
      <c r="B874" s="67"/>
      <c r="C874" s="67"/>
      <c r="D874" s="68"/>
      <c r="E874" s="68"/>
      <c r="F874" s="68"/>
      <c r="G874" s="67"/>
      <c r="H874" s="67"/>
      <c r="I874" s="67"/>
      <c r="J874" s="68"/>
      <c r="K874" s="68"/>
      <c r="S874" s="32"/>
      <c r="T874" s="32"/>
      <c r="U874" s="61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23"/>
      <c r="AG874" s="23"/>
      <c r="AH874" s="27"/>
    </row>
    <row r="875" spans="1:34" x14ac:dyDescent="0.25">
      <c r="A875" s="69"/>
      <c r="B875" s="67"/>
      <c r="C875" s="67"/>
      <c r="D875" s="68"/>
      <c r="E875" s="68"/>
      <c r="F875" s="68"/>
      <c r="G875" s="67"/>
      <c r="H875" s="67"/>
      <c r="I875" s="67"/>
      <c r="J875" s="68"/>
      <c r="K875" s="68"/>
      <c r="S875" s="32"/>
      <c r="T875" s="32"/>
      <c r="U875" s="61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23"/>
      <c r="AG875" s="23"/>
      <c r="AH875" s="27"/>
    </row>
    <row r="876" spans="1:34" x14ac:dyDescent="0.25">
      <c r="A876" s="69"/>
      <c r="B876" s="67"/>
      <c r="C876" s="67"/>
      <c r="D876" s="68"/>
      <c r="E876" s="68"/>
      <c r="F876" s="68"/>
      <c r="G876" s="67"/>
      <c r="H876" s="67"/>
      <c r="I876" s="67"/>
      <c r="J876" s="68"/>
      <c r="K876" s="68"/>
      <c r="S876" s="32"/>
      <c r="T876" s="32"/>
      <c r="U876" s="61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23"/>
      <c r="AG876" s="23"/>
      <c r="AH876" s="27"/>
    </row>
    <row r="877" spans="1:34" x14ac:dyDescent="0.25">
      <c r="A877" s="69"/>
      <c r="B877" s="67"/>
      <c r="C877" s="67"/>
      <c r="D877" s="68"/>
      <c r="E877" s="68"/>
      <c r="F877" s="68"/>
      <c r="G877" s="67"/>
      <c r="H877" s="67"/>
      <c r="I877" s="67"/>
      <c r="J877" s="68"/>
      <c r="K877" s="68"/>
      <c r="S877" s="32"/>
      <c r="T877" s="32"/>
      <c r="U877" s="61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23"/>
      <c r="AG877" s="23"/>
      <c r="AH877" s="27"/>
    </row>
    <row r="878" spans="1:34" x14ac:dyDescent="0.25">
      <c r="A878" s="69"/>
      <c r="B878" s="67"/>
      <c r="C878" s="67"/>
      <c r="D878" s="68"/>
      <c r="E878" s="68"/>
      <c r="F878" s="68"/>
      <c r="G878" s="67"/>
      <c r="H878" s="67"/>
      <c r="I878" s="67"/>
      <c r="J878" s="68"/>
      <c r="K878" s="68"/>
      <c r="S878" s="32"/>
      <c r="T878" s="32"/>
      <c r="U878" s="61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23"/>
      <c r="AG878" s="23"/>
      <c r="AH878" s="27"/>
    </row>
    <row r="879" spans="1:34" x14ac:dyDescent="0.25">
      <c r="A879" s="69"/>
      <c r="B879" s="67"/>
      <c r="C879" s="67"/>
      <c r="D879" s="68"/>
      <c r="E879" s="68"/>
      <c r="F879" s="68"/>
      <c r="G879" s="67"/>
      <c r="H879" s="67"/>
      <c r="I879" s="67"/>
      <c r="J879" s="68"/>
      <c r="K879" s="68"/>
      <c r="S879" s="32"/>
      <c r="T879" s="32"/>
      <c r="U879" s="61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23"/>
      <c r="AG879" s="23"/>
      <c r="AH879" s="27"/>
    </row>
    <row r="880" spans="1:34" x14ac:dyDescent="0.25">
      <c r="A880" s="69"/>
      <c r="B880" s="67"/>
      <c r="C880" s="67"/>
      <c r="D880" s="68"/>
      <c r="E880" s="68"/>
      <c r="F880" s="68"/>
      <c r="G880" s="67"/>
      <c r="H880" s="67"/>
      <c r="I880" s="67"/>
      <c r="J880" s="68"/>
      <c r="K880" s="68"/>
      <c r="S880" s="32"/>
      <c r="T880" s="32"/>
      <c r="U880" s="61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23"/>
      <c r="AG880" s="23"/>
      <c r="AH880" s="27"/>
    </row>
    <row r="881" spans="1:34" x14ac:dyDescent="0.25">
      <c r="A881" s="69"/>
      <c r="B881" s="67"/>
      <c r="C881" s="67"/>
      <c r="D881" s="68"/>
      <c r="E881" s="68"/>
      <c r="F881" s="68"/>
      <c r="G881" s="67"/>
      <c r="H881" s="67"/>
      <c r="I881" s="67"/>
      <c r="J881" s="68"/>
      <c r="K881" s="68"/>
      <c r="S881" s="32"/>
      <c r="T881" s="32"/>
      <c r="U881" s="61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23"/>
      <c r="AG881" s="23"/>
      <c r="AH881" s="27"/>
    </row>
    <row r="882" spans="1:34" x14ac:dyDescent="0.25">
      <c r="A882" s="69"/>
      <c r="B882" s="67"/>
      <c r="C882" s="67"/>
      <c r="D882" s="68"/>
      <c r="E882" s="68"/>
      <c r="F882" s="68"/>
      <c r="G882" s="67"/>
      <c r="H882" s="67"/>
      <c r="I882" s="67"/>
      <c r="J882" s="68"/>
      <c r="K882" s="68"/>
      <c r="S882" s="32"/>
      <c r="T882" s="32"/>
      <c r="U882" s="61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23"/>
      <c r="AG882" s="23"/>
      <c r="AH882" s="27"/>
    </row>
    <row r="883" spans="1:34" x14ac:dyDescent="0.25">
      <c r="A883" s="69"/>
      <c r="B883" s="67"/>
      <c r="C883" s="67"/>
      <c r="D883" s="68"/>
      <c r="E883" s="68"/>
      <c r="F883" s="68"/>
      <c r="G883" s="67"/>
      <c r="H883" s="67"/>
      <c r="I883" s="67"/>
      <c r="J883" s="68"/>
      <c r="K883" s="68"/>
      <c r="S883" s="32"/>
      <c r="T883" s="32"/>
      <c r="U883" s="61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23"/>
      <c r="AG883" s="23"/>
      <c r="AH883" s="27"/>
    </row>
    <row r="884" spans="1:34" x14ac:dyDescent="0.25">
      <c r="A884" s="69"/>
      <c r="B884" s="67"/>
      <c r="C884" s="67"/>
      <c r="D884" s="68"/>
      <c r="E884" s="68"/>
      <c r="F884" s="68"/>
      <c r="G884" s="67"/>
      <c r="H884" s="67"/>
      <c r="I884" s="67"/>
      <c r="J884" s="68"/>
      <c r="K884" s="68"/>
      <c r="S884" s="32"/>
      <c r="T884" s="32"/>
      <c r="U884" s="61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23"/>
      <c r="AG884" s="23"/>
      <c r="AH884" s="27"/>
    </row>
    <row r="885" spans="1:34" x14ac:dyDescent="0.25">
      <c r="A885" s="69"/>
      <c r="B885" s="67"/>
      <c r="C885" s="67"/>
      <c r="D885" s="68"/>
      <c r="E885" s="68"/>
      <c r="F885" s="68"/>
      <c r="G885" s="67"/>
      <c r="H885" s="67"/>
      <c r="I885" s="67"/>
      <c r="J885" s="68"/>
      <c r="K885" s="68"/>
      <c r="S885" s="32"/>
      <c r="T885" s="32"/>
      <c r="U885" s="61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23"/>
      <c r="AG885" s="23"/>
      <c r="AH885" s="27"/>
    </row>
    <row r="886" spans="1:34" x14ac:dyDescent="0.25">
      <c r="A886" s="69"/>
      <c r="B886" s="67"/>
      <c r="C886" s="67"/>
      <c r="D886" s="68"/>
      <c r="E886" s="68"/>
      <c r="F886" s="68"/>
      <c r="G886" s="67"/>
      <c r="H886" s="67"/>
      <c r="I886" s="67"/>
      <c r="J886" s="68"/>
      <c r="K886" s="68"/>
      <c r="S886" s="32"/>
      <c r="T886" s="32"/>
      <c r="U886" s="61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23"/>
      <c r="AG886" s="23"/>
      <c r="AH886" s="27"/>
    </row>
    <row r="887" spans="1:34" x14ac:dyDescent="0.25">
      <c r="A887" s="69"/>
      <c r="B887" s="67"/>
      <c r="C887" s="67"/>
      <c r="D887" s="68"/>
      <c r="E887" s="68"/>
      <c r="F887" s="68"/>
      <c r="G887" s="67"/>
      <c r="H887" s="67"/>
      <c r="I887" s="67"/>
      <c r="J887" s="68"/>
      <c r="K887" s="68"/>
      <c r="S887" s="32"/>
      <c r="T887" s="32"/>
      <c r="U887" s="61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23"/>
      <c r="AG887" s="23"/>
      <c r="AH887" s="27"/>
    </row>
    <row r="888" spans="1:34" x14ac:dyDescent="0.25">
      <c r="A888" s="69"/>
      <c r="B888" s="67"/>
      <c r="C888" s="67"/>
      <c r="D888" s="70"/>
      <c r="E888" s="70"/>
      <c r="F888" s="70"/>
      <c r="G888" s="67"/>
      <c r="H888" s="67"/>
      <c r="I888" s="67"/>
      <c r="J888" s="68"/>
      <c r="K888" s="68"/>
      <c r="S888" s="32"/>
      <c r="T888" s="32"/>
      <c r="U888" s="61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23"/>
      <c r="AG888" s="23"/>
      <c r="AH888" s="27"/>
    </row>
    <row r="889" spans="1:34" x14ac:dyDescent="0.25">
      <c r="A889" s="69"/>
      <c r="B889" s="67"/>
      <c r="C889" s="67"/>
      <c r="D889" s="70"/>
      <c r="E889" s="70"/>
      <c r="F889" s="70"/>
      <c r="G889" s="67"/>
      <c r="H889" s="67"/>
      <c r="I889" s="67"/>
      <c r="J889" s="68"/>
      <c r="K889" s="68"/>
      <c r="S889" s="32"/>
      <c r="T889" s="32"/>
      <c r="U889" s="61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23"/>
      <c r="AG889" s="23"/>
      <c r="AH889" s="27"/>
    </row>
    <row r="890" spans="1:34" x14ac:dyDescent="0.25">
      <c r="A890" s="69"/>
      <c r="B890" s="67"/>
      <c r="C890" s="67"/>
      <c r="D890" s="70"/>
      <c r="E890" s="70"/>
      <c r="F890" s="70"/>
      <c r="G890" s="67"/>
      <c r="H890" s="67"/>
      <c r="I890" s="67"/>
      <c r="J890" s="68"/>
      <c r="K890" s="68"/>
      <c r="S890" s="32"/>
      <c r="T890" s="32"/>
      <c r="U890" s="61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23"/>
      <c r="AG890" s="23"/>
      <c r="AH890" s="27"/>
    </row>
    <row r="891" spans="1:34" x14ac:dyDescent="0.25">
      <c r="A891" s="69"/>
      <c r="B891" s="67"/>
      <c r="C891" s="67"/>
      <c r="D891" s="68"/>
      <c r="E891" s="68"/>
      <c r="F891" s="68"/>
      <c r="G891" s="67"/>
      <c r="H891" s="67"/>
      <c r="I891" s="67"/>
      <c r="J891" s="68"/>
      <c r="K891" s="68"/>
      <c r="S891" s="32"/>
      <c r="T891" s="32"/>
      <c r="U891" s="61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23"/>
      <c r="AG891" s="23"/>
      <c r="AH891" s="27"/>
    </row>
    <row r="892" spans="1:34" x14ac:dyDescent="0.25">
      <c r="A892" s="69"/>
      <c r="B892" s="67"/>
      <c r="C892" s="67"/>
      <c r="D892" s="68"/>
      <c r="E892" s="68"/>
      <c r="F892" s="68"/>
      <c r="G892" s="67"/>
      <c r="H892" s="67"/>
      <c r="I892" s="67"/>
      <c r="J892" s="68"/>
      <c r="K892" s="68"/>
      <c r="S892" s="32"/>
      <c r="T892" s="32"/>
      <c r="U892" s="61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23"/>
      <c r="AG892" s="23"/>
      <c r="AH892" s="27"/>
    </row>
    <row r="893" spans="1:34" x14ac:dyDescent="0.25">
      <c r="A893" s="69"/>
      <c r="B893" s="67"/>
      <c r="C893" s="67"/>
      <c r="D893" s="68"/>
      <c r="E893" s="68"/>
      <c r="F893" s="68"/>
      <c r="G893" s="67"/>
      <c r="H893" s="67"/>
      <c r="I893" s="67"/>
      <c r="J893" s="68"/>
      <c r="K893" s="68"/>
      <c r="S893" s="32"/>
      <c r="T893" s="32"/>
      <c r="U893" s="61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23"/>
      <c r="AG893" s="23"/>
      <c r="AH893" s="27"/>
    </row>
    <row r="894" spans="1:34" x14ac:dyDescent="0.25">
      <c r="A894" s="69"/>
      <c r="B894" s="67"/>
      <c r="C894" s="67"/>
      <c r="D894" s="68"/>
      <c r="E894" s="68"/>
      <c r="F894" s="68"/>
      <c r="G894" s="67"/>
      <c r="H894" s="67"/>
      <c r="I894" s="67"/>
      <c r="J894" s="68"/>
      <c r="K894" s="68"/>
      <c r="S894" s="32"/>
      <c r="T894" s="32"/>
      <c r="U894" s="61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23"/>
      <c r="AG894" s="23"/>
      <c r="AH894" s="27"/>
    </row>
    <row r="895" spans="1:34" x14ac:dyDescent="0.25">
      <c r="A895" s="69"/>
      <c r="B895" s="67"/>
      <c r="C895" s="67"/>
      <c r="D895" s="68"/>
      <c r="E895" s="68"/>
      <c r="F895" s="68"/>
      <c r="G895" s="67"/>
      <c r="H895" s="67"/>
      <c r="I895" s="67"/>
      <c r="J895" s="68"/>
      <c r="K895" s="68"/>
      <c r="S895" s="32"/>
      <c r="T895" s="32"/>
      <c r="U895" s="61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23"/>
      <c r="AG895" s="23"/>
      <c r="AH895" s="27"/>
    </row>
    <row r="896" spans="1:34" x14ac:dyDescent="0.25">
      <c r="A896" s="69"/>
      <c r="B896" s="67"/>
      <c r="C896" s="67"/>
      <c r="D896" s="68"/>
      <c r="E896" s="68"/>
      <c r="F896" s="68"/>
      <c r="G896" s="67"/>
      <c r="H896" s="67"/>
      <c r="I896" s="67"/>
      <c r="J896" s="68"/>
      <c r="K896" s="68"/>
      <c r="S896" s="32"/>
      <c r="T896" s="32"/>
      <c r="U896" s="61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23"/>
      <c r="AG896" s="23"/>
      <c r="AH896" s="27"/>
    </row>
    <row r="897" spans="1:34" x14ac:dyDescent="0.25">
      <c r="A897" s="69"/>
      <c r="B897" s="67"/>
      <c r="C897" s="67"/>
      <c r="D897" s="68"/>
      <c r="E897" s="68"/>
      <c r="F897" s="68"/>
      <c r="G897" s="67"/>
      <c r="H897" s="67"/>
      <c r="I897" s="67"/>
      <c r="J897" s="68"/>
      <c r="K897" s="68"/>
      <c r="S897" s="32"/>
      <c r="T897" s="32"/>
      <c r="U897" s="61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23"/>
      <c r="AG897" s="23"/>
      <c r="AH897" s="27"/>
    </row>
    <row r="898" spans="1:34" x14ac:dyDescent="0.25">
      <c r="A898" s="69"/>
      <c r="B898" s="67"/>
      <c r="C898" s="67"/>
      <c r="D898" s="68"/>
      <c r="E898" s="68"/>
      <c r="F898" s="68"/>
      <c r="G898" s="67"/>
      <c r="H898" s="67"/>
      <c r="I898" s="67"/>
      <c r="J898" s="68"/>
      <c r="K898" s="68"/>
      <c r="S898" s="32"/>
      <c r="T898" s="32"/>
      <c r="U898" s="61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23"/>
      <c r="AG898" s="23"/>
      <c r="AH898" s="27"/>
    </row>
    <row r="899" spans="1:34" x14ac:dyDescent="0.25">
      <c r="A899" s="69"/>
      <c r="B899" s="67"/>
      <c r="C899" s="67"/>
      <c r="D899" s="68"/>
      <c r="E899" s="68"/>
      <c r="F899" s="68"/>
      <c r="G899" s="67"/>
      <c r="H899" s="67"/>
      <c r="I899" s="67"/>
      <c r="J899" s="68"/>
      <c r="K899" s="68"/>
      <c r="S899" s="32"/>
      <c r="T899" s="32"/>
      <c r="U899" s="61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23"/>
      <c r="AG899" s="23"/>
      <c r="AH899" s="27"/>
    </row>
    <row r="900" spans="1:34" x14ac:dyDescent="0.25">
      <c r="A900" s="69"/>
      <c r="B900" s="67"/>
      <c r="C900" s="67"/>
      <c r="D900" s="68"/>
      <c r="E900" s="68"/>
      <c r="F900" s="68"/>
      <c r="G900" s="67"/>
      <c r="H900" s="67"/>
      <c r="I900" s="67"/>
      <c r="J900" s="68"/>
      <c r="K900" s="68"/>
      <c r="S900" s="32"/>
      <c r="T900" s="32"/>
      <c r="U900" s="61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23"/>
      <c r="AG900" s="23"/>
      <c r="AH900" s="27"/>
    </row>
    <row r="901" spans="1:34" x14ac:dyDescent="0.25">
      <c r="A901" s="69"/>
      <c r="B901" s="67"/>
      <c r="C901" s="67"/>
      <c r="D901" s="68"/>
      <c r="E901" s="68"/>
      <c r="F901" s="68"/>
      <c r="G901" s="67"/>
      <c r="H901" s="67"/>
      <c r="I901" s="67"/>
      <c r="J901" s="68"/>
      <c r="K901" s="68"/>
      <c r="S901" s="32"/>
      <c r="T901" s="32"/>
      <c r="U901" s="61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23"/>
      <c r="AG901" s="23"/>
      <c r="AH901" s="27"/>
    </row>
    <row r="902" spans="1:34" x14ac:dyDescent="0.25">
      <c r="A902" s="69"/>
      <c r="B902" s="67"/>
      <c r="C902" s="67"/>
      <c r="D902" s="68"/>
      <c r="E902" s="68"/>
      <c r="F902" s="68"/>
      <c r="G902" s="67"/>
      <c r="H902" s="67"/>
      <c r="I902" s="67"/>
      <c r="J902" s="68"/>
      <c r="K902" s="68"/>
      <c r="S902" s="32"/>
      <c r="T902" s="32"/>
      <c r="U902" s="61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23"/>
      <c r="AG902" s="23"/>
      <c r="AH902" s="27"/>
    </row>
    <row r="903" spans="1:34" x14ac:dyDescent="0.25">
      <c r="A903" s="69"/>
      <c r="B903" s="67"/>
      <c r="C903" s="67"/>
      <c r="D903" s="68"/>
      <c r="E903" s="68"/>
      <c r="F903" s="68"/>
      <c r="G903" s="67"/>
      <c r="H903" s="67"/>
      <c r="I903" s="67"/>
      <c r="J903" s="68"/>
      <c r="K903" s="68"/>
      <c r="S903" s="32"/>
      <c r="T903" s="32"/>
      <c r="U903" s="61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23"/>
      <c r="AG903" s="23"/>
      <c r="AH903" s="27"/>
    </row>
    <row r="904" spans="1:34" x14ac:dyDescent="0.25">
      <c r="A904" s="69"/>
      <c r="B904" s="67"/>
      <c r="C904" s="67"/>
      <c r="D904" s="68"/>
      <c r="E904" s="68"/>
      <c r="F904" s="68"/>
      <c r="G904" s="67"/>
      <c r="H904" s="67"/>
      <c r="I904" s="67"/>
      <c r="J904" s="68"/>
      <c r="K904" s="68"/>
      <c r="S904" s="32"/>
      <c r="T904" s="32"/>
      <c r="U904" s="61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23"/>
      <c r="AG904" s="23"/>
      <c r="AH904" s="27"/>
    </row>
    <row r="905" spans="1:34" x14ac:dyDescent="0.25">
      <c r="A905" s="69"/>
      <c r="B905" s="67"/>
      <c r="C905" s="67"/>
      <c r="D905" s="68"/>
      <c r="E905" s="68"/>
      <c r="F905" s="68"/>
      <c r="G905" s="67"/>
      <c r="H905" s="67"/>
      <c r="I905" s="67"/>
      <c r="J905" s="68"/>
      <c r="K905" s="68"/>
      <c r="S905" s="32"/>
      <c r="T905" s="32"/>
      <c r="U905" s="61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23"/>
      <c r="AG905" s="23"/>
      <c r="AH905" s="27"/>
    </row>
    <row r="906" spans="1:34" x14ac:dyDescent="0.25">
      <c r="A906" s="69"/>
      <c r="B906" s="67"/>
      <c r="C906" s="67"/>
      <c r="D906" s="68"/>
      <c r="E906" s="68"/>
      <c r="F906" s="68"/>
      <c r="G906" s="67"/>
      <c r="H906" s="67"/>
      <c r="I906" s="67"/>
      <c r="J906" s="68"/>
      <c r="K906" s="68"/>
      <c r="S906" s="32"/>
      <c r="T906" s="32"/>
      <c r="U906" s="61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23"/>
      <c r="AG906" s="23"/>
      <c r="AH906" s="27"/>
    </row>
    <row r="907" spans="1:34" x14ac:dyDescent="0.25">
      <c r="A907" s="69"/>
      <c r="B907" s="67"/>
      <c r="C907" s="67"/>
      <c r="D907" s="68"/>
      <c r="E907" s="68"/>
      <c r="F907" s="68"/>
      <c r="G907" s="67"/>
      <c r="H907" s="67"/>
      <c r="I907" s="67"/>
      <c r="J907" s="68"/>
      <c r="K907" s="68"/>
      <c r="S907" s="32"/>
      <c r="T907" s="32"/>
      <c r="U907" s="61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23"/>
      <c r="AG907" s="23"/>
      <c r="AH907" s="27"/>
    </row>
    <row r="908" spans="1:34" x14ac:dyDescent="0.25">
      <c r="A908" s="69"/>
      <c r="B908" s="67"/>
      <c r="C908" s="67"/>
      <c r="D908" s="68"/>
      <c r="E908" s="68"/>
      <c r="F908" s="68"/>
      <c r="G908" s="67"/>
      <c r="H908" s="67"/>
      <c r="I908" s="67"/>
      <c r="J908" s="68"/>
      <c r="K908" s="68"/>
      <c r="S908" s="32"/>
      <c r="T908" s="32"/>
      <c r="U908" s="61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23"/>
      <c r="AG908" s="23"/>
      <c r="AH908" s="27"/>
    </row>
    <row r="909" spans="1:34" x14ac:dyDescent="0.25">
      <c r="A909" s="69"/>
      <c r="B909" s="67"/>
      <c r="C909" s="67"/>
      <c r="D909" s="68"/>
      <c r="E909" s="68"/>
      <c r="F909" s="68"/>
      <c r="G909" s="67"/>
      <c r="H909" s="67"/>
      <c r="I909" s="67"/>
      <c r="J909" s="68"/>
      <c r="K909" s="68"/>
      <c r="S909" s="32"/>
      <c r="T909" s="32"/>
      <c r="U909" s="61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23"/>
      <c r="AG909" s="23"/>
      <c r="AH909" s="27"/>
    </row>
    <row r="910" spans="1:34" x14ac:dyDescent="0.25">
      <c r="A910" s="69"/>
      <c r="B910" s="67"/>
      <c r="C910" s="67"/>
      <c r="D910" s="68"/>
      <c r="E910" s="68"/>
      <c r="F910" s="68"/>
      <c r="G910" s="67"/>
      <c r="H910" s="67"/>
      <c r="I910" s="67"/>
      <c r="J910" s="68"/>
      <c r="K910" s="68"/>
      <c r="S910" s="32"/>
      <c r="T910" s="32"/>
      <c r="U910" s="61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23"/>
      <c r="AG910" s="23"/>
      <c r="AH910" s="27"/>
    </row>
    <row r="911" spans="1:34" x14ac:dyDescent="0.25">
      <c r="A911" s="69"/>
      <c r="B911" s="67"/>
      <c r="C911" s="67"/>
      <c r="D911" s="68"/>
      <c r="E911" s="68"/>
      <c r="F911" s="68"/>
      <c r="G911" s="67"/>
      <c r="H911" s="67"/>
      <c r="I911" s="67"/>
      <c r="J911" s="68"/>
      <c r="K911" s="68"/>
      <c r="S911" s="32"/>
      <c r="T911" s="32"/>
      <c r="U911" s="61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23"/>
      <c r="AG911" s="23"/>
      <c r="AH911" s="27"/>
    </row>
    <row r="912" spans="1:34" x14ac:dyDescent="0.25">
      <c r="A912" s="69"/>
      <c r="B912" s="67"/>
      <c r="C912" s="67"/>
      <c r="D912" s="70"/>
      <c r="E912" s="70"/>
      <c r="F912" s="70"/>
      <c r="G912" s="67"/>
      <c r="H912" s="67"/>
      <c r="I912" s="67"/>
      <c r="J912" s="68"/>
      <c r="K912" s="68"/>
      <c r="S912" s="32"/>
      <c r="T912" s="32"/>
      <c r="U912" s="61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23"/>
      <c r="AG912" s="23"/>
      <c r="AH912" s="27"/>
    </row>
    <row r="913" spans="1:34" x14ac:dyDescent="0.25">
      <c r="A913" s="69"/>
      <c r="B913" s="67"/>
      <c r="C913" s="67"/>
      <c r="D913" s="70"/>
      <c r="E913" s="70"/>
      <c r="F913" s="70"/>
      <c r="G913" s="67"/>
      <c r="H913" s="67"/>
      <c r="I913" s="67"/>
      <c r="J913" s="68"/>
      <c r="K913" s="68"/>
      <c r="S913" s="32"/>
      <c r="T913" s="32"/>
      <c r="U913" s="61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23"/>
      <c r="AG913" s="23"/>
      <c r="AH913" s="27"/>
    </row>
    <row r="914" spans="1:34" x14ac:dyDescent="0.25">
      <c r="A914" s="69"/>
      <c r="B914" s="67"/>
      <c r="C914" s="67"/>
      <c r="D914" s="70"/>
      <c r="E914" s="70"/>
      <c r="F914" s="70"/>
      <c r="G914" s="67"/>
      <c r="H914" s="67"/>
      <c r="I914" s="67"/>
      <c r="J914" s="68"/>
      <c r="K914" s="68"/>
      <c r="S914" s="32"/>
      <c r="T914" s="32"/>
      <c r="U914" s="61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23"/>
      <c r="AG914" s="23"/>
      <c r="AH914" s="27"/>
    </row>
    <row r="915" spans="1:34" x14ac:dyDescent="0.25">
      <c r="A915" s="69"/>
      <c r="B915" s="67"/>
      <c r="C915" s="67"/>
      <c r="D915" s="68"/>
      <c r="E915" s="68"/>
      <c r="F915" s="68"/>
      <c r="G915" s="67"/>
      <c r="H915" s="67"/>
      <c r="I915" s="67"/>
      <c r="J915" s="68"/>
      <c r="K915" s="68"/>
      <c r="S915" s="32"/>
      <c r="T915" s="32"/>
      <c r="U915" s="61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23"/>
      <c r="AG915" s="23"/>
      <c r="AH915" s="27"/>
    </row>
    <row r="916" spans="1:34" x14ac:dyDescent="0.25">
      <c r="A916" s="69"/>
      <c r="B916" s="67"/>
      <c r="C916" s="67"/>
      <c r="D916" s="68"/>
      <c r="E916" s="68"/>
      <c r="F916" s="68"/>
      <c r="G916" s="67"/>
      <c r="H916" s="67"/>
      <c r="I916" s="67"/>
      <c r="J916" s="68"/>
      <c r="K916" s="68"/>
      <c r="S916" s="32"/>
      <c r="T916" s="32"/>
      <c r="U916" s="61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23"/>
      <c r="AG916" s="23"/>
      <c r="AH916" s="27"/>
    </row>
    <row r="917" spans="1:34" x14ac:dyDescent="0.25">
      <c r="A917" s="69"/>
      <c r="B917" s="67"/>
      <c r="C917" s="67"/>
      <c r="D917" s="68"/>
      <c r="E917" s="68"/>
      <c r="F917" s="68"/>
      <c r="G917" s="67"/>
      <c r="H917" s="67"/>
      <c r="I917" s="67"/>
      <c r="J917" s="68"/>
      <c r="K917" s="68"/>
      <c r="S917" s="32"/>
      <c r="T917" s="32"/>
      <c r="U917" s="61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23"/>
      <c r="AG917" s="23"/>
      <c r="AH917" s="27"/>
    </row>
    <row r="918" spans="1:34" x14ac:dyDescent="0.25">
      <c r="A918" s="69"/>
      <c r="B918" s="67"/>
      <c r="C918" s="67"/>
      <c r="D918" s="68"/>
      <c r="E918" s="68"/>
      <c r="F918" s="68"/>
      <c r="G918" s="67"/>
      <c r="H918" s="67"/>
      <c r="I918" s="67"/>
      <c r="J918" s="68"/>
      <c r="K918" s="68"/>
      <c r="S918" s="32"/>
      <c r="T918" s="32"/>
      <c r="U918" s="61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23"/>
      <c r="AG918" s="23"/>
      <c r="AH918" s="27"/>
    </row>
    <row r="919" spans="1:34" x14ac:dyDescent="0.25">
      <c r="A919" s="69"/>
      <c r="B919" s="67"/>
      <c r="C919" s="67"/>
      <c r="D919" s="68"/>
      <c r="E919" s="68"/>
      <c r="F919" s="68"/>
      <c r="G919" s="67"/>
      <c r="H919" s="67"/>
      <c r="I919" s="67"/>
      <c r="J919" s="68"/>
      <c r="K919" s="68"/>
      <c r="S919" s="32"/>
      <c r="T919" s="32"/>
      <c r="U919" s="61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23"/>
      <c r="AG919" s="23"/>
      <c r="AH919" s="27"/>
    </row>
    <row r="920" spans="1:34" x14ac:dyDescent="0.25">
      <c r="A920" s="69"/>
      <c r="B920" s="67"/>
      <c r="C920" s="67"/>
      <c r="D920" s="68"/>
      <c r="E920" s="68"/>
      <c r="F920" s="68"/>
      <c r="G920" s="67"/>
      <c r="H920" s="67"/>
      <c r="I920" s="67"/>
      <c r="J920" s="68"/>
      <c r="K920" s="68"/>
      <c r="S920" s="32"/>
      <c r="T920" s="32"/>
      <c r="U920" s="61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23"/>
      <c r="AG920" s="23"/>
      <c r="AH920" s="27"/>
    </row>
    <row r="921" spans="1:34" x14ac:dyDescent="0.25">
      <c r="A921" s="69"/>
      <c r="B921" s="67"/>
      <c r="C921" s="67"/>
      <c r="D921" s="68"/>
      <c r="E921" s="68"/>
      <c r="F921" s="68"/>
      <c r="G921" s="67"/>
      <c r="H921" s="67"/>
      <c r="I921" s="67"/>
      <c r="J921" s="68"/>
      <c r="K921" s="68"/>
      <c r="S921" s="32"/>
      <c r="T921" s="32"/>
      <c r="U921" s="61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23"/>
      <c r="AG921" s="23"/>
      <c r="AH921" s="27"/>
    </row>
    <row r="922" spans="1:34" x14ac:dyDescent="0.25">
      <c r="A922" s="69"/>
      <c r="B922" s="67"/>
      <c r="C922" s="67"/>
      <c r="D922" s="68"/>
      <c r="E922" s="68"/>
      <c r="F922" s="68"/>
      <c r="G922" s="67"/>
      <c r="H922" s="67"/>
      <c r="I922" s="67"/>
      <c r="J922" s="68"/>
      <c r="K922" s="68"/>
      <c r="S922" s="32"/>
      <c r="T922" s="32"/>
      <c r="U922" s="61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23"/>
      <c r="AG922" s="23"/>
      <c r="AH922" s="27"/>
    </row>
    <row r="923" spans="1:34" x14ac:dyDescent="0.25">
      <c r="A923" s="69"/>
      <c r="B923" s="67"/>
      <c r="C923" s="67"/>
      <c r="D923" s="68"/>
      <c r="E923" s="68"/>
      <c r="F923" s="68"/>
      <c r="G923" s="67"/>
      <c r="H923" s="67"/>
      <c r="I923" s="67"/>
      <c r="J923" s="68"/>
      <c r="K923" s="68"/>
      <c r="S923" s="32"/>
      <c r="T923" s="32"/>
      <c r="U923" s="61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23"/>
      <c r="AG923" s="23"/>
      <c r="AH923" s="27"/>
    </row>
    <row r="924" spans="1:34" x14ac:dyDescent="0.25">
      <c r="A924" s="69"/>
      <c r="B924" s="67"/>
      <c r="C924" s="67"/>
      <c r="D924" s="68"/>
      <c r="E924" s="68"/>
      <c r="F924" s="68"/>
      <c r="G924" s="67"/>
      <c r="H924" s="67"/>
      <c r="I924" s="67"/>
      <c r="J924" s="68"/>
      <c r="K924" s="68"/>
      <c r="S924" s="32"/>
      <c r="T924" s="32"/>
      <c r="U924" s="61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23"/>
      <c r="AG924" s="23"/>
      <c r="AH924" s="27"/>
    </row>
    <row r="925" spans="1:34" x14ac:dyDescent="0.25">
      <c r="A925" s="69"/>
      <c r="B925" s="67"/>
      <c r="C925" s="67"/>
      <c r="D925" s="68"/>
      <c r="E925" s="68"/>
      <c r="F925" s="68"/>
      <c r="G925" s="67"/>
      <c r="H925" s="67"/>
      <c r="I925" s="67"/>
      <c r="J925" s="68"/>
      <c r="K925" s="68"/>
      <c r="S925" s="32"/>
      <c r="T925" s="32"/>
      <c r="U925" s="61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23"/>
      <c r="AG925" s="23"/>
      <c r="AH925" s="27"/>
    </row>
    <row r="926" spans="1:34" x14ac:dyDescent="0.25">
      <c r="A926" s="69"/>
      <c r="B926" s="67"/>
      <c r="C926" s="67"/>
      <c r="D926" s="68"/>
      <c r="E926" s="68"/>
      <c r="F926" s="68"/>
      <c r="G926" s="67"/>
      <c r="H926" s="67"/>
      <c r="I926" s="67"/>
      <c r="J926" s="68"/>
      <c r="K926" s="68"/>
      <c r="S926" s="32"/>
      <c r="T926" s="32"/>
      <c r="U926" s="61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23"/>
      <c r="AG926" s="23"/>
      <c r="AH926" s="27"/>
    </row>
    <row r="927" spans="1:34" x14ac:dyDescent="0.25">
      <c r="A927" s="69"/>
      <c r="B927" s="67"/>
      <c r="C927" s="67"/>
      <c r="D927" s="68"/>
      <c r="E927" s="68"/>
      <c r="F927" s="68"/>
      <c r="G927" s="67"/>
      <c r="H927" s="67"/>
      <c r="I927" s="67"/>
      <c r="J927" s="68"/>
      <c r="K927" s="68"/>
      <c r="S927" s="32"/>
      <c r="T927" s="32"/>
      <c r="U927" s="61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23"/>
      <c r="AG927" s="23"/>
      <c r="AH927" s="27"/>
    </row>
    <row r="928" spans="1:34" x14ac:dyDescent="0.25">
      <c r="A928" s="69"/>
      <c r="B928" s="67"/>
      <c r="C928" s="67"/>
      <c r="D928" s="68"/>
      <c r="E928" s="68"/>
      <c r="F928" s="68"/>
      <c r="G928" s="67"/>
      <c r="H928" s="67"/>
      <c r="I928" s="67"/>
      <c r="J928" s="68"/>
      <c r="K928" s="68"/>
      <c r="S928" s="32"/>
      <c r="T928" s="32"/>
      <c r="U928" s="61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23"/>
      <c r="AG928" s="23"/>
      <c r="AH928" s="27"/>
    </row>
    <row r="929" spans="1:34" x14ac:dyDescent="0.25">
      <c r="A929" s="69"/>
      <c r="B929" s="67"/>
      <c r="C929" s="67"/>
      <c r="D929" s="68"/>
      <c r="E929" s="68"/>
      <c r="F929" s="68"/>
      <c r="G929" s="67"/>
      <c r="H929" s="67"/>
      <c r="I929" s="67"/>
      <c r="J929" s="68"/>
      <c r="K929" s="68"/>
      <c r="S929" s="32"/>
      <c r="T929" s="32"/>
      <c r="U929" s="61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23"/>
      <c r="AG929" s="23"/>
      <c r="AH929" s="27"/>
    </row>
    <row r="930" spans="1:34" x14ac:dyDescent="0.25">
      <c r="A930" s="69"/>
      <c r="B930" s="67"/>
      <c r="C930" s="67"/>
      <c r="D930" s="68"/>
      <c r="E930" s="68"/>
      <c r="F930" s="68"/>
      <c r="G930" s="67"/>
      <c r="H930" s="67"/>
      <c r="I930" s="67"/>
      <c r="J930" s="68"/>
      <c r="K930" s="68"/>
      <c r="S930" s="32"/>
      <c r="T930" s="32"/>
      <c r="U930" s="61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23"/>
      <c r="AG930" s="23"/>
      <c r="AH930" s="27"/>
    </row>
    <row r="931" spans="1:34" x14ac:dyDescent="0.25">
      <c r="A931" s="69"/>
      <c r="B931" s="67"/>
      <c r="C931" s="67"/>
      <c r="D931" s="68"/>
      <c r="E931" s="68"/>
      <c r="F931" s="68"/>
      <c r="G931" s="67"/>
      <c r="H931" s="67"/>
      <c r="I931" s="67"/>
      <c r="J931" s="68"/>
      <c r="K931" s="68"/>
      <c r="S931" s="32"/>
      <c r="T931" s="32"/>
      <c r="U931" s="61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23"/>
      <c r="AG931" s="23"/>
      <c r="AH931" s="27"/>
    </row>
    <row r="932" spans="1:34" x14ac:dyDescent="0.25">
      <c r="A932" s="69"/>
      <c r="B932" s="67"/>
      <c r="C932" s="67"/>
      <c r="D932" s="68"/>
      <c r="E932" s="68"/>
      <c r="F932" s="68"/>
      <c r="G932" s="67"/>
      <c r="H932" s="67"/>
      <c r="I932" s="67"/>
      <c r="J932" s="68"/>
      <c r="K932" s="68"/>
      <c r="S932" s="32"/>
      <c r="T932" s="32"/>
      <c r="U932" s="61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23"/>
      <c r="AG932" s="23"/>
      <c r="AH932" s="27"/>
    </row>
    <row r="933" spans="1:34" x14ac:dyDescent="0.25">
      <c r="A933" s="69"/>
      <c r="B933" s="67"/>
      <c r="C933" s="67"/>
      <c r="D933" s="68"/>
      <c r="E933" s="68"/>
      <c r="F933" s="68"/>
      <c r="G933" s="67"/>
      <c r="H933" s="67"/>
      <c r="I933" s="67"/>
      <c r="J933" s="68"/>
      <c r="K933" s="68"/>
      <c r="S933" s="32"/>
      <c r="T933" s="32"/>
      <c r="U933" s="61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23"/>
      <c r="AG933" s="23"/>
      <c r="AH933" s="27"/>
    </row>
    <row r="934" spans="1:34" x14ac:dyDescent="0.25">
      <c r="A934" s="69"/>
      <c r="B934" s="67"/>
      <c r="C934" s="67"/>
      <c r="D934" s="68"/>
      <c r="E934" s="68"/>
      <c r="F934" s="68"/>
      <c r="G934" s="67"/>
      <c r="H934" s="67"/>
      <c r="I934" s="67"/>
      <c r="J934" s="68"/>
      <c r="K934" s="68"/>
      <c r="S934" s="32"/>
      <c r="T934" s="32"/>
      <c r="U934" s="61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23"/>
      <c r="AG934" s="23"/>
      <c r="AH934" s="27"/>
    </row>
    <row r="935" spans="1:34" x14ac:dyDescent="0.25">
      <c r="A935" s="69"/>
      <c r="B935" s="67"/>
      <c r="C935" s="67"/>
      <c r="D935" s="68"/>
      <c r="E935" s="68"/>
      <c r="F935" s="68"/>
      <c r="G935" s="67"/>
      <c r="H935" s="67"/>
      <c r="I935" s="67"/>
      <c r="J935" s="68"/>
      <c r="K935" s="68"/>
      <c r="S935" s="32"/>
      <c r="T935" s="32"/>
      <c r="U935" s="61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23"/>
      <c r="AG935" s="23"/>
      <c r="AH935" s="27"/>
    </row>
    <row r="936" spans="1:34" x14ac:dyDescent="0.25">
      <c r="A936" s="69"/>
      <c r="B936" s="67"/>
      <c r="C936" s="67"/>
      <c r="D936" s="70"/>
      <c r="E936" s="70"/>
      <c r="F936" s="70"/>
      <c r="G936" s="67"/>
      <c r="H936" s="67"/>
      <c r="I936" s="67"/>
      <c r="J936" s="68"/>
      <c r="K936" s="68"/>
      <c r="S936" s="32"/>
      <c r="T936" s="32"/>
      <c r="U936" s="61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23"/>
      <c r="AG936" s="23"/>
      <c r="AH936" s="27"/>
    </row>
    <row r="937" spans="1:34" x14ac:dyDescent="0.25">
      <c r="A937" s="69"/>
      <c r="B937" s="67"/>
      <c r="C937" s="67"/>
      <c r="D937" s="70"/>
      <c r="E937" s="70"/>
      <c r="F937" s="70"/>
      <c r="G937" s="67"/>
      <c r="H937" s="67"/>
      <c r="I937" s="67"/>
      <c r="J937" s="68"/>
      <c r="K937" s="68"/>
      <c r="S937" s="32"/>
      <c r="T937" s="32"/>
      <c r="U937" s="61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23"/>
      <c r="AG937" s="23"/>
      <c r="AH937" s="27"/>
    </row>
    <row r="938" spans="1:34" x14ac:dyDescent="0.25">
      <c r="A938" s="69"/>
      <c r="B938" s="67"/>
      <c r="C938" s="67"/>
      <c r="D938" s="70"/>
      <c r="E938" s="70"/>
      <c r="F938" s="70"/>
      <c r="G938" s="67"/>
      <c r="H938" s="67"/>
      <c r="I938" s="67"/>
      <c r="J938" s="68"/>
      <c r="K938" s="68"/>
      <c r="S938" s="32"/>
      <c r="T938" s="32"/>
      <c r="U938" s="61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23"/>
      <c r="AG938" s="23"/>
      <c r="AH938" s="27"/>
    </row>
    <row r="939" spans="1:34" x14ac:dyDescent="0.25">
      <c r="A939" s="69"/>
      <c r="B939" s="67"/>
      <c r="C939" s="67"/>
      <c r="D939" s="68"/>
      <c r="E939" s="68"/>
      <c r="F939" s="68"/>
      <c r="G939" s="67"/>
      <c r="H939" s="67"/>
      <c r="I939" s="67"/>
      <c r="J939" s="68"/>
      <c r="K939" s="68"/>
      <c r="S939" s="32"/>
      <c r="T939" s="32"/>
      <c r="U939" s="61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23"/>
      <c r="AG939" s="23"/>
      <c r="AH939" s="27"/>
    </row>
    <row r="940" spans="1:34" x14ac:dyDescent="0.25">
      <c r="A940" s="69"/>
      <c r="B940" s="67"/>
      <c r="C940" s="67"/>
      <c r="D940" s="68"/>
      <c r="E940" s="68"/>
      <c r="F940" s="68"/>
      <c r="G940" s="67"/>
      <c r="H940" s="67"/>
      <c r="I940" s="67"/>
      <c r="J940" s="68"/>
      <c r="K940" s="68"/>
      <c r="S940" s="32"/>
      <c r="T940" s="32"/>
      <c r="U940" s="61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23"/>
      <c r="AG940" s="23"/>
      <c r="AH940" s="27"/>
    </row>
    <row r="941" spans="1:34" x14ac:dyDescent="0.25">
      <c r="A941" s="69"/>
      <c r="B941" s="67"/>
      <c r="C941" s="67"/>
      <c r="D941" s="68"/>
      <c r="E941" s="68"/>
      <c r="F941" s="68"/>
      <c r="G941" s="67"/>
      <c r="H941" s="67"/>
      <c r="I941" s="67"/>
      <c r="J941" s="68"/>
      <c r="K941" s="68"/>
      <c r="S941" s="32"/>
      <c r="T941" s="32"/>
      <c r="U941" s="61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23"/>
      <c r="AG941" s="23"/>
      <c r="AH941" s="27"/>
    </row>
    <row r="942" spans="1:34" x14ac:dyDescent="0.25">
      <c r="A942" s="69"/>
      <c r="B942" s="67"/>
      <c r="C942" s="67"/>
      <c r="D942" s="68"/>
      <c r="E942" s="68"/>
      <c r="F942" s="68"/>
      <c r="G942" s="67"/>
      <c r="H942" s="67"/>
      <c r="I942" s="67"/>
      <c r="J942" s="68"/>
      <c r="K942" s="68"/>
      <c r="S942" s="32"/>
      <c r="T942" s="32"/>
      <c r="U942" s="61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23"/>
      <c r="AG942" s="23"/>
      <c r="AH942" s="27"/>
    </row>
    <row r="943" spans="1:34" x14ac:dyDescent="0.25">
      <c r="A943" s="69"/>
      <c r="B943" s="67"/>
      <c r="C943" s="67"/>
      <c r="D943" s="68"/>
      <c r="E943" s="68"/>
      <c r="F943" s="68"/>
      <c r="G943" s="67"/>
      <c r="H943" s="67"/>
      <c r="I943" s="67"/>
      <c r="J943" s="68"/>
      <c r="K943" s="68"/>
      <c r="S943" s="32"/>
      <c r="T943" s="32"/>
      <c r="U943" s="61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23"/>
      <c r="AG943" s="23"/>
      <c r="AH943" s="27"/>
    </row>
    <row r="944" spans="1:34" x14ac:dyDescent="0.25">
      <c r="A944" s="69"/>
      <c r="B944" s="67"/>
      <c r="C944" s="67"/>
      <c r="D944" s="68"/>
      <c r="E944" s="68"/>
      <c r="F944" s="68"/>
      <c r="G944" s="67"/>
      <c r="H944" s="67"/>
      <c r="I944" s="67"/>
      <c r="J944" s="68"/>
      <c r="K944" s="68"/>
      <c r="S944" s="32"/>
      <c r="T944" s="32"/>
      <c r="U944" s="61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23"/>
      <c r="AG944" s="23"/>
      <c r="AH944" s="27"/>
    </row>
    <row r="945" spans="1:34" x14ac:dyDescent="0.25">
      <c r="A945" s="69"/>
      <c r="B945" s="67"/>
      <c r="C945" s="67"/>
      <c r="D945" s="68"/>
      <c r="E945" s="68"/>
      <c r="F945" s="68"/>
      <c r="G945" s="67"/>
      <c r="H945" s="67"/>
      <c r="I945" s="67"/>
      <c r="J945" s="68"/>
      <c r="K945" s="68"/>
      <c r="S945" s="32"/>
      <c r="T945" s="32"/>
      <c r="U945" s="61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23"/>
      <c r="AG945" s="23"/>
      <c r="AH945" s="27"/>
    </row>
    <row r="946" spans="1:34" x14ac:dyDescent="0.25">
      <c r="A946" s="69"/>
      <c r="B946" s="67"/>
      <c r="C946" s="67"/>
      <c r="D946" s="68"/>
      <c r="E946" s="68"/>
      <c r="F946" s="68"/>
      <c r="G946" s="67"/>
      <c r="H946" s="67"/>
      <c r="I946" s="67"/>
      <c r="J946" s="68"/>
      <c r="K946" s="68"/>
      <c r="S946" s="32"/>
      <c r="T946" s="32"/>
      <c r="U946" s="61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23"/>
      <c r="AG946" s="23"/>
      <c r="AH946" s="27"/>
    </row>
    <row r="947" spans="1:34" x14ac:dyDescent="0.25">
      <c r="A947" s="69"/>
      <c r="B947" s="67"/>
      <c r="C947" s="67"/>
      <c r="D947" s="68"/>
      <c r="E947" s="68"/>
      <c r="F947" s="68"/>
      <c r="G947" s="67"/>
      <c r="H947" s="67"/>
      <c r="I947" s="67"/>
      <c r="J947" s="68"/>
      <c r="K947" s="68"/>
      <c r="S947" s="32"/>
      <c r="T947" s="32"/>
      <c r="U947" s="61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23"/>
      <c r="AG947" s="23"/>
      <c r="AH947" s="27"/>
    </row>
    <row r="948" spans="1:34" x14ac:dyDescent="0.25">
      <c r="A948" s="69"/>
      <c r="B948" s="67"/>
      <c r="C948" s="67"/>
      <c r="D948" s="68"/>
      <c r="E948" s="68"/>
      <c r="F948" s="68"/>
      <c r="G948" s="67"/>
      <c r="H948" s="67"/>
      <c r="I948" s="67"/>
      <c r="J948" s="68"/>
      <c r="K948" s="68"/>
      <c r="S948" s="32"/>
      <c r="T948" s="32"/>
      <c r="U948" s="61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23"/>
      <c r="AG948" s="23"/>
      <c r="AH948" s="27"/>
    </row>
    <row r="949" spans="1:34" x14ac:dyDescent="0.25">
      <c r="A949" s="69"/>
      <c r="B949" s="67"/>
      <c r="C949" s="67"/>
      <c r="D949" s="68"/>
      <c r="E949" s="68"/>
      <c r="F949" s="68"/>
      <c r="G949" s="67"/>
      <c r="H949" s="67"/>
      <c r="I949" s="67"/>
      <c r="J949" s="68"/>
      <c r="K949" s="68"/>
      <c r="S949" s="32"/>
      <c r="T949" s="32"/>
      <c r="U949" s="61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23"/>
      <c r="AG949" s="23"/>
      <c r="AH949" s="27"/>
    </row>
    <row r="950" spans="1:34" x14ac:dyDescent="0.25">
      <c r="A950" s="69"/>
      <c r="B950" s="67"/>
      <c r="C950" s="67"/>
      <c r="D950" s="68"/>
      <c r="E950" s="68"/>
      <c r="F950" s="68"/>
      <c r="G950" s="67"/>
      <c r="H950" s="67"/>
      <c r="I950" s="67"/>
      <c r="J950" s="68"/>
      <c r="K950" s="68"/>
      <c r="S950" s="32"/>
      <c r="T950" s="32"/>
      <c r="U950" s="61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23"/>
      <c r="AG950" s="23"/>
      <c r="AH950" s="27"/>
    </row>
    <row r="951" spans="1:34" x14ac:dyDescent="0.25">
      <c r="A951" s="69"/>
      <c r="B951" s="67"/>
      <c r="C951" s="67"/>
      <c r="D951" s="68"/>
      <c r="E951" s="68"/>
      <c r="F951" s="68"/>
      <c r="G951" s="67"/>
      <c r="H951" s="67"/>
      <c r="I951" s="67"/>
      <c r="J951" s="68"/>
      <c r="K951" s="68"/>
      <c r="S951" s="32"/>
      <c r="T951" s="32"/>
      <c r="U951" s="61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23"/>
      <c r="AG951" s="23"/>
      <c r="AH951" s="27"/>
    </row>
    <row r="952" spans="1:34" x14ac:dyDescent="0.25">
      <c r="A952" s="69"/>
      <c r="B952" s="67"/>
      <c r="C952" s="67"/>
      <c r="D952" s="68"/>
      <c r="E952" s="68"/>
      <c r="F952" s="68"/>
      <c r="G952" s="67"/>
      <c r="H952" s="67"/>
      <c r="I952" s="67"/>
      <c r="J952" s="68"/>
      <c r="K952" s="68"/>
      <c r="S952" s="32"/>
      <c r="T952" s="32"/>
      <c r="U952" s="61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23"/>
      <c r="AG952" s="23"/>
      <c r="AH952" s="27"/>
    </row>
    <row r="953" spans="1:34" x14ac:dyDescent="0.25">
      <c r="A953" s="69"/>
      <c r="B953" s="67"/>
      <c r="C953" s="67"/>
      <c r="D953" s="68"/>
      <c r="E953" s="68"/>
      <c r="F953" s="68"/>
      <c r="G953" s="67"/>
      <c r="H953" s="67"/>
      <c r="I953" s="67"/>
      <c r="J953" s="68"/>
      <c r="K953" s="68"/>
      <c r="S953" s="32"/>
      <c r="T953" s="32"/>
      <c r="U953" s="61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23"/>
      <c r="AG953" s="23"/>
      <c r="AH953" s="27"/>
    </row>
    <row r="954" spans="1:34" x14ac:dyDescent="0.25">
      <c r="A954" s="69"/>
      <c r="B954" s="67"/>
      <c r="C954" s="67"/>
      <c r="D954" s="68"/>
      <c r="E954" s="68"/>
      <c r="F954" s="68"/>
      <c r="G954" s="67"/>
      <c r="H954" s="67"/>
      <c r="I954" s="67"/>
      <c r="J954" s="68"/>
      <c r="K954" s="68"/>
      <c r="S954" s="32"/>
      <c r="T954" s="32"/>
      <c r="U954" s="61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23"/>
      <c r="AG954" s="23"/>
      <c r="AH954" s="27"/>
    </row>
    <row r="955" spans="1:34" x14ac:dyDescent="0.25">
      <c r="A955" s="69"/>
      <c r="B955" s="67"/>
      <c r="C955" s="67"/>
      <c r="D955" s="68"/>
      <c r="E955" s="68"/>
      <c r="F955" s="68"/>
      <c r="G955" s="67"/>
      <c r="H955" s="67"/>
      <c r="I955" s="67"/>
      <c r="J955" s="68"/>
      <c r="K955" s="68"/>
      <c r="S955" s="32"/>
      <c r="T955" s="32"/>
      <c r="U955" s="61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23"/>
      <c r="AG955" s="23"/>
      <c r="AH955" s="27"/>
    </row>
    <row r="956" spans="1:34" x14ac:dyDescent="0.25">
      <c r="A956" s="69"/>
      <c r="B956" s="67"/>
      <c r="C956" s="67"/>
      <c r="D956" s="68"/>
      <c r="E956" s="68"/>
      <c r="F956" s="68"/>
      <c r="G956" s="67"/>
      <c r="H956" s="67"/>
      <c r="I956" s="67"/>
      <c r="J956" s="68"/>
      <c r="K956" s="68"/>
      <c r="S956" s="32"/>
      <c r="T956" s="32"/>
      <c r="U956" s="61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23"/>
      <c r="AG956" s="23"/>
      <c r="AH956" s="27"/>
    </row>
    <row r="957" spans="1:34" x14ac:dyDescent="0.25">
      <c r="A957" s="69"/>
      <c r="B957" s="67"/>
      <c r="C957" s="67"/>
      <c r="D957" s="68"/>
      <c r="E957" s="68"/>
      <c r="F957" s="68"/>
      <c r="G957" s="67"/>
      <c r="H957" s="67"/>
      <c r="I957" s="67"/>
      <c r="J957" s="68"/>
      <c r="K957" s="68"/>
      <c r="S957" s="32"/>
      <c r="T957" s="32"/>
      <c r="U957" s="61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23"/>
      <c r="AG957" s="23"/>
      <c r="AH957" s="27"/>
    </row>
    <row r="958" spans="1:34" x14ac:dyDescent="0.25">
      <c r="A958" s="69"/>
      <c r="B958" s="67"/>
      <c r="C958" s="67"/>
      <c r="D958" s="68"/>
      <c r="E958" s="68"/>
      <c r="F958" s="68"/>
      <c r="G958" s="67"/>
      <c r="H958" s="67"/>
      <c r="I958" s="67"/>
      <c r="J958" s="68"/>
      <c r="K958" s="68"/>
      <c r="S958" s="32"/>
      <c r="T958" s="32"/>
      <c r="U958" s="61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23"/>
      <c r="AG958" s="23"/>
      <c r="AH958" s="27"/>
    </row>
    <row r="959" spans="1:34" x14ac:dyDescent="0.25">
      <c r="A959" s="69"/>
      <c r="B959" s="67"/>
      <c r="C959" s="67"/>
      <c r="D959" s="68"/>
      <c r="E959" s="68"/>
      <c r="F959" s="68"/>
      <c r="G959" s="67"/>
      <c r="H959" s="67"/>
      <c r="I959" s="67"/>
      <c r="J959" s="68"/>
      <c r="K959" s="68"/>
      <c r="S959" s="32"/>
      <c r="T959" s="32"/>
      <c r="U959" s="61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23"/>
      <c r="AG959" s="23"/>
      <c r="AH959" s="27"/>
    </row>
    <row r="960" spans="1:34" x14ac:dyDescent="0.25">
      <c r="A960" s="69"/>
      <c r="B960" s="67"/>
      <c r="C960" s="67"/>
      <c r="D960" s="70"/>
      <c r="E960" s="70"/>
      <c r="F960" s="70"/>
      <c r="G960" s="67"/>
      <c r="H960" s="67"/>
      <c r="I960" s="67"/>
      <c r="J960" s="68"/>
      <c r="K960" s="68"/>
      <c r="S960" s="32"/>
      <c r="T960" s="32"/>
      <c r="U960" s="61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23"/>
      <c r="AG960" s="23"/>
      <c r="AH960" s="27"/>
    </row>
    <row r="961" spans="1:34" x14ac:dyDescent="0.25">
      <c r="A961" s="69"/>
      <c r="B961" s="67"/>
      <c r="C961" s="67"/>
      <c r="D961" s="70"/>
      <c r="E961" s="70"/>
      <c r="F961" s="70"/>
      <c r="G961" s="67"/>
      <c r="H961" s="67"/>
      <c r="I961" s="67"/>
      <c r="J961" s="68"/>
      <c r="K961" s="68"/>
      <c r="S961" s="32"/>
      <c r="T961" s="32"/>
      <c r="U961" s="61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23"/>
      <c r="AG961" s="23"/>
      <c r="AH961" s="27"/>
    </row>
    <row r="962" spans="1:34" x14ac:dyDescent="0.25">
      <c r="A962" s="69"/>
      <c r="B962" s="67"/>
      <c r="C962" s="67"/>
      <c r="D962" s="70"/>
      <c r="E962" s="70"/>
      <c r="F962" s="70"/>
      <c r="G962" s="67"/>
      <c r="H962" s="67"/>
      <c r="I962" s="67"/>
      <c r="J962" s="68"/>
      <c r="K962" s="68"/>
      <c r="S962" s="32"/>
      <c r="T962" s="32"/>
      <c r="U962" s="61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23"/>
      <c r="AG962" s="23"/>
      <c r="AH962" s="27"/>
    </row>
    <row r="963" spans="1:34" x14ac:dyDescent="0.25">
      <c r="A963" s="69"/>
      <c r="B963" s="67"/>
      <c r="C963" s="67"/>
      <c r="D963" s="68"/>
      <c r="E963" s="68"/>
      <c r="F963" s="68"/>
      <c r="G963" s="67"/>
      <c r="H963" s="67"/>
      <c r="I963" s="67"/>
      <c r="J963" s="68"/>
      <c r="K963" s="68"/>
      <c r="S963" s="32"/>
      <c r="T963" s="32"/>
      <c r="U963" s="61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23"/>
      <c r="AG963" s="23"/>
      <c r="AH963" s="27"/>
    </row>
    <row r="964" spans="1:34" x14ac:dyDescent="0.25">
      <c r="A964" s="69"/>
      <c r="B964" s="67"/>
      <c r="C964" s="67"/>
      <c r="D964" s="68"/>
      <c r="E964" s="68"/>
      <c r="F964" s="68"/>
      <c r="G964" s="67"/>
      <c r="H964" s="67"/>
      <c r="I964" s="67"/>
      <c r="J964" s="68"/>
      <c r="K964" s="68"/>
      <c r="S964" s="32"/>
      <c r="T964" s="32"/>
      <c r="U964" s="61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23"/>
      <c r="AG964" s="23"/>
      <c r="AH964" s="27"/>
    </row>
    <row r="965" spans="1:34" x14ac:dyDescent="0.25">
      <c r="A965" s="69"/>
      <c r="B965" s="67"/>
      <c r="C965" s="67"/>
      <c r="D965" s="68"/>
      <c r="E965" s="68"/>
      <c r="F965" s="68"/>
      <c r="G965" s="67"/>
      <c r="H965" s="67"/>
      <c r="I965" s="67"/>
      <c r="J965" s="68"/>
      <c r="K965" s="68"/>
      <c r="S965" s="32"/>
      <c r="T965" s="32"/>
      <c r="U965" s="61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23"/>
      <c r="AG965" s="23"/>
      <c r="AH965" s="27"/>
    </row>
    <row r="966" spans="1:34" x14ac:dyDescent="0.25">
      <c r="A966" s="69"/>
      <c r="B966" s="67"/>
      <c r="C966" s="67"/>
      <c r="D966" s="68"/>
      <c r="E966" s="68"/>
      <c r="F966" s="68"/>
      <c r="G966" s="67"/>
      <c r="H966" s="67"/>
      <c r="I966" s="67"/>
      <c r="J966" s="68"/>
      <c r="K966" s="68"/>
      <c r="S966" s="32"/>
      <c r="T966" s="32"/>
      <c r="U966" s="61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23"/>
      <c r="AG966" s="23"/>
      <c r="AH966" s="27"/>
    </row>
    <row r="967" spans="1:34" x14ac:dyDescent="0.25">
      <c r="A967" s="69"/>
      <c r="B967" s="67"/>
      <c r="C967" s="67"/>
      <c r="D967" s="68"/>
      <c r="E967" s="68"/>
      <c r="F967" s="68"/>
      <c r="G967" s="67"/>
      <c r="H967" s="67"/>
      <c r="I967" s="67"/>
      <c r="J967" s="68"/>
      <c r="K967" s="68"/>
      <c r="S967" s="32"/>
      <c r="T967" s="32"/>
      <c r="U967" s="61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23"/>
      <c r="AG967" s="23"/>
      <c r="AH967" s="27"/>
    </row>
    <row r="968" spans="1:34" x14ac:dyDescent="0.25">
      <c r="A968" s="69"/>
      <c r="B968" s="67"/>
      <c r="C968" s="67"/>
      <c r="D968" s="68"/>
      <c r="E968" s="68"/>
      <c r="F968" s="68"/>
      <c r="G968" s="67"/>
      <c r="H968" s="67"/>
      <c r="I968" s="67"/>
      <c r="J968" s="68"/>
      <c r="K968" s="68"/>
      <c r="S968" s="32"/>
      <c r="T968" s="32"/>
      <c r="U968" s="61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23"/>
      <c r="AG968" s="23"/>
      <c r="AH968" s="27"/>
    </row>
    <row r="969" spans="1:34" x14ac:dyDescent="0.25">
      <c r="A969" s="69"/>
      <c r="B969" s="67"/>
      <c r="C969" s="67"/>
      <c r="D969" s="68"/>
      <c r="E969" s="68"/>
      <c r="F969" s="68"/>
      <c r="G969" s="67"/>
      <c r="H969" s="67"/>
      <c r="I969" s="67"/>
      <c r="J969" s="68"/>
      <c r="K969" s="68"/>
      <c r="S969" s="32"/>
      <c r="T969" s="32"/>
      <c r="U969" s="61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23"/>
      <c r="AG969" s="23"/>
      <c r="AH969" s="27"/>
    </row>
    <row r="970" spans="1:34" x14ac:dyDescent="0.25">
      <c r="A970" s="69"/>
      <c r="B970" s="67"/>
      <c r="C970" s="67"/>
      <c r="D970" s="68"/>
      <c r="E970" s="68"/>
      <c r="F970" s="68"/>
      <c r="G970" s="67"/>
      <c r="H970" s="67"/>
      <c r="I970" s="67"/>
      <c r="J970" s="68"/>
      <c r="K970" s="68"/>
      <c r="S970" s="32"/>
      <c r="T970" s="32"/>
      <c r="U970" s="61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23"/>
      <c r="AG970" s="23"/>
      <c r="AH970" s="27"/>
    </row>
    <row r="971" spans="1:34" x14ac:dyDescent="0.25">
      <c r="A971" s="69"/>
      <c r="B971" s="67"/>
      <c r="C971" s="67"/>
      <c r="D971" s="68"/>
      <c r="E971" s="68"/>
      <c r="F971" s="68"/>
      <c r="G971" s="67"/>
      <c r="H971" s="67"/>
      <c r="I971" s="67"/>
      <c r="J971" s="68"/>
      <c r="K971" s="68"/>
      <c r="S971" s="32"/>
      <c r="T971" s="32"/>
      <c r="U971" s="61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23"/>
      <c r="AG971" s="23"/>
      <c r="AH971" s="27"/>
    </row>
    <row r="972" spans="1:34" x14ac:dyDescent="0.25">
      <c r="A972" s="69"/>
      <c r="B972" s="67"/>
      <c r="C972" s="67"/>
      <c r="D972" s="68"/>
      <c r="E972" s="68"/>
      <c r="F972" s="68"/>
      <c r="G972" s="67"/>
      <c r="H972" s="67"/>
      <c r="I972" s="67"/>
      <c r="J972" s="68"/>
      <c r="K972" s="68"/>
      <c r="S972" s="32"/>
      <c r="T972" s="32"/>
      <c r="U972" s="61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23"/>
      <c r="AG972" s="23"/>
      <c r="AH972" s="27"/>
    </row>
    <row r="973" spans="1:34" x14ac:dyDescent="0.25">
      <c r="A973" s="69"/>
      <c r="B973" s="67"/>
      <c r="C973" s="67"/>
      <c r="D973" s="68"/>
      <c r="E973" s="68"/>
      <c r="F973" s="68"/>
      <c r="G973" s="67"/>
      <c r="H973" s="67"/>
      <c r="I973" s="67"/>
      <c r="J973" s="68"/>
      <c r="K973" s="68"/>
      <c r="S973" s="32"/>
      <c r="T973" s="32"/>
      <c r="U973" s="61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23"/>
      <c r="AG973" s="23"/>
      <c r="AH973" s="27"/>
    </row>
    <row r="974" spans="1:34" x14ac:dyDescent="0.25">
      <c r="A974" s="69"/>
      <c r="B974" s="67"/>
      <c r="C974" s="67"/>
      <c r="D974" s="68"/>
      <c r="E974" s="68"/>
      <c r="F974" s="68"/>
      <c r="G974" s="67"/>
      <c r="H974" s="67"/>
      <c r="I974" s="67"/>
      <c r="J974" s="68"/>
      <c r="K974" s="68"/>
      <c r="S974" s="32"/>
      <c r="T974" s="32"/>
      <c r="U974" s="61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23"/>
      <c r="AG974" s="23"/>
      <c r="AH974" s="27"/>
    </row>
    <row r="975" spans="1:34" x14ac:dyDescent="0.25">
      <c r="A975" s="69"/>
      <c r="B975" s="67"/>
      <c r="C975" s="67"/>
      <c r="D975" s="68"/>
      <c r="E975" s="68"/>
      <c r="F975" s="68"/>
      <c r="G975" s="67"/>
      <c r="H975" s="67"/>
      <c r="I975" s="67"/>
      <c r="J975" s="68"/>
      <c r="K975" s="68"/>
      <c r="S975" s="32"/>
      <c r="T975" s="32"/>
      <c r="U975" s="61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23"/>
      <c r="AG975" s="23"/>
      <c r="AH975" s="27"/>
    </row>
    <row r="976" spans="1:34" x14ac:dyDescent="0.25">
      <c r="A976" s="69"/>
      <c r="B976" s="67"/>
      <c r="C976" s="67"/>
      <c r="D976" s="68"/>
      <c r="E976" s="68"/>
      <c r="F976" s="68"/>
      <c r="G976" s="67"/>
      <c r="H976" s="67"/>
      <c r="I976" s="67"/>
      <c r="J976" s="68"/>
      <c r="K976" s="68"/>
      <c r="S976" s="32"/>
      <c r="T976" s="32"/>
      <c r="U976" s="61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23"/>
      <c r="AG976" s="23"/>
      <c r="AH976" s="27"/>
    </row>
    <row r="977" spans="1:34" x14ac:dyDescent="0.25">
      <c r="A977" s="69"/>
      <c r="B977" s="67"/>
      <c r="C977" s="67"/>
      <c r="D977" s="68"/>
      <c r="E977" s="68"/>
      <c r="F977" s="68"/>
      <c r="G977" s="67"/>
      <c r="H977" s="67"/>
      <c r="I977" s="67"/>
      <c r="J977" s="68"/>
      <c r="K977" s="68"/>
      <c r="S977" s="32"/>
      <c r="T977" s="32"/>
      <c r="U977" s="61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23"/>
      <c r="AG977" s="23"/>
      <c r="AH977" s="27"/>
    </row>
    <row r="978" spans="1:34" x14ac:dyDescent="0.25">
      <c r="A978" s="69"/>
      <c r="B978" s="67"/>
      <c r="C978" s="67"/>
      <c r="D978" s="68"/>
      <c r="E978" s="68"/>
      <c r="F978" s="68"/>
      <c r="G978" s="67"/>
      <c r="H978" s="67"/>
      <c r="I978" s="67"/>
      <c r="J978" s="68"/>
      <c r="K978" s="68"/>
      <c r="S978" s="32"/>
      <c r="T978" s="32"/>
      <c r="U978" s="61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23"/>
      <c r="AG978" s="23"/>
      <c r="AH978" s="27"/>
    </row>
    <row r="979" spans="1:34" x14ac:dyDescent="0.25">
      <c r="A979" s="69"/>
      <c r="B979" s="67"/>
      <c r="C979" s="67"/>
      <c r="D979" s="68"/>
      <c r="E979" s="68"/>
      <c r="F979" s="68"/>
      <c r="G979" s="67"/>
      <c r="H979" s="67"/>
      <c r="I979" s="67"/>
      <c r="J979" s="68"/>
      <c r="K979" s="68"/>
      <c r="S979" s="32"/>
      <c r="T979" s="32"/>
      <c r="U979" s="61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23"/>
      <c r="AG979" s="23"/>
      <c r="AH979" s="27"/>
    </row>
    <row r="980" spans="1:34" x14ac:dyDescent="0.25">
      <c r="A980" s="69"/>
      <c r="B980" s="67"/>
      <c r="C980" s="67"/>
      <c r="D980" s="68"/>
      <c r="E980" s="68"/>
      <c r="F980" s="68"/>
      <c r="G980" s="67"/>
      <c r="H980" s="67"/>
      <c r="I980" s="67"/>
      <c r="J980" s="68"/>
      <c r="K980" s="68"/>
      <c r="S980" s="32"/>
      <c r="T980" s="32"/>
      <c r="U980" s="61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23"/>
      <c r="AG980" s="23"/>
      <c r="AH980" s="27"/>
    </row>
    <row r="981" spans="1:34" x14ac:dyDescent="0.25">
      <c r="A981" s="69"/>
      <c r="B981" s="67"/>
      <c r="C981" s="67"/>
      <c r="D981" s="68"/>
      <c r="E981" s="68"/>
      <c r="F981" s="68"/>
      <c r="G981" s="67"/>
      <c r="H981" s="67"/>
      <c r="I981" s="67"/>
      <c r="J981" s="68"/>
      <c r="K981" s="68"/>
      <c r="S981" s="32"/>
      <c r="T981" s="32"/>
      <c r="U981" s="61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23"/>
      <c r="AG981" s="23"/>
      <c r="AH981" s="27"/>
    </row>
    <row r="982" spans="1:34" x14ac:dyDescent="0.25">
      <c r="A982" s="69"/>
      <c r="B982" s="67"/>
      <c r="C982" s="67"/>
      <c r="D982" s="68"/>
      <c r="E982" s="68"/>
      <c r="F982" s="68"/>
      <c r="G982" s="67"/>
      <c r="H982" s="67"/>
      <c r="I982" s="67"/>
      <c r="J982" s="68"/>
      <c r="K982" s="68"/>
      <c r="S982" s="32"/>
      <c r="T982" s="32"/>
      <c r="U982" s="61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23"/>
      <c r="AG982" s="23"/>
      <c r="AH982" s="27"/>
    </row>
    <row r="983" spans="1:34" x14ac:dyDescent="0.25">
      <c r="A983" s="69"/>
      <c r="B983" s="67"/>
      <c r="C983" s="67"/>
      <c r="D983" s="68"/>
      <c r="E983" s="68"/>
      <c r="F983" s="68"/>
      <c r="G983" s="67"/>
      <c r="H983" s="67"/>
      <c r="I983" s="67"/>
      <c r="J983" s="68"/>
      <c r="K983" s="68"/>
      <c r="S983" s="32"/>
      <c r="T983" s="32"/>
      <c r="U983" s="61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23"/>
      <c r="AG983" s="23"/>
      <c r="AH983" s="27"/>
    </row>
    <row r="984" spans="1:34" x14ac:dyDescent="0.25">
      <c r="A984" s="69"/>
      <c r="B984" s="67"/>
      <c r="C984" s="67"/>
      <c r="D984" s="70"/>
      <c r="E984" s="70"/>
      <c r="F984" s="70"/>
      <c r="G984" s="67"/>
      <c r="H984" s="67"/>
      <c r="I984" s="67"/>
      <c r="J984" s="68"/>
      <c r="K984" s="68"/>
      <c r="S984" s="32"/>
      <c r="T984" s="32"/>
      <c r="U984" s="61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23"/>
      <c r="AG984" s="23"/>
      <c r="AH984" s="27"/>
    </row>
    <row r="985" spans="1:34" x14ac:dyDescent="0.25">
      <c r="A985" s="69"/>
      <c r="B985" s="67"/>
      <c r="C985" s="67"/>
      <c r="D985" s="70"/>
      <c r="E985" s="70"/>
      <c r="F985" s="70"/>
      <c r="G985" s="67"/>
      <c r="H985" s="67"/>
      <c r="I985" s="67"/>
      <c r="J985" s="68"/>
      <c r="K985" s="68"/>
      <c r="S985" s="32"/>
      <c r="T985" s="32"/>
      <c r="U985" s="61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23"/>
      <c r="AG985" s="23"/>
      <c r="AH985" s="27"/>
    </row>
    <row r="986" spans="1:34" x14ac:dyDescent="0.25">
      <c r="A986" s="69"/>
      <c r="B986" s="67"/>
      <c r="C986" s="67"/>
      <c r="D986" s="70"/>
      <c r="E986" s="70"/>
      <c r="F986" s="70"/>
      <c r="G986" s="67"/>
      <c r="H986" s="67"/>
      <c r="I986" s="67"/>
      <c r="J986" s="68"/>
      <c r="K986" s="68"/>
      <c r="S986" s="32"/>
      <c r="T986" s="32"/>
      <c r="U986" s="61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23"/>
      <c r="AG986" s="23"/>
      <c r="AH986" s="27"/>
    </row>
    <row r="987" spans="1:34" x14ac:dyDescent="0.25">
      <c r="A987" s="69"/>
      <c r="B987" s="67"/>
      <c r="C987" s="67"/>
      <c r="D987" s="68"/>
      <c r="E987" s="68"/>
      <c r="F987" s="68"/>
      <c r="G987" s="67"/>
      <c r="H987" s="67"/>
      <c r="I987" s="67"/>
      <c r="J987" s="68"/>
      <c r="K987" s="68"/>
      <c r="S987" s="32"/>
      <c r="T987" s="32"/>
      <c r="U987" s="61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23"/>
      <c r="AG987" s="23"/>
      <c r="AH987" s="27"/>
    </row>
    <row r="988" spans="1:34" x14ac:dyDescent="0.25">
      <c r="A988" s="69"/>
      <c r="B988" s="67"/>
      <c r="C988" s="67"/>
      <c r="D988" s="68"/>
      <c r="E988" s="68"/>
      <c r="F988" s="68"/>
      <c r="G988" s="67"/>
      <c r="H988" s="67"/>
      <c r="I988" s="67"/>
      <c r="J988" s="68"/>
      <c r="K988" s="68"/>
      <c r="S988" s="32"/>
      <c r="T988" s="32"/>
      <c r="U988" s="61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23"/>
      <c r="AG988" s="23"/>
      <c r="AH988" s="27"/>
    </row>
    <row r="989" spans="1:34" x14ac:dyDescent="0.25">
      <c r="A989" s="69"/>
      <c r="B989" s="67"/>
      <c r="C989" s="67"/>
      <c r="D989" s="68"/>
      <c r="E989" s="68"/>
      <c r="F989" s="68"/>
      <c r="G989" s="67"/>
      <c r="H989" s="67"/>
      <c r="I989" s="67"/>
      <c r="J989" s="68"/>
      <c r="K989" s="68"/>
      <c r="S989" s="32"/>
      <c r="T989" s="32"/>
      <c r="U989" s="61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23"/>
      <c r="AG989" s="23"/>
      <c r="AH989" s="27"/>
    </row>
    <row r="990" spans="1:34" x14ac:dyDescent="0.25">
      <c r="A990" s="69"/>
      <c r="B990" s="67"/>
      <c r="C990" s="67"/>
      <c r="D990" s="68"/>
      <c r="E990" s="68"/>
      <c r="F990" s="68"/>
      <c r="G990" s="67"/>
      <c r="H990" s="67"/>
      <c r="I990" s="67"/>
      <c r="J990" s="68"/>
      <c r="K990" s="68"/>
      <c r="S990" s="32"/>
      <c r="T990" s="32"/>
      <c r="U990" s="61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23"/>
      <c r="AG990" s="23"/>
      <c r="AH990" s="27"/>
    </row>
    <row r="991" spans="1:34" x14ac:dyDescent="0.25">
      <c r="A991" s="69"/>
      <c r="B991" s="67"/>
      <c r="C991" s="67"/>
      <c r="D991" s="68"/>
      <c r="E991" s="68"/>
      <c r="F991" s="68"/>
      <c r="G991" s="67"/>
      <c r="H991" s="67"/>
      <c r="I991" s="67"/>
      <c r="J991" s="68"/>
      <c r="K991" s="68"/>
      <c r="S991" s="32"/>
      <c r="T991" s="32"/>
      <c r="U991" s="61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23"/>
      <c r="AG991" s="23"/>
      <c r="AH991" s="27"/>
    </row>
    <row r="992" spans="1:34" x14ac:dyDescent="0.25">
      <c r="A992" s="69"/>
      <c r="B992" s="67"/>
      <c r="C992" s="67"/>
      <c r="D992" s="68"/>
      <c r="E992" s="68"/>
      <c r="F992" s="68"/>
      <c r="G992" s="67"/>
      <c r="H992" s="67"/>
      <c r="I992" s="67"/>
      <c r="J992" s="68"/>
      <c r="K992" s="68"/>
      <c r="S992" s="32"/>
      <c r="T992" s="32"/>
      <c r="U992" s="61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23"/>
      <c r="AG992" s="23"/>
      <c r="AH992" s="27"/>
    </row>
    <row r="993" spans="1:34" x14ac:dyDescent="0.25">
      <c r="A993" s="69"/>
      <c r="B993" s="67"/>
      <c r="C993" s="67"/>
      <c r="D993" s="68"/>
      <c r="E993" s="68"/>
      <c r="F993" s="68"/>
      <c r="G993" s="67"/>
      <c r="H993" s="67"/>
      <c r="I993" s="67"/>
      <c r="J993" s="68"/>
      <c r="K993" s="68"/>
      <c r="S993" s="32"/>
      <c r="T993" s="32"/>
      <c r="U993" s="61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23"/>
      <c r="AG993" s="23"/>
      <c r="AH993" s="27"/>
    </row>
    <row r="994" spans="1:34" x14ac:dyDescent="0.25">
      <c r="A994" s="69"/>
      <c r="B994" s="67"/>
      <c r="C994" s="67"/>
      <c r="D994" s="68"/>
      <c r="E994" s="68"/>
      <c r="F994" s="68"/>
      <c r="G994" s="67"/>
      <c r="H994" s="67"/>
      <c r="I994" s="67"/>
      <c r="J994" s="68"/>
      <c r="K994" s="68"/>
      <c r="S994" s="32"/>
      <c r="T994" s="32"/>
      <c r="U994" s="61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23"/>
      <c r="AG994" s="23"/>
      <c r="AH994" s="27"/>
    </row>
    <row r="995" spans="1:34" x14ac:dyDescent="0.25">
      <c r="A995" s="69"/>
      <c r="B995" s="67"/>
      <c r="C995" s="67"/>
      <c r="D995" s="68"/>
      <c r="E995" s="68"/>
      <c r="F995" s="68"/>
      <c r="G995" s="67"/>
      <c r="H995" s="67"/>
      <c r="I995" s="67"/>
      <c r="J995" s="68"/>
      <c r="K995" s="68"/>
      <c r="S995" s="32"/>
      <c r="T995" s="32"/>
      <c r="U995" s="61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23"/>
      <c r="AG995" s="23"/>
      <c r="AH995" s="27"/>
    </row>
    <row r="996" spans="1:34" x14ac:dyDescent="0.25">
      <c r="A996" s="69"/>
      <c r="B996" s="67"/>
      <c r="C996" s="67"/>
      <c r="D996" s="68"/>
      <c r="E996" s="68"/>
      <c r="F996" s="68"/>
      <c r="G996" s="67"/>
      <c r="H996" s="67"/>
      <c r="I996" s="67"/>
      <c r="J996" s="68"/>
      <c r="K996" s="68"/>
      <c r="S996" s="32"/>
      <c r="T996" s="32"/>
      <c r="U996" s="61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23"/>
      <c r="AG996" s="23"/>
      <c r="AH996" s="27"/>
    </row>
    <row r="997" spans="1:34" x14ac:dyDescent="0.25">
      <c r="A997" s="69"/>
      <c r="B997" s="67"/>
      <c r="C997" s="67"/>
      <c r="D997" s="68"/>
      <c r="E997" s="68"/>
      <c r="F997" s="68"/>
      <c r="G997" s="67"/>
      <c r="H997" s="67"/>
      <c r="I997" s="67"/>
      <c r="J997" s="68"/>
      <c r="K997" s="68"/>
      <c r="S997" s="32"/>
      <c r="T997" s="32"/>
      <c r="U997" s="61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23"/>
      <c r="AG997" s="23"/>
      <c r="AH997" s="27"/>
    </row>
    <row r="998" spans="1:34" x14ac:dyDescent="0.25">
      <c r="A998" s="69"/>
      <c r="B998" s="67"/>
      <c r="C998" s="67"/>
      <c r="D998" s="68"/>
      <c r="E998" s="68"/>
      <c r="F998" s="68"/>
      <c r="G998" s="67"/>
      <c r="H998" s="67"/>
      <c r="I998" s="67"/>
      <c r="J998" s="68"/>
      <c r="K998" s="68"/>
      <c r="S998" s="32"/>
      <c r="T998" s="32"/>
      <c r="U998" s="61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23"/>
      <c r="AG998" s="23"/>
      <c r="AH998" s="27"/>
    </row>
    <row r="999" spans="1:34" x14ac:dyDescent="0.25">
      <c r="A999" s="69"/>
      <c r="B999" s="67"/>
      <c r="C999" s="67"/>
      <c r="D999" s="68"/>
      <c r="E999" s="68"/>
      <c r="F999" s="68"/>
      <c r="G999" s="67"/>
      <c r="H999" s="67"/>
      <c r="I999" s="67"/>
      <c r="J999" s="68"/>
      <c r="K999" s="68"/>
      <c r="S999" s="32"/>
      <c r="T999" s="32"/>
      <c r="U999" s="61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23"/>
      <c r="AG999" s="23"/>
      <c r="AH999" s="27"/>
    </row>
    <row r="1000" spans="1:34" x14ac:dyDescent="0.25">
      <c r="A1000" s="69"/>
      <c r="B1000" s="67"/>
      <c r="C1000" s="67"/>
      <c r="D1000" s="68"/>
      <c r="E1000" s="68"/>
      <c r="F1000" s="68"/>
      <c r="G1000" s="67"/>
      <c r="H1000" s="67"/>
      <c r="I1000" s="67"/>
      <c r="J1000" s="68"/>
      <c r="K1000" s="68"/>
      <c r="S1000" s="32"/>
      <c r="T1000" s="32"/>
      <c r="U1000" s="61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23"/>
      <c r="AG1000" s="23"/>
      <c r="AH1000" s="27"/>
    </row>
    <row r="1001" spans="1:34" x14ac:dyDescent="0.25">
      <c r="A1001" s="69"/>
      <c r="B1001" s="67"/>
      <c r="C1001" s="67"/>
      <c r="D1001" s="68"/>
      <c r="E1001" s="68"/>
      <c r="F1001" s="68"/>
      <c r="G1001" s="67"/>
      <c r="H1001" s="67"/>
      <c r="I1001" s="67"/>
      <c r="J1001" s="68"/>
      <c r="K1001" s="68"/>
      <c r="S1001" s="32"/>
      <c r="T1001" s="32"/>
      <c r="U1001" s="61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23"/>
      <c r="AG1001" s="23"/>
      <c r="AH1001" s="27"/>
    </row>
    <row r="1002" spans="1:34" x14ac:dyDescent="0.25">
      <c r="A1002" s="69"/>
      <c r="B1002" s="67"/>
      <c r="C1002" s="67"/>
      <c r="D1002" s="68"/>
      <c r="E1002" s="68"/>
      <c r="F1002" s="68"/>
      <c r="G1002" s="67"/>
      <c r="H1002" s="67"/>
      <c r="I1002" s="67"/>
      <c r="J1002" s="68"/>
      <c r="K1002" s="68"/>
      <c r="S1002" s="32"/>
      <c r="T1002" s="32"/>
      <c r="U1002" s="61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23"/>
      <c r="AG1002" s="23"/>
      <c r="AH1002" s="27"/>
    </row>
    <row r="1003" spans="1:34" x14ac:dyDescent="0.25">
      <c r="A1003" s="69"/>
      <c r="B1003" s="67"/>
      <c r="C1003" s="67"/>
      <c r="D1003" s="68"/>
      <c r="E1003" s="68"/>
      <c r="F1003" s="68"/>
      <c r="G1003" s="67"/>
      <c r="H1003" s="67"/>
      <c r="I1003" s="67"/>
      <c r="J1003" s="68"/>
      <c r="K1003" s="68"/>
      <c r="S1003" s="32"/>
      <c r="T1003" s="32"/>
      <c r="U1003" s="61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23"/>
      <c r="AG1003" s="23"/>
      <c r="AH1003" s="27"/>
    </row>
    <row r="1004" spans="1:34" x14ac:dyDescent="0.25">
      <c r="A1004" s="69"/>
      <c r="B1004" s="67"/>
      <c r="C1004" s="67"/>
      <c r="D1004" s="68"/>
      <c r="E1004" s="68"/>
      <c r="F1004" s="68"/>
      <c r="G1004" s="67"/>
      <c r="H1004" s="67"/>
      <c r="I1004" s="67"/>
      <c r="J1004" s="68"/>
      <c r="K1004" s="68"/>
      <c r="S1004" s="32"/>
      <c r="T1004" s="32"/>
      <c r="U1004" s="61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23"/>
      <c r="AG1004" s="23"/>
      <c r="AH1004" s="27"/>
    </row>
    <row r="1005" spans="1:34" x14ac:dyDescent="0.25">
      <c r="A1005" s="69"/>
      <c r="B1005" s="67"/>
      <c r="C1005" s="67"/>
      <c r="D1005" s="68"/>
      <c r="E1005" s="68"/>
      <c r="F1005" s="68"/>
      <c r="G1005" s="67"/>
      <c r="H1005" s="67"/>
      <c r="I1005" s="67"/>
      <c r="J1005" s="68"/>
      <c r="K1005" s="68"/>
      <c r="S1005" s="32"/>
      <c r="T1005" s="32"/>
      <c r="U1005" s="61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23"/>
      <c r="AG1005" s="23"/>
      <c r="AH1005" s="27"/>
    </row>
    <row r="1006" spans="1:34" x14ac:dyDescent="0.25">
      <c r="A1006" s="69"/>
      <c r="B1006" s="67"/>
      <c r="C1006" s="67"/>
      <c r="D1006" s="68"/>
      <c r="E1006" s="68"/>
      <c r="F1006" s="68"/>
      <c r="G1006" s="67"/>
      <c r="H1006" s="67"/>
      <c r="I1006" s="67"/>
      <c r="J1006" s="68"/>
      <c r="K1006" s="68"/>
      <c r="S1006" s="32"/>
      <c r="T1006" s="32"/>
      <c r="U1006" s="61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23"/>
      <c r="AG1006" s="23"/>
      <c r="AH1006" s="27"/>
    </row>
    <row r="1007" spans="1:34" x14ac:dyDescent="0.25">
      <c r="A1007" s="69"/>
      <c r="B1007" s="67"/>
      <c r="C1007" s="67"/>
      <c r="D1007" s="68"/>
      <c r="E1007" s="68"/>
      <c r="F1007" s="68"/>
      <c r="G1007" s="67"/>
      <c r="H1007" s="67"/>
      <c r="I1007" s="67"/>
      <c r="J1007" s="68"/>
      <c r="K1007" s="68"/>
      <c r="S1007" s="32"/>
      <c r="T1007" s="32"/>
      <c r="U1007" s="61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23"/>
      <c r="AG1007" s="23"/>
      <c r="AH1007" s="27"/>
    </row>
    <row r="1008" spans="1:34" x14ac:dyDescent="0.25">
      <c r="A1008" s="69"/>
      <c r="B1008" s="67"/>
      <c r="C1008" s="67"/>
      <c r="D1008" s="70"/>
      <c r="E1008" s="70"/>
      <c r="F1008" s="70"/>
      <c r="G1008" s="67"/>
      <c r="H1008" s="67"/>
      <c r="I1008" s="67"/>
      <c r="J1008" s="68"/>
      <c r="K1008" s="68"/>
      <c r="S1008" s="32"/>
      <c r="T1008" s="32"/>
      <c r="U1008" s="61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23"/>
      <c r="AG1008" s="23"/>
      <c r="AH1008" s="27"/>
    </row>
    <row r="1009" spans="1:34" x14ac:dyDescent="0.25">
      <c r="A1009" s="69"/>
      <c r="B1009" s="67"/>
      <c r="C1009" s="67"/>
      <c r="D1009" s="70"/>
      <c r="E1009" s="70"/>
      <c r="F1009" s="70"/>
      <c r="G1009" s="67"/>
      <c r="H1009" s="67"/>
      <c r="I1009" s="67"/>
      <c r="J1009" s="68"/>
      <c r="K1009" s="68"/>
      <c r="S1009" s="32"/>
      <c r="T1009" s="32"/>
      <c r="U1009" s="61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23"/>
      <c r="AG1009" s="23"/>
      <c r="AH1009" s="27"/>
    </row>
    <row r="1010" spans="1:34" x14ac:dyDescent="0.25">
      <c r="A1010" s="69"/>
      <c r="B1010" s="67"/>
      <c r="C1010" s="67"/>
      <c r="D1010" s="70"/>
      <c r="E1010" s="70"/>
      <c r="F1010" s="70"/>
      <c r="G1010" s="67"/>
      <c r="H1010" s="67"/>
      <c r="I1010" s="67"/>
      <c r="J1010" s="68"/>
      <c r="K1010" s="68"/>
      <c r="S1010" s="32"/>
      <c r="T1010" s="32"/>
      <c r="U1010" s="61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23"/>
      <c r="AG1010" s="23"/>
      <c r="AH1010" s="27"/>
    </row>
    <row r="1011" spans="1:34" x14ac:dyDescent="0.25">
      <c r="A1011" s="69"/>
      <c r="B1011" s="67"/>
      <c r="C1011" s="67"/>
      <c r="D1011" s="68"/>
      <c r="E1011" s="68"/>
      <c r="F1011" s="68"/>
      <c r="G1011" s="67"/>
      <c r="H1011" s="67"/>
      <c r="I1011" s="67"/>
      <c r="J1011" s="68"/>
      <c r="K1011" s="68"/>
      <c r="S1011" s="32"/>
      <c r="T1011" s="32"/>
      <c r="U1011" s="61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23"/>
      <c r="AG1011" s="23"/>
      <c r="AH1011" s="27"/>
    </row>
    <row r="1012" spans="1:34" x14ac:dyDescent="0.25">
      <c r="A1012" s="69"/>
      <c r="B1012" s="67"/>
      <c r="C1012" s="67"/>
      <c r="D1012" s="68"/>
      <c r="E1012" s="68"/>
      <c r="F1012" s="68"/>
      <c r="G1012" s="67"/>
      <c r="H1012" s="67"/>
      <c r="I1012" s="67"/>
      <c r="J1012" s="68"/>
      <c r="K1012" s="68"/>
      <c r="S1012" s="32"/>
      <c r="T1012" s="32"/>
      <c r="U1012" s="61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23"/>
      <c r="AG1012" s="23"/>
      <c r="AH1012" s="27"/>
    </row>
    <row r="1013" spans="1:34" x14ac:dyDescent="0.25">
      <c r="A1013" s="69"/>
      <c r="B1013" s="67"/>
      <c r="C1013" s="67"/>
      <c r="D1013" s="68"/>
      <c r="E1013" s="68"/>
      <c r="F1013" s="68"/>
      <c r="G1013" s="67"/>
      <c r="H1013" s="67"/>
      <c r="I1013" s="67"/>
      <c r="J1013" s="68"/>
      <c r="K1013" s="68"/>
      <c r="S1013" s="32"/>
      <c r="T1013" s="32"/>
      <c r="U1013" s="61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23"/>
      <c r="AG1013" s="23"/>
      <c r="AH1013" s="27"/>
    </row>
    <row r="1014" spans="1:34" x14ac:dyDescent="0.25">
      <c r="A1014" s="69"/>
      <c r="B1014" s="67"/>
      <c r="C1014" s="67"/>
      <c r="D1014" s="68"/>
      <c r="E1014" s="68"/>
      <c r="F1014" s="68"/>
      <c r="G1014" s="67"/>
      <c r="H1014" s="67"/>
      <c r="I1014" s="67"/>
      <c r="J1014" s="68"/>
      <c r="K1014" s="68"/>
      <c r="S1014" s="32"/>
      <c r="T1014" s="32"/>
      <c r="U1014" s="61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23"/>
      <c r="AG1014" s="23"/>
      <c r="AH1014" s="27"/>
    </row>
    <row r="1015" spans="1:34" x14ac:dyDescent="0.25">
      <c r="A1015" s="69"/>
      <c r="B1015" s="67"/>
      <c r="C1015" s="67"/>
      <c r="D1015" s="68"/>
      <c r="E1015" s="68"/>
      <c r="F1015" s="68"/>
      <c r="G1015" s="67"/>
      <c r="H1015" s="67"/>
      <c r="I1015" s="67"/>
      <c r="J1015" s="68"/>
      <c r="K1015" s="68"/>
      <c r="S1015" s="32"/>
      <c r="T1015" s="32"/>
      <c r="U1015" s="61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23"/>
      <c r="AG1015" s="23"/>
      <c r="AH1015" s="27"/>
    </row>
    <row r="1016" spans="1:34" x14ac:dyDescent="0.25">
      <c r="A1016" s="69"/>
      <c r="B1016" s="67"/>
      <c r="C1016" s="67"/>
      <c r="D1016" s="68"/>
      <c r="E1016" s="68"/>
      <c r="F1016" s="68"/>
      <c r="G1016" s="67"/>
      <c r="H1016" s="67"/>
      <c r="I1016" s="67"/>
      <c r="J1016" s="68"/>
      <c r="K1016" s="68"/>
      <c r="S1016" s="32"/>
      <c r="T1016" s="32"/>
      <c r="U1016" s="61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23"/>
      <c r="AG1016" s="23"/>
      <c r="AH1016" s="27"/>
    </row>
    <row r="1017" spans="1:34" x14ac:dyDescent="0.25">
      <c r="A1017" s="69"/>
      <c r="B1017" s="67"/>
      <c r="C1017" s="67"/>
      <c r="D1017" s="68"/>
      <c r="E1017" s="68"/>
      <c r="F1017" s="68"/>
      <c r="G1017" s="67"/>
      <c r="H1017" s="67"/>
      <c r="I1017" s="67"/>
      <c r="J1017" s="68"/>
      <c r="K1017" s="68"/>
      <c r="S1017" s="32"/>
      <c r="T1017" s="32"/>
      <c r="U1017" s="61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23"/>
      <c r="AG1017" s="23"/>
      <c r="AH1017" s="27"/>
    </row>
    <row r="1018" spans="1:34" x14ac:dyDescent="0.25">
      <c r="A1018" s="69"/>
      <c r="B1018" s="67"/>
      <c r="C1018" s="67"/>
      <c r="D1018" s="68"/>
      <c r="E1018" s="68"/>
      <c r="F1018" s="68"/>
      <c r="G1018" s="67"/>
      <c r="H1018" s="67"/>
      <c r="I1018" s="67"/>
      <c r="J1018" s="68"/>
      <c r="K1018" s="68"/>
      <c r="S1018" s="32"/>
      <c r="T1018" s="32"/>
      <c r="U1018" s="61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23"/>
      <c r="AG1018" s="23"/>
      <c r="AH1018" s="27"/>
    </row>
    <row r="1019" spans="1:34" x14ac:dyDescent="0.25">
      <c r="A1019" s="69"/>
      <c r="B1019" s="67"/>
      <c r="C1019" s="67"/>
      <c r="D1019" s="68"/>
      <c r="E1019" s="68"/>
      <c r="F1019" s="68"/>
      <c r="G1019" s="67"/>
      <c r="H1019" s="67"/>
      <c r="I1019" s="67"/>
      <c r="J1019" s="68"/>
      <c r="K1019" s="68"/>
      <c r="S1019" s="32"/>
      <c r="T1019" s="32"/>
      <c r="U1019" s="61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23"/>
      <c r="AG1019" s="23"/>
      <c r="AH1019" s="27"/>
    </row>
    <row r="1020" spans="1:34" x14ac:dyDescent="0.25">
      <c r="A1020" s="69"/>
      <c r="B1020" s="67"/>
      <c r="C1020" s="67"/>
      <c r="D1020" s="68"/>
      <c r="E1020" s="68"/>
      <c r="F1020" s="68"/>
      <c r="G1020" s="67"/>
      <c r="H1020" s="67"/>
      <c r="I1020" s="67"/>
      <c r="J1020" s="68"/>
      <c r="K1020" s="68"/>
      <c r="S1020" s="32"/>
      <c r="T1020" s="32"/>
      <c r="U1020" s="61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23"/>
      <c r="AG1020" s="23"/>
      <c r="AH1020" s="27"/>
    </row>
    <row r="1021" spans="1:34" x14ac:dyDescent="0.25">
      <c r="A1021" s="69"/>
      <c r="B1021" s="67"/>
      <c r="C1021" s="67"/>
      <c r="D1021" s="68"/>
      <c r="E1021" s="68"/>
      <c r="F1021" s="68"/>
      <c r="G1021" s="67"/>
      <c r="H1021" s="67"/>
      <c r="I1021" s="67"/>
      <c r="J1021" s="68"/>
      <c r="K1021" s="68"/>
      <c r="S1021" s="32"/>
      <c r="T1021" s="32"/>
      <c r="U1021" s="61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23"/>
      <c r="AG1021" s="23"/>
      <c r="AH1021" s="27"/>
    </row>
    <row r="1022" spans="1:34" x14ac:dyDescent="0.25">
      <c r="A1022" s="69"/>
      <c r="B1022" s="67"/>
      <c r="C1022" s="67"/>
      <c r="D1022" s="68"/>
      <c r="E1022" s="68"/>
      <c r="F1022" s="68"/>
      <c r="G1022" s="67"/>
      <c r="H1022" s="67"/>
      <c r="I1022" s="67"/>
      <c r="J1022" s="68"/>
      <c r="K1022" s="68"/>
      <c r="S1022" s="32"/>
      <c r="T1022" s="32"/>
      <c r="U1022" s="61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23"/>
      <c r="AG1022" s="23"/>
      <c r="AH1022" s="27"/>
    </row>
    <row r="1023" spans="1:34" x14ac:dyDescent="0.25">
      <c r="A1023" s="69"/>
      <c r="B1023" s="67"/>
      <c r="C1023" s="67"/>
      <c r="D1023" s="68"/>
      <c r="E1023" s="68"/>
      <c r="F1023" s="68"/>
      <c r="G1023" s="67"/>
      <c r="H1023" s="67"/>
      <c r="I1023" s="67"/>
      <c r="J1023" s="68"/>
      <c r="K1023" s="68"/>
      <c r="S1023" s="32"/>
      <c r="T1023" s="32"/>
      <c r="U1023" s="61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23"/>
      <c r="AG1023" s="23"/>
      <c r="AH1023" s="27"/>
    </row>
    <row r="1024" spans="1:34" x14ac:dyDescent="0.25">
      <c r="A1024" s="69"/>
      <c r="B1024" s="67"/>
      <c r="C1024" s="67"/>
      <c r="D1024" s="68"/>
      <c r="E1024" s="68"/>
      <c r="F1024" s="68"/>
      <c r="G1024" s="67"/>
      <c r="H1024" s="67"/>
      <c r="I1024" s="67"/>
      <c r="J1024" s="68"/>
      <c r="K1024" s="68"/>
      <c r="S1024" s="32"/>
      <c r="T1024" s="32"/>
      <c r="U1024" s="61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23"/>
      <c r="AG1024" s="23"/>
      <c r="AH1024" s="27"/>
    </row>
    <row r="1025" spans="1:34" x14ac:dyDescent="0.25">
      <c r="A1025" s="69"/>
      <c r="B1025" s="67"/>
      <c r="C1025" s="67"/>
      <c r="D1025" s="68"/>
      <c r="E1025" s="68"/>
      <c r="F1025" s="68"/>
      <c r="G1025" s="67"/>
      <c r="H1025" s="67"/>
      <c r="I1025" s="67"/>
      <c r="J1025" s="68"/>
      <c r="K1025" s="68"/>
      <c r="S1025" s="32"/>
      <c r="T1025" s="32"/>
      <c r="U1025" s="61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23"/>
      <c r="AG1025" s="23"/>
      <c r="AH1025" s="27"/>
    </row>
    <row r="1026" spans="1:34" x14ac:dyDescent="0.25">
      <c r="A1026" s="69"/>
      <c r="B1026" s="67"/>
      <c r="C1026" s="67"/>
      <c r="D1026" s="68"/>
      <c r="E1026" s="68"/>
      <c r="F1026" s="68"/>
      <c r="G1026" s="67"/>
      <c r="H1026" s="67"/>
      <c r="I1026" s="67"/>
      <c r="J1026" s="68"/>
      <c r="K1026" s="68"/>
      <c r="S1026" s="32"/>
      <c r="T1026" s="32"/>
      <c r="U1026" s="61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23"/>
      <c r="AG1026" s="23"/>
      <c r="AH1026" s="27"/>
    </row>
    <row r="1027" spans="1:34" x14ac:dyDescent="0.25">
      <c r="A1027" s="69"/>
      <c r="B1027" s="67"/>
      <c r="C1027" s="67"/>
      <c r="D1027" s="68"/>
      <c r="E1027" s="68"/>
      <c r="F1027" s="68"/>
      <c r="G1027" s="67"/>
      <c r="H1027" s="67"/>
      <c r="I1027" s="67"/>
      <c r="J1027" s="68"/>
      <c r="K1027" s="68"/>
      <c r="S1027" s="32"/>
      <c r="T1027" s="32"/>
      <c r="U1027" s="61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23"/>
      <c r="AG1027" s="23"/>
      <c r="AH1027" s="27"/>
    </row>
    <row r="1028" spans="1:34" x14ac:dyDescent="0.25">
      <c r="A1028" s="69"/>
      <c r="B1028" s="67"/>
      <c r="C1028" s="67"/>
      <c r="D1028" s="68"/>
      <c r="E1028" s="68"/>
      <c r="F1028" s="68"/>
      <c r="G1028" s="67"/>
      <c r="H1028" s="67"/>
      <c r="I1028" s="67"/>
      <c r="J1028" s="68"/>
      <c r="K1028" s="68"/>
      <c r="S1028" s="32"/>
      <c r="T1028" s="32"/>
      <c r="U1028" s="61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23"/>
      <c r="AG1028" s="23"/>
      <c r="AH1028" s="27"/>
    </row>
    <row r="1029" spans="1:34" x14ac:dyDescent="0.25">
      <c r="A1029" s="69"/>
      <c r="B1029" s="67"/>
      <c r="C1029" s="67"/>
      <c r="D1029" s="68"/>
      <c r="E1029" s="68"/>
      <c r="F1029" s="68"/>
      <c r="G1029" s="67"/>
      <c r="H1029" s="67"/>
      <c r="I1029" s="67"/>
      <c r="J1029" s="68"/>
      <c r="K1029" s="68"/>
      <c r="S1029" s="32"/>
      <c r="T1029" s="32"/>
      <c r="U1029" s="61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23"/>
      <c r="AG1029" s="23"/>
      <c r="AH1029" s="27"/>
    </row>
    <row r="1030" spans="1:34" x14ac:dyDescent="0.25">
      <c r="A1030" s="69"/>
      <c r="B1030" s="67"/>
      <c r="C1030" s="67"/>
      <c r="D1030" s="68"/>
      <c r="E1030" s="68"/>
      <c r="F1030" s="68"/>
      <c r="G1030" s="67"/>
      <c r="H1030" s="67"/>
      <c r="I1030" s="67"/>
      <c r="J1030" s="68"/>
      <c r="K1030" s="68"/>
      <c r="S1030" s="32"/>
      <c r="T1030" s="32"/>
      <c r="U1030" s="61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23"/>
      <c r="AG1030" s="23"/>
      <c r="AH1030" s="27"/>
    </row>
    <row r="1031" spans="1:34" x14ac:dyDescent="0.25">
      <c r="A1031" s="69"/>
      <c r="B1031" s="67"/>
      <c r="C1031" s="67"/>
      <c r="D1031" s="68"/>
      <c r="E1031" s="68"/>
      <c r="F1031" s="68"/>
      <c r="G1031" s="67"/>
      <c r="H1031" s="67"/>
      <c r="I1031" s="67"/>
      <c r="J1031" s="68"/>
      <c r="K1031" s="68"/>
      <c r="S1031" s="32"/>
      <c r="T1031" s="32"/>
      <c r="U1031" s="61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23"/>
      <c r="AG1031" s="23"/>
      <c r="AH1031" s="27"/>
    </row>
    <row r="1032" spans="1:34" x14ac:dyDescent="0.25">
      <c r="A1032" s="69"/>
      <c r="B1032" s="67"/>
      <c r="C1032" s="67"/>
      <c r="D1032" s="70"/>
      <c r="E1032" s="70"/>
      <c r="F1032" s="70"/>
      <c r="G1032" s="67"/>
      <c r="H1032" s="67"/>
      <c r="I1032" s="67"/>
      <c r="J1032" s="68"/>
      <c r="K1032" s="68"/>
      <c r="S1032" s="32"/>
      <c r="T1032" s="32"/>
      <c r="U1032" s="61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23"/>
      <c r="AG1032" s="23"/>
      <c r="AH1032" s="27"/>
    </row>
    <row r="1033" spans="1:34" x14ac:dyDescent="0.25">
      <c r="A1033" s="69"/>
      <c r="B1033" s="67"/>
      <c r="C1033" s="67"/>
      <c r="D1033" s="70"/>
      <c r="E1033" s="70"/>
      <c r="F1033" s="70"/>
      <c r="G1033" s="67"/>
      <c r="H1033" s="67"/>
      <c r="I1033" s="67"/>
      <c r="J1033" s="68"/>
      <c r="K1033" s="68"/>
      <c r="S1033" s="32"/>
      <c r="T1033" s="32"/>
      <c r="U1033" s="61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23"/>
      <c r="AG1033" s="23"/>
      <c r="AH1033" s="27"/>
    </row>
    <row r="1034" spans="1:34" x14ac:dyDescent="0.25">
      <c r="A1034" s="69"/>
      <c r="B1034" s="67"/>
      <c r="C1034" s="67"/>
      <c r="D1034" s="70"/>
      <c r="E1034" s="70"/>
      <c r="F1034" s="70"/>
      <c r="G1034" s="67"/>
      <c r="H1034" s="67"/>
      <c r="I1034" s="67"/>
      <c r="J1034" s="68"/>
      <c r="K1034" s="68"/>
      <c r="S1034" s="32"/>
      <c r="T1034" s="32"/>
      <c r="U1034" s="61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23"/>
      <c r="AG1034" s="23"/>
      <c r="AH1034" s="27"/>
    </row>
    <row r="1035" spans="1:34" x14ac:dyDescent="0.25">
      <c r="A1035" s="69"/>
      <c r="B1035" s="67"/>
      <c r="C1035" s="67"/>
      <c r="D1035" s="68"/>
      <c r="E1035" s="68"/>
      <c r="F1035" s="68"/>
      <c r="G1035" s="67"/>
      <c r="H1035" s="67"/>
      <c r="I1035" s="67"/>
      <c r="J1035" s="68"/>
      <c r="K1035" s="68"/>
      <c r="S1035" s="32"/>
      <c r="T1035" s="32"/>
      <c r="U1035" s="61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23"/>
      <c r="AG1035" s="23"/>
      <c r="AH1035" s="27"/>
    </row>
    <row r="1036" spans="1:34" x14ac:dyDescent="0.25">
      <c r="A1036" s="69"/>
      <c r="B1036" s="67"/>
      <c r="C1036" s="67"/>
      <c r="D1036" s="68"/>
      <c r="E1036" s="68"/>
      <c r="F1036" s="68"/>
      <c r="G1036" s="67"/>
      <c r="H1036" s="67"/>
      <c r="I1036" s="67"/>
      <c r="J1036" s="68"/>
      <c r="K1036" s="68"/>
      <c r="S1036" s="32"/>
      <c r="T1036" s="32"/>
      <c r="U1036" s="61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23"/>
      <c r="AG1036" s="23"/>
      <c r="AH1036" s="27"/>
    </row>
    <row r="1037" spans="1:34" x14ac:dyDescent="0.25">
      <c r="A1037" s="69"/>
      <c r="B1037" s="67"/>
      <c r="C1037" s="67"/>
      <c r="D1037" s="68"/>
      <c r="E1037" s="68"/>
      <c r="F1037" s="68"/>
      <c r="G1037" s="67"/>
      <c r="H1037" s="67"/>
      <c r="I1037" s="67"/>
      <c r="J1037" s="68"/>
      <c r="K1037" s="68"/>
      <c r="S1037" s="32"/>
      <c r="T1037" s="32"/>
      <c r="U1037" s="61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23"/>
      <c r="AG1037" s="23"/>
      <c r="AH1037" s="27"/>
    </row>
    <row r="1038" spans="1:34" x14ac:dyDescent="0.25">
      <c r="A1038" s="69"/>
      <c r="B1038" s="67"/>
      <c r="C1038" s="67"/>
      <c r="D1038" s="68"/>
      <c r="E1038" s="68"/>
      <c r="F1038" s="68"/>
      <c r="G1038" s="67"/>
      <c r="H1038" s="67"/>
      <c r="I1038" s="67"/>
      <c r="J1038" s="68"/>
      <c r="K1038" s="68"/>
      <c r="S1038" s="32"/>
      <c r="T1038" s="32"/>
      <c r="U1038" s="61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23"/>
      <c r="AG1038" s="23"/>
      <c r="AH1038" s="27"/>
    </row>
    <row r="1039" spans="1:34" x14ac:dyDescent="0.25">
      <c r="A1039" s="69"/>
      <c r="B1039" s="67"/>
      <c r="C1039" s="67"/>
      <c r="D1039" s="68"/>
      <c r="E1039" s="68"/>
      <c r="F1039" s="68"/>
      <c r="G1039" s="67"/>
      <c r="H1039" s="67"/>
      <c r="I1039" s="67"/>
      <c r="J1039" s="68"/>
      <c r="K1039" s="68"/>
      <c r="S1039" s="32"/>
      <c r="T1039" s="32"/>
      <c r="U1039" s="61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23"/>
      <c r="AG1039" s="23"/>
      <c r="AH1039" s="27"/>
    </row>
    <row r="1040" spans="1:34" x14ac:dyDescent="0.25">
      <c r="A1040" s="69"/>
      <c r="B1040" s="67"/>
      <c r="C1040" s="67"/>
      <c r="D1040" s="68"/>
      <c r="E1040" s="68"/>
      <c r="F1040" s="68"/>
      <c r="G1040" s="67"/>
      <c r="H1040" s="67"/>
      <c r="I1040" s="67"/>
      <c r="J1040" s="68"/>
      <c r="K1040" s="68"/>
      <c r="S1040" s="32"/>
      <c r="T1040" s="32"/>
      <c r="U1040" s="61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23"/>
      <c r="AG1040" s="23"/>
      <c r="AH1040" s="27"/>
    </row>
    <row r="1041" spans="1:34" x14ac:dyDescent="0.25">
      <c r="A1041" s="69"/>
      <c r="B1041" s="67"/>
      <c r="C1041" s="67"/>
      <c r="D1041" s="68"/>
      <c r="E1041" s="68"/>
      <c r="F1041" s="68"/>
      <c r="G1041" s="67"/>
      <c r="H1041" s="67"/>
      <c r="I1041" s="67"/>
      <c r="J1041" s="68"/>
      <c r="K1041" s="68"/>
      <c r="S1041" s="32"/>
      <c r="T1041" s="32"/>
      <c r="U1041" s="61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23"/>
      <c r="AG1041" s="23"/>
      <c r="AH1041" s="27"/>
    </row>
    <row r="1042" spans="1:34" x14ac:dyDescent="0.25">
      <c r="A1042" s="69"/>
      <c r="B1042" s="67"/>
      <c r="C1042" s="67"/>
      <c r="D1042" s="68"/>
      <c r="E1042" s="68"/>
      <c r="F1042" s="68"/>
      <c r="G1042" s="67"/>
      <c r="H1042" s="67"/>
      <c r="I1042" s="67"/>
      <c r="J1042" s="68"/>
      <c r="K1042" s="68"/>
      <c r="S1042" s="32"/>
      <c r="T1042" s="32"/>
      <c r="U1042" s="61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23"/>
      <c r="AG1042" s="23"/>
      <c r="AH1042" s="27"/>
    </row>
    <row r="1043" spans="1:34" x14ac:dyDescent="0.25">
      <c r="A1043" s="69"/>
      <c r="B1043" s="67"/>
      <c r="C1043" s="67"/>
      <c r="D1043" s="68"/>
      <c r="E1043" s="68"/>
      <c r="F1043" s="68"/>
      <c r="G1043" s="67"/>
      <c r="H1043" s="67"/>
      <c r="I1043" s="67"/>
      <c r="J1043" s="68"/>
      <c r="K1043" s="68"/>
      <c r="S1043" s="32"/>
      <c r="T1043" s="32"/>
      <c r="U1043" s="61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23"/>
      <c r="AG1043" s="23"/>
      <c r="AH1043" s="27"/>
    </row>
    <row r="1044" spans="1:34" x14ac:dyDescent="0.25">
      <c r="A1044" s="69"/>
      <c r="B1044" s="67"/>
      <c r="C1044" s="67"/>
      <c r="D1044" s="68"/>
      <c r="E1044" s="68"/>
      <c r="F1044" s="68"/>
      <c r="G1044" s="67"/>
      <c r="H1044" s="67"/>
      <c r="I1044" s="67"/>
      <c r="J1044" s="68"/>
      <c r="K1044" s="68"/>
      <c r="S1044" s="32"/>
      <c r="T1044" s="32"/>
      <c r="U1044" s="61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23"/>
      <c r="AG1044" s="23"/>
      <c r="AH1044" s="27"/>
    </row>
    <row r="1045" spans="1:34" x14ac:dyDescent="0.25">
      <c r="A1045" s="69"/>
      <c r="B1045" s="67"/>
      <c r="C1045" s="67"/>
      <c r="D1045" s="68"/>
      <c r="E1045" s="68"/>
      <c r="F1045" s="68"/>
      <c r="G1045" s="67"/>
      <c r="H1045" s="67"/>
      <c r="I1045" s="67"/>
      <c r="J1045" s="68"/>
      <c r="K1045" s="68"/>
      <c r="S1045" s="32"/>
      <c r="T1045" s="32"/>
      <c r="U1045" s="61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23"/>
      <c r="AG1045" s="23"/>
      <c r="AH1045" s="27"/>
    </row>
    <row r="1046" spans="1:34" x14ac:dyDescent="0.25">
      <c r="A1046" s="69"/>
      <c r="B1046" s="67"/>
      <c r="C1046" s="67"/>
      <c r="D1046" s="68"/>
      <c r="E1046" s="68"/>
      <c r="F1046" s="68"/>
      <c r="G1046" s="67"/>
      <c r="H1046" s="67"/>
      <c r="I1046" s="67"/>
      <c r="J1046" s="68"/>
      <c r="K1046" s="68"/>
      <c r="S1046" s="32"/>
      <c r="T1046" s="32"/>
      <c r="U1046" s="61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23"/>
      <c r="AG1046" s="23"/>
      <c r="AH1046" s="27"/>
    </row>
    <row r="1047" spans="1:34" x14ac:dyDescent="0.25">
      <c r="A1047" s="69"/>
      <c r="B1047" s="67"/>
      <c r="C1047" s="67"/>
      <c r="D1047" s="68"/>
      <c r="E1047" s="68"/>
      <c r="F1047" s="68"/>
      <c r="G1047" s="67"/>
      <c r="H1047" s="67"/>
      <c r="I1047" s="67"/>
      <c r="J1047" s="68"/>
      <c r="K1047" s="68"/>
      <c r="S1047" s="32"/>
      <c r="T1047" s="32"/>
      <c r="U1047" s="61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23"/>
      <c r="AG1047" s="23"/>
      <c r="AH1047" s="27"/>
    </row>
    <row r="1048" spans="1:34" x14ac:dyDescent="0.25">
      <c r="A1048" s="69"/>
      <c r="B1048" s="67"/>
      <c r="C1048" s="67"/>
      <c r="D1048" s="68"/>
      <c r="E1048" s="68"/>
      <c r="F1048" s="68"/>
      <c r="G1048" s="67"/>
      <c r="H1048" s="67"/>
      <c r="I1048" s="67"/>
      <c r="J1048" s="68"/>
      <c r="K1048" s="68"/>
      <c r="S1048" s="32"/>
      <c r="T1048" s="32"/>
      <c r="U1048" s="61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23"/>
      <c r="AG1048" s="23"/>
      <c r="AH1048" s="27"/>
    </row>
    <row r="1049" spans="1:34" x14ac:dyDescent="0.25">
      <c r="A1049" s="69"/>
      <c r="B1049" s="67"/>
      <c r="C1049" s="67"/>
      <c r="D1049" s="68"/>
      <c r="E1049" s="68"/>
      <c r="F1049" s="68"/>
      <c r="G1049" s="67"/>
      <c r="H1049" s="67"/>
      <c r="I1049" s="67"/>
      <c r="J1049" s="68"/>
      <c r="K1049" s="68"/>
      <c r="S1049" s="32"/>
      <c r="T1049" s="32"/>
      <c r="U1049" s="61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23"/>
      <c r="AG1049" s="23"/>
      <c r="AH1049" s="27"/>
    </row>
    <row r="1050" spans="1:34" x14ac:dyDescent="0.25">
      <c r="A1050" s="69"/>
      <c r="B1050" s="67"/>
      <c r="C1050" s="67"/>
      <c r="D1050" s="68"/>
      <c r="E1050" s="68"/>
      <c r="F1050" s="68"/>
      <c r="G1050" s="67"/>
      <c r="H1050" s="67"/>
      <c r="I1050" s="67"/>
      <c r="J1050" s="68"/>
      <c r="K1050" s="68"/>
      <c r="S1050" s="32"/>
      <c r="T1050" s="32"/>
      <c r="U1050" s="61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23"/>
      <c r="AG1050" s="23"/>
      <c r="AH1050" s="27"/>
    </row>
    <row r="1051" spans="1:34" x14ac:dyDescent="0.25">
      <c r="A1051" s="69"/>
      <c r="B1051" s="67"/>
      <c r="C1051" s="67"/>
      <c r="D1051" s="68"/>
      <c r="E1051" s="68"/>
      <c r="F1051" s="68"/>
      <c r="G1051" s="67"/>
      <c r="H1051" s="67"/>
      <c r="I1051" s="67"/>
      <c r="J1051" s="68"/>
      <c r="K1051" s="68"/>
      <c r="S1051" s="32"/>
      <c r="T1051" s="32"/>
      <c r="U1051" s="61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23"/>
      <c r="AG1051" s="23"/>
      <c r="AH1051" s="27"/>
    </row>
    <row r="1052" spans="1:34" x14ac:dyDescent="0.25">
      <c r="A1052" s="69"/>
      <c r="B1052" s="67"/>
      <c r="C1052" s="67"/>
      <c r="D1052" s="68"/>
      <c r="E1052" s="68"/>
      <c r="F1052" s="68"/>
      <c r="G1052" s="67"/>
      <c r="H1052" s="67"/>
      <c r="I1052" s="67"/>
      <c r="J1052" s="68"/>
      <c r="K1052" s="68"/>
      <c r="S1052" s="32"/>
      <c r="T1052" s="32"/>
      <c r="U1052" s="61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23"/>
      <c r="AG1052" s="23"/>
      <c r="AH1052" s="27"/>
    </row>
    <row r="1053" spans="1:34" x14ac:dyDescent="0.25">
      <c r="A1053" s="69"/>
      <c r="B1053" s="67"/>
      <c r="C1053" s="67"/>
      <c r="D1053" s="68"/>
      <c r="E1053" s="68"/>
      <c r="F1053" s="68"/>
      <c r="G1053" s="67"/>
      <c r="H1053" s="67"/>
      <c r="I1053" s="67"/>
      <c r="J1053" s="68"/>
      <c r="K1053" s="68"/>
      <c r="S1053" s="32"/>
      <c r="T1053" s="32"/>
      <c r="U1053" s="61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23"/>
      <c r="AG1053" s="23"/>
      <c r="AH1053" s="27"/>
    </row>
    <row r="1054" spans="1:34" x14ac:dyDescent="0.25">
      <c r="A1054" s="69"/>
      <c r="B1054" s="67"/>
      <c r="C1054" s="67"/>
      <c r="D1054" s="68"/>
      <c r="E1054" s="68"/>
      <c r="F1054" s="68"/>
      <c r="G1054" s="67"/>
      <c r="H1054" s="67"/>
      <c r="I1054" s="67"/>
      <c r="J1054" s="68"/>
      <c r="K1054" s="68"/>
      <c r="S1054" s="32"/>
      <c r="T1054" s="32"/>
      <c r="U1054" s="61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23"/>
      <c r="AG1054" s="23"/>
      <c r="AH1054" s="27"/>
    </row>
    <row r="1055" spans="1:34" x14ac:dyDescent="0.25">
      <c r="A1055" s="69"/>
      <c r="B1055" s="67"/>
      <c r="C1055" s="67"/>
      <c r="D1055" s="68"/>
      <c r="E1055" s="68"/>
      <c r="F1055" s="68"/>
      <c r="G1055" s="67"/>
      <c r="H1055" s="67"/>
      <c r="I1055" s="67"/>
      <c r="J1055" s="68"/>
      <c r="K1055" s="68"/>
      <c r="S1055" s="32"/>
      <c r="T1055" s="32"/>
      <c r="U1055" s="61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23"/>
      <c r="AG1055" s="23"/>
      <c r="AH1055" s="27"/>
    </row>
    <row r="1056" spans="1:34" x14ac:dyDescent="0.25">
      <c r="A1056" s="69"/>
      <c r="B1056" s="67"/>
      <c r="C1056" s="67"/>
      <c r="D1056" s="70"/>
      <c r="E1056" s="70"/>
      <c r="F1056" s="70"/>
      <c r="G1056" s="67"/>
      <c r="H1056" s="67"/>
      <c r="I1056" s="67"/>
      <c r="J1056" s="68"/>
      <c r="K1056" s="68"/>
      <c r="S1056" s="32"/>
      <c r="T1056" s="32"/>
      <c r="U1056" s="61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23"/>
      <c r="AG1056" s="23"/>
      <c r="AH1056" s="27"/>
    </row>
    <row r="1057" spans="1:34" x14ac:dyDescent="0.25">
      <c r="A1057" s="69"/>
      <c r="B1057" s="67"/>
      <c r="C1057" s="67"/>
      <c r="D1057" s="70"/>
      <c r="E1057" s="70"/>
      <c r="F1057" s="70"/>
      <c r="G1057" s="67"/>
      <c r="H1057" s="67"/>
      <c r="I1057" s="67"/>
      <c r="J1057" s="68"/>
      <c r="K1057" s="68"/>
      <c r="S1057" s="32"/>
      <c r="T1057" s="32"/>
      <c r="U1057" s="61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23"/>
      <c r="AG1057" s="23"/>
      <c r="AH1057" s="27"/>
    </row>
    <row r="1058" spans="1:34" x14ac:dyDescent="0.25">
      <c r="A1058" s="69"/>
      <c r="B1058" s="67"/>
      <c r="C1058" s="67"/>
      <c r="D1058" s="70"/>
      <c r="E1058" s="70"/>
      <c r="F1058" s="70"/>
      <c r="G1058" s="67"/>
      <c r="H1058" s="67"/>
      <c r="I1058" s="67"/>
      <c r="J1058" s="68"/>
      <c r="K1058" s="68"/>
      <c r="S1058" s="32"/>
      <c r="T1058" s="32"/>
      <c r="U1058" s="61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23"/>
      <c r="AG1058" s="23"/>
      <c r="AH1058" s="27"/>
    </row>
    <row r="1059" spans="1:34" x14ac:dyDescent="0.25">
      <c r="A1059" s="69"/>
      <c r="B1059" s="67"/>
      <c r="C1059" s="67"/>
      <c r="D1059" s="68"/>
      <c r="E1059" s="68"/>
      <c r="F1059" s="68"/>
      <c r="G1059" s="67"/>
      <c r="H1059" s="67"/>
      <c r="I1059" s="67"/>
      <c r="J1059" s="68"/>
      <c r="K1059" s="68"/>
      <c r="S1059" s="32"/>
      <c r="T1059" s="32"/>
      <c r="U1059" s="61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23"/>
      <c r="AG1059" s="23"/>
      <c r="AH1059" s="27"/>
    </row>
    <row r="1060" spans="1:34" x14ac:dyDescent="0.25">
      <c r="A1060" s="69"/>
      <c r="B1060" s="67"/>
      <c r="C1060" s="67"/>
      <c r="D1060" s="68"/>
      <c r="E1060" s="68"/>
      <c r="F1060" s="68"/>
      <c r="G1060" s="67"/>
      <c r="H1060" s="67"/>
      <c r="I1060" s="67"/>
      <c r="J1060" s="68"/>
      <c r="K1060" s="68"/>
      <c r="S1060" s="32"/>
      <c r="T1060" s="32"/>
      <c r="U1060" s="61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23"/>
      <c r="AG1060" s="23"/>
      <c r="AH1060" s="27"/>
    </row>
    <row r="1061" spans="1:34" x14ac:dyDescent="0.25">
      <c r="A1061" s="69"/>
      <c r="B1061" s="67"/>
      <c r="C1061" s="67"/>
      <c r="D1061" s="68"/>
      <c r="E1061" s="68"/>
      <c r="F1061" s="68"/>
      <c r="G1061" s="67"/>
      <c r="H1061" s="67"/>
      <c r="I1061" s="67"/>
      <c r="J1061" s="68"/>
      <c r="K1061" s="68"/>
      <c r="S1061" s="32"/>
      <c r="T1061" s="32"/>
      <c r="U1061" s="61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23"/>
      <c r="AG1061" s="23"/>
      <c r="AH1061" s="27"/>
    </row>
    <row r="1062" spans="1:34" x14ac:dyDescent="0.25">
      <c r="A1062" s="69"/>
      <c r="B1062" s="67"/>
      <c r="C1062" s="67"/>
      <c r="D1062" s="68"/>
      <c r="E1062" s="68"/>
      <c r="F1062" s="68"/>
      <c r="G1062" s="67"/>
      <c r="H1062" s="67"/>
      <c r="I1062" s="67"/>
      <c r="J1062" s="68"/>
      <c r="K1062" s="68"/>
      <c r="S1062" s="32"/>
      <c r="T1062" s="32"/>
      <c r="U1062" s="61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23"/>
      <c r="AG1062" s="23"/>
      <c r="AH1062" s="27"/>
    </row>
    <row r="1063" spans="1:34" x14ac:dyDescent="0.25">
      <c r="A1063" s="69"/>
      <c r="B1063" s="67"/>
      <c r="C1063" s="67"/>
      <c r="D1063" s="68"/>
      <c r="E1063" s="68"/>
      <c r="F1063" s="68"/>
      <c r="G1063" s="67"/>
      <c r="H1063" s="67"/>
      <c r="I1063" s="67"/>
      <c r="J1063" s="68"/>
      <c r="K1063" s="68"/>
      <c r="S1063" s="32"/>
      <c r="T1063" s="32"/>
      <c r="U1063" s="61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23"/>
      <c r="AG1063" s="23"/>
      <c r="AH1063" s="27"/>
    </row>
    <row r="1064" spans="1:34" x14ac:dyDescent="0.25">
      <c r="A1064" s="69"/>
      <c r="B1064" s="67"/>
      <c r="C1064" s="67"/>
      <c r="D1064" s="68"/>
      <c r="E1064" s="68"/>
      <c r="F1064" s="68"/>
      <c r="G1064" s="67"/>
      <c r="H1064" s="67"/>
      <c r="I1064" s="67"/>
      <c r="J1064" s="68"/>
      <c r="K1064" s="68"/>
      <c r="S1064" s="32"/>
      <c r="T1064" s="32"/>
      <c r="U1064" s="61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23"/>
      <c r="AG1064" s="23"/>
      <c r="AH1064" s="27"/>
    </row>
    <row r="1065" spans="1:34" x14ac:dyDescent="0.25">
      <c r="A1065" s="69"/>
      <c r="B1065" s="67"/>
      <c r="C1065" s="67"/>
      <c r="D1065" s="68"/>
      <c r="E1065" s="68"/>
      <c r="F1065" s="68"/>
      <c r="G1065" s="67"/>
      <c r="H1065" s="67"/>
      <c r="I1065" s="67"/>
      <c r="J1065" s="68"/>
      <c r="K1065" s="68"/>
      <c r="S1065" s="32"/>
      <c r="T1065" s="32"/>
      <c r="U1065" s="61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23"/>
      <c r="AG1065" s="23"/>
      <c r="AH1065" s="27"/>
    </row>
    <row r="1066" spans="1:34" x14ac:dyDescent="0.25">
      <c r="A1066" s="69"/>
      <c r="B1066" s="67"/>
      <c r="C1066" s="67"/>
      <c r="D1066" s="68"/>
      <c r="E1066" s="68"/>
      <c r="F1066" s="68"/>
      <c r="G1066" s="67"/>
      <c r="H1066" s="67"/>
      <c r="I1066" s="67"/>
      <c r="J1066" s="68"/>
      <c r="K1066" s="68"/>
      <c r="S1066" s="32"/>
      <c r="T1066" s="32"/>
      <c r="U1066" s="61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23"/>
      <c r="AG1066" s="23"/>
      <c r="AH1066" s="27"/>
    </row>
    <row r="1067" spans="1:34" x14ac:dyDescent="0.25">
      <c r="A1067" s="69"/>
      <c r="B1067" s="67"/>
      <c r="C1067" s="67"/>
      <c r="D1067" s="68"/>
      <c r="E1067" s="68"/>
      <c r="F1067" s="68"/>
      <c r="G1067" s="67"/>
      <c r="H1067" s="67"/>
      <c r="I1067" s="67"/>
      <c r="J1067" s="68"/>
      <c r="K1067" s="68"/>
      <c r="S1067" s="32"/>
      <c r="T1067" s="32"/>
      <c r="U1067" s="61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23"/>
      <c r="AG1067" s="23"/>
      <c r="AH1067" s="27"/>
    </row>
    <row r="1068" spans="1:34" x14ac:dyDescent="0.25">
      <c r="A1068" s="69"/>
      <c r="B1068" s="67"/>
      <c r="C1068" s="67"/>
      <c r="D1068" s="68"/>
      <c r="E1068" s="68"/>
      <c r="F1068" s="68"/>
      <c r="G1068" s="67"/>
      <c r="H1068" s="67"/>
      <c r="I1068" s="67"/>
      <c r="J1068" s="68"/>
      <c r="K1068" s="68"/>
      <c r="S1068" s="32"/>
      <c r="T1068" s="32"/>
      <c r="U1068" s="61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23"/>
      <c r="AG1068" s="23"/>
      <c r="AH1068" s="27"/>
    </row>
    <row r="1069" spans="1:34" x14ac:dyDescent="0.25">
      <c r="A1069" s="69"/>
      <c r="B1069" s="67"/>
      <c r="C1069" s="67"/>
      <c r="D1069" s="68"/>
      <c r="E1069" s="68"/>
      <c r="F1069" s="68"/>
      <c r="G1069" s="67"/>
      <c r="H1069" s="67"/>
      <c r="I1069" s="67"/>
      <c r="J1069" s="68"/>
      <c r="K1069" s="68"/>
      <c r="S1069" s="32"/>
      <c r="T1069" s="32"/>
      <c r="U1069" s="61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23"/>
      <c r="AG1069" s="23"/>
      <c r="AH1069" s="27"/>
    </row>
    <row r="1070" spans="1:34" x14ac:dyDescent="0.25">
      <c r="A1070" s="69"/>
      <c r="B1070" s="67"/>
      <c r="C1070" s="67"/>
      <c r="D1070" s="68"/>
      <c r="E1070" s="68"/>
      <c r="F1070" s="68"/>
      <c r="G1070" s="67"/>
      <c r="H1070" s="67"/>
      <c r="I1070" s="67"/>
      <c r="J1070" s="68"/>
      <c r="K1070" s="68"/>
      <c r="S1070" s="32"/>
      <c r="T1070" s="32"/>
      <c r="U1070" s="61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23"/>
      <c r="AG1070" s="23"/>
      <c r="AH1070" s="27"/>
    </row>
    <row r="1071" spans="1:34" x14ac:dyDescent="0.25">
      <c r="A1071" s="69"/>
      <c r="B1071" s="67"/>
      <c r="C1071" s="67"/>
      <c r="D1071" s="68"/>
      <c r="E1071" s="68"/>
      <c r="F1071" s="68"/>
      <c r="G1071" s="67"/>
      <c r="H1071" s="67"/>
      <c r="I1071" s="67"/>
      <c r="J1071" s="68"/>
      <c r="K1071" s="68"/>
      <c r="S1071" s="32"/>
      <c r="T1071" s="32"/>
      <c r="U1071" s="61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23"/>
      <c r="AG1071" s="23"/>
      <c r="AH1071" s="27"/>
    </row>
    <row r="1072" spans="1:34" x14ac:dyDescent="0.25">
      <c r="A1072" s="69"/>
      <c r="B1072" s="67"/>
      <c r="C1072" s="67"/>
      <c r="D1072" s="68"/>
      <c r="E1072" s="68"/>
      <c r="F1072" s="68"/>
      <c r="G1072" s="67"/>
      <c r="H1072" s="67"/>
      <c r="I1072" s="67"/>
      <c r="J1072" s="68"/>
      <c r="K1072" s="68"/>
      <c r="S1072" s="32"/>
      <c r="T1072" s="32"/>
      <c r="U1072" s="61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23"/>
      <c r="AG1072" s="23"/>
      <c r="AH1072" s="27"/>
    </row>
    <row r="1073" spans="1:34" x14ac:dyDescent="0.25">
      <c r="A1073" s="69"/>
      <c r="B1073" s="67"/>
      <c r="C1073" s="67"/>
      <c r="D1073" s="68"/>
      <c r="E1073" s="68"/>
      <c r="F1073" s="68"/>
      <c r="G1073" s="67"/>
      <c r="H1073" s="67"/>
      <c r="I1073" s="67"/>
      <c r="J1073" s="68"/>
      <c r="K1073" s="68"/>
      <c r="S1073" s="32"/>
      <c r="T1073" s="32"/>
      <c r="U1073" s="61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23"/>
      <c r="AG1073" s="23"/>
      <c r="AH1073" s="27"/>
    </row>
    <row r="1074" spans="1:34" x14ac:dyDescent="0.25">
      <c r="A1074" s="69"/>
      <c r="B1074" s="67"/>
      <c r="C1074" s="67"/>
      <c r="D1074" s="68"/>
      <c r="E1074" s="68"/>
      <c r="F1074" s="68"/>
      <c r="G1074" s="67"/>
      <c r="H1074" s="67"/>
      <c r="I1074" s="67"/>
      <c r="J1074" s="68"/>
      <c r="K1074" s="68"/>
      <c r="S1074" s="32"/>
      <c r="T1074" s="32"/>
      <c r="U1074" s="61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23"/>
      <c r="AG1074" s="23"/>
      <c r="AH1074" s="27"/>
    </row>
    <row r="1075" spans="1:34" x14ac:dyDescent="0.25">
      <c r="A1075" s="69"/>
      <c r="B1075" s="67"/>
      <c r="C1075" s="67"/>
      <c r="D1075" s="68"/>
      <c r="E1075" s="68"/>
      <c r="F1075" s="68"/>
      <c r="G1075" s="67"/>
      <c r="H1075" s="67"/>
      <c r="I1075" s="67"/>
      <c r="J1075" s="68"/>
      <c r="K1075" s="68"/>
      <c r="S1075" s="32"/>
      <c r="T1075" s="32"/>
      <c r="U1075" s="61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23"/>
      <c r="AG1075" s="23"/>
      <c r="AH1075" s="27"/>
    </row>
    <row r="1076" spans="1:34" x14ac:dyDescent="0.25">
      <c r="A1076" s="69"/>
      <c r="B1076" s="67"/>
      <c r="C1076" s="67"/>
      <c r="D1076" s="68"/>
      <c r="E1076" s="68"/>
      <c r="F1076" s="68"/>
      <c r="G1076" s="67"/>
      <c r="H1076" s="67"/>
      <c r="I1076" s="67"/>
      <c r="J1076" s="68"/>
      <c r="K1076" s="68"/>
      <c r="S1076" s="32"/>
      <c r="T1076" s="32"/>
      <c r="U1076" s="61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23"/>
      <c r="AG1076" s="23"/>
      <c r="AH1076" s="27"/>
    </row>
    <row r="1077" spans="1:34" x14ac:dyDescent="0.25">
      <c r="A1077" s="69"/>
      <c r="B1077" s="67"/>
      <c r="C1077" s="67"/>
      <c r="D1077" s="68"/>
      <c r="E1077" s="68"/>
      <c r="F1077" s="68"/>
      <c r="G1077" s="67"/>
      <c r="H1077" s="67"/>
      <c r="I1077" s="67"/>
      <c r="J1077" s="68"/>
      <c r="K1077" s="68"/>
      <c r="S1077" s="32"/>
      <c r="T1077" s="32"/>
      <c r="U1077" s="61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23"/>
      <c r="AG1077" s="23"/>
      <c r="AH1077" s="27"/>
    </row>
    <row r="1078" spans="1:34" x14ac:dyDescent="0.25">
      <c r="A1078" s="69"/>
      <c r="B1078" s="67"/>
      <c r="C1078" s="67"/>
      <c r="D1078" s="68"/>
      <c r="E1078" s="68"/>
      <c r="F1078" s="68"/>
      <c r="G1078" s="67"/>
      <c r="H1078" s="67"/>
      <c r="I1078" s="67"/>
      <c r="J1078" s="68"/>
      <c r="K1078" s="68"/>
      <c r="S1078" s="32"/>
      <c r="T1078" s="32"/>
      <c r="U1078" s="61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23"/>
      <c r="AG1078" s="23"/>
      <c r="AH1078" s="27"/>
    </row>
    <row r="1079" spans="1:34" x14ac:dyDescent="0.25">
      <c r="A1079" s="69"/>
      <c r="B1079" s="67"/>
      <c r="C1079" s="67"/>
      <c r="D1079" s="68"/>
      <c r="E1079" s="68"/>
      <c r="F1079" s="68"/>
      <c r="G1079" s="67"/>
      <c r="H1079" s="67"/>
      <c r="I1079" s="67"/>
      <c r="J1079" s="68"/>
      <c r="K1079" s="68"/>
      <c r="S1079" s="32"/>
      <c r="T1079" s="32"/>
      <c r="U1079" s="61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23"/>
      <c r="AG1079" s="23"/>
      <c r="AH1079" s="27"/>
    </row>
    <row r="1080" spans="1:34" x14ac:dyDescent="0.25">
      <c r="A1080" s="69"/>
      <c r="B1080" s="67"/>
      <c r="C1080" s="67"/>
      <c r="D1080" s="70"/>
      <c r="E1080" s="70"/>
      <c r="F1080" s="70"/>
      <c r="G1080" s="67"/>
      <c r="H1080" s="67"/>
      <c r="I1080" s="67"/>
      <c r="J1080" s="68"/>
      <c r="K1080" s="68"/>
      <c r="S1080" s="32"/>
      <c r="T1080" s="32"/>
      <c r="U1080" s="61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23"/>
      <c r="AG1080" s="23"/>
      <c r="AH1080" s="27"/>
    </row>
    <row r="1081" spans="1:34" x14ac:dyDescent="0.25">
      <c r="A1081" s="69"/>
      <c r="B1081" s="67"/>
      <c r="C1081" s="67"/>
      <c r="D1081" s="70"/>
      <c r="E1081" s="70"/>
      <c r="F1081" s="70"/>
      <c r="G1081" s="67"/>
      <c r="H1081" s="67"/>
      <c r="I1081" s="67"/>
      <c r="J1081" s="68"/>
      <c r="K1081" s="68"/>
      <c r="S1081" s="32"/>
      <c r="T1081" s="32"/>
      <c r="U1081" s="61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23"/>
      <c r="AG1081" s="23"/>
      <c r="AH1081" s="27"/>
    </row>
    <row r="1082" spans="1:34" x14ac:dyDescent="0.25">
      <c r="A1082" s="69"/>
      <c r="B1082" s="67"/>
      <c r="C1082" s="67"/>
      <c r="D1082" s="70"/>
      <c r="E1082" s="70"/>
      <c r="F1082" s="70"/>
      <c r="G1082" s="67"/>
      <c r="H1082" s="67"/>
      <c r="I1082" s="67"/>
      <c r="J1082" s="68"/>
      <c r="K1082" s="68"/>
      <c r="S1082" s="32"/>
      <c r="T1082" s="32"/>
      <c r="U1082" s="61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23"/>
      <c r="AG1082" s="23"/>
      <c r="AH1082" s="27"/>
    </row>
    <row r="1083" spans="1:34" x14ac:dyDescent="0.25">
      <c r="A1083" s="69"/>
      <c r="B1083" s="67"/>
      <c r="C1083" s="67"/>
      <c r="D1083" s="68"/>
      <c r="E1083" s="68"/>
      <c r="F1083" s="68"/>
      <c r="G1083" s="67"/>
      <c r="H1083" s="67"/>
      <c r="I1083" s="67"/>
      <c r="J1083" s="68"/>
      <c r="K1083" s="68"/>
      <c r="S1083" s="32"/>
      <c r="T1083" s="32"/>
      <c r="U1083" s="61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23"/>
      <c r="AG1083" s="23"/>
      <c r="AH1083" s="27"/>
    </row>
    <row r="1084" spans="1:34" x14ac:dyDescent="0.25">
      <c r="A1084" s="69"/>
      <c r="B1084" s="67"/>
      <c r="C1084" s="67"/>
      <c r="D1084" s="68"/>
      <c r="E1084" s="68"/>
      <c r="F1084" s="68"/>
      <c r="G1084" s="67"/>
      <c r="H1084" s="67"/>
      <c r="I1084" s="67"/>
      <c r="J1084" s="68"/>
      <c r="K1084" s="68"/>
      <c r="S1084" s="32"/>
      <c r="T1084" s="32"/>
      <c r="U1084" s="61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23"/>
      <c r="AG1084" s="23"/>
      <c r="AH1084" s="27"/>
    </row>
    <row r="1085" spans="1:34" x14ac:dyDescent="0.25">
      <c r="A1085" s="69"/>
      <c r="B1085" s="67"/>
      <c r="C1085" s="67"/>
      <c r="D1085" s="68"/>
      <c r="E1085" s="68"/>
      <c r="F1085" s="68"/>
      <c r="G1085" s="67"/>
      <c r="H1085" s="67"/>
      <c r="I1085" s="67"/>
      <c r="J1085" s="68"/>
      <c r="K1085" s="68"/>
      <c r="S1085" s="32"/>
      <c r="T1085" s="32"/>
      <c r="U1085" s="61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23"/>
      <c r="AG1085" s="23"/>
      <c r="AH1085" s="27"/>
    </row>
    <row r="1086" spans="1:34" x14ac:dyDescent="0.25">
      <c r="A1086" s="69"/>
      <c r="B1086" s="67"/>
      <c r="C1086" s="67"/>
      <c r="D1086" s="68"/>
      <c r="E1086" s="68"/>
      <c r="F1086" s="68"/>
      <c r="G1086" s="67"/>
      <c r="H1086" s="67"/>
      <c r="I1086" s="67"/>
      <c r="J1086" s="68"/>
      <c r="K1086" s="68"/>
      <c r="S1086" s="32"/>
      <c r="T1086" s="32"/>
      <c r="U1086" s="61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23"/>
      <c r="AG1086" s="23"/>
      <c r="AH1086" s="27"/>
    </row>
    <row r="1087" spans="1:34" x14ac:dyDescent="0.25">
      <c r="A1087" s="69"/>
      <c r="B1087" s="67"/>
      <c r="C1087" s="67"/>
      <c r="D1087" s="68"/>
      <c r="E1087" s="68"/>
      <c r="F1087" s="68"/>
      <c r="G1087" s="67"/>
      <c r="H1087" s="67"/>
      <c r="I1087" s="67"/>
      <c r="J1087" s="68"/>
      <c r="K1087" s="68"/>
      <c r="S1087" s="32"/>
      <c r="T1087" s="32"/>
      <c r="U1087" s="61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23"/>
      <c r="AG1087" s="23"/>
      <c r="AH1087" s="27"/>
    </row>
    <row r="1088" spans="1:34" x14ac:dyDescent="0.25">
      <c r="A1088" s="69"/>
      <c r="B1088" s="67"/>
      <c r="C1088" s="67"/>
      <c r="D1088" s="68"/>
      <c r="E1088" s="68"/>
      <c r="F1088" s="68"/>
      <c r="G1088" s="67"/>
      <c r="H1088" s="67"/>
      <c r="I1088" s="67"/>
      <c r="J1088" s="68"/>
      <c r="K1088" s="68"/>
      <c r="S1088" s="32"/>
      <c r="T1088" s="32"/>
      <c r="U1088" s="61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23"/>
      <c r="AG1088" s="23"/>
      <c r="AH1088" s="27"/>
    </row>
    <row r="1089" spans="1:34" x14ac:dyDescent="0.25">
      <c r="A1089" s="69"/>
      <c r="B1089" s="67"/>
      <c r="C1089" s="67"/>
      <c r="D1089" s="68"/>
      <c r="E1089" s="68"/>
      <c r="F1089" s="68"/>
      <c r="G1089" s="67"/>
      <c r="H1089" s="67"/>
      <c r="I1089" s="67"/>
      <c r="J1089" s="68"/>
      <c r="K1089" s="68"/>
      <c r="S1089" s="32"/>
      <c r="T1089" s="32"/>
      <c r="U1089" s="61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23"/>
      <c r="AG1089" s="23"/>
      <c r="AH1089" s="27"/>
    </row>
    <row r="1090" spans="1:34" x14ac:dyDescent="0.25">
      <c r="A1090" s="69"/>
      <c r="B1090" s="67"/>
      <c r="C1090" s="67"/>
      <c r="D1090" s="68"/>
      <c r="E1090" s="68"/>
      <c r="F1090" s="68"/>
      <c r="G1090" s="67"/>
      <c r="H1090" s="67"/>
      <c r="I1090" s="67"/>
      <c r="J1090" s="68"/>
      <c r="K1090" s="68"/>
      <c r="S1090" s="32"/>
      <c r="T1090" s="32"/>
      <c r="U1090" s="61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23"/>
      <c r="AG1090" s="23"/>
      <c r="AH1090" s="27"/>
    </row>
    <row r="1091" spans="1:34" x14ac:dyDescent="0.25">
      <c r="A1091" s="69"/>
      <c r="B1091" s="67"/>
      <c r="C1091" s="67"/>
      <c r="D1091" s="68"/>
      <c r="E1091" s="68"/>
      <c r="F1091" s="68"/>
      <c r="G1091" s="67"/>
      <c r="H1091" s="67"/>
      <c r="I1091" s="67"/>
      <c r="J1091" s="68"/>
      <c r="K1091" s="68"/>
      <c r="S1091" s="32"/>
      <c r="T1091" s="32"/>
      <c r="U1091" s="61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23"/>
      <c r="AG1091" s="23"/>
      <c r="AH1091" s="27"/>
    </row>
    <row r="1092" spans="1:34" x14ac:dyDescent="0.25">
      <c r="A1092" s="69"/>
      <c r="B1092" s="67"/>
      <c r="C1092" s="67"/>
      <c r="D1092" s="68"/>
      <c r="E1092" s="68"/>
      <c r="F1092" s="68"/>
      <c r="G1092" s="67"/>
      <c r="H1092" s="67"/>
      <c r="I1092" s="67"/>
      <c r="J1092" s="68"/>
      <c r="K1092" s="68"/>
      <c r="S1092" s="32"/>
      <c r="T1092" s="32"/>
      <c r="U1092" s="61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23"/>
      <c r="AG1092" s="23"/>
      <c r="AH1092" s="27"/>
    </row>
    <row r="1093" spans="1:34" x14ac:dyDescent="0.25">
      <c r="A1093" s="69"/>
      <c r="B1093" s="67"/>
      <c r="C1093" s="67"/>
      <c r="D1093" s="68"/>
      <c r="E1093" s="68"/>
      <c r="F1093" s="68"/>
      <c r="G1093" s="67"/>
      <c r="H1093" s="67"/>
      <c r="I1093" s="67"/>
      <c r="J1093" s="68"/>
      <c r="K1093" s="68"/>
      <c r="S1093" s="32"/>
      <c r="T1093" s="32"/>
      <c r="U1093" s="61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23"/>
      <c r="AG1093" s="23"/>
      <c r="AH1093" s="27"/>
    </row>
    <row r="1094" spans="1:34" x14ac:dyDescent="0.25">
      <c r="A1094" s="69"/>
      <c r="B1094" s="67"/>
      <c r="C1094" s="67"/>
      <c r="D1094" s="68"/>
      <c r="E1094" s="68"/>
      <c r="F1094" s="68"/>
      <c r="G1094" s="67"/>
      <c r="H1094" s="67"/>
      <c r="I1094" s="67"/>
      <c r="J1094" s="68"/>
      <c r="K1094" s="68"/>
      <c r="S1094" s="32"/>
      <c r="T1094" s="32"/>
      <c r="U1094" s="61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23"/>
      <c r="AG1094" s="23"/>
      <c r="AH1094" s="27"/>
    </row>
    <row r="1095" spans="1:34" x14ac:dyDescent="0.25">
      <c r="A1095" s="69"/>
      <c r="B1095" s="67"/>
      <c r="C1095" s="67"/>
      <c r="D1095" s="68"/>
      <c r="E1095" s="68"/>
      <c r="F1095" s="68"/>
      <c r="G1095" s="67"/>
      <c r="H1095" s="67"/>
      <c r="I1095" s="67"/>
      <c r="J1095" s="68"/>
      <c r="K1095" s="68"/>
      <c r="S1095" s="32"/>
      <c r="T1095" s="32"/>
      <c r="U1095" s="61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23"/>
      <c r="AG1095" s="23"/>
      <c r="AH1095" s="27"/>
    </row>
    <row r="1096" spans="1:34" x14ac:dyDescent="0.25">
      <c r="A1096" s="69"/>
      <c r="B1096" s="67"/>
      <c r="C1096" s="67"/>
      <c r="D1096" s="68"/>
      <c r="E1096" s="68"/>
      <c r="F1096" s="68"/>
      <c r="G1096" s="67"/>
      <c r="H1096" s="67"/>
      <c r="I1096" s="67"/>
      <c r="J1096" s="68"/>
      <c r="K1096" s="68"/>
      <c r="S1096" s="32"/>
      <c r="T1096" s="32"/>
      <c r="U1096" s="61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23"/>
      <c r="AG1096" s="23"/>
      <c r="AH1096" s="27"/>
    </row>
    <row r="1097" spans="1:34" x14ac:dyDescent="0.25">
      <c r="A1097" s="69"/>
      <c r="B1097" s="67"/>
      <c r="C1097" s="67"/>
      <c r="D1097" s="68"/>
      <c r="E1097" s="68"/>
      <c r="F1097" s="68"/>
      <c r="G1097" s="67"/>
      <c r="H1097" s="67"/>
      <c r="I1097" s="67"/>
      <c r="J1097" s="68"/>
      <c r="K1097" s="68"/>
      <c r="S1097" s="32"/>
      <c r="T1097" s="32"/>
      <c r="U1097" s="61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23"/>
      <c r="AG1097" s="23"/>
      <c r="AH1097" s="27"/>
    </row>
    <row r="1098" spans="1:34" x14ac:dyDescent="0.25">
      <c r="A1098" s="69"/>
      <c r="B1098" s="67"/>
      <c r="C1098" s="67"/>
      <c r="D1098" s="68"/>
      <c r="E1098" s="68"/>
      <c r="F1098" s="68"/>
      <c r="G1098" s="67"/>
      <c r="H1098" s="67"/>
      <c r="I1098" s="67"/>
      <c r="J1098" s="68"/>
      <c r="K1098" s="68"/>
      <c r="S1098" s="32"/>
      <c r="T1098" s="32"/>
      <c r="U1098" s="61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23"/>
      <c r="AG1098" s="23"/>
      <c r="AH1098" s="27"/>
    </row>
    <row r="1099" spans="1:34" x14ac:dyDescent="0.25">
      <c r="A1099" s="69"/>
      <c r="B1099" s="67"/>
      <c r="C1099" s="67"/>
      <c r="D1099" s="68"/>
      <c r="E1099" s="68"/>
      <c r="F1099" s="68"/>
      <c r="G1099" s="67"/>
      <c r="H1099" s="67"/>
      <c r="I1099" s="67"/>
      <c r="J1099" s="68"/>
      <c r="K1099" s="68"/>
      <c r="S1099" s="32"/>
      <c r="T1099" s="32"/>
      <c r="U1099" s="61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23"/>
      <c r="AG1099" s="23"/>
      <c r="AH1099" s="27"/>
    </row>
    <row r="1100" spans="1:34" x14ac:dyDescent="0.25">
      <c r="A1100" s="69"/>
      <c r="B1100" s="67"/>
      <c r="C1100" s="67"/>
      <c r="D1100" s="68"/>
      <c r="E1100" s="68"/>
      <c r="F1100" s="68"/>
      <c r="G1100" s="67"/>
      <c r="H1100" s="67"/>
      <c r="I1100" s="67"/>
      <c r="J1100" s="68"/>
      <c r="K1100" s="68"/>
      <c r="S1100" s="32"/>
      <c r="T1100" s="32"/>
      <c r="U1100" s="61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23"/>
      <c r="AG1100" s="23"/>
      <c r="AH1100" s="27"/>
    </row>
    <row r="1101" spans="1:34" x14ac:dyDescent="0.25">
      <c r="A1101" s="69"/>
      <c r="B1101" s="67"/>
      <c r="C1101" s="67"/>
      <c r="D1101" s="68"/>
      <c r="E1101" s="68"/>
      <c r="F1101" s="68"/>
      <c r="G1101" s="67"/>
      <c r="H1101" s="67"/>
      <c r="I1101" s="67"/>
      <c r="J1101" s="68"/>
      <c r="K1101" s="68"/>
      <c r="S1101" s="32"/>
      <c r="T1101" s="32"/>
      <c r="U1101" s="61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23"/>
      <c r="AG1101" s="23"/>
      <c r="AH1101" s="27"/>
    </row>
    <row r="1102" spans="1:34" x14ac:dyDescent="0.25">
      <c r="A1102" s="69"/>
      <c r="B1102" s="67"/>
      <c r="C1102" s="67"/>
      <c r="D1102" s="68"/>
      <c r="E1102" s="68"/>
      <c r="F1102" s="68"/>
      <c r="G1102" s="67"/>
      <c r="H1102" s="67"/>
      <c r="I1102" s="67"/>
      <c r="J1102" s="68"/>
      <c r="K1102" s="68"/>
      <c r="S1102" s="32"/>
      <c r="T1102" s="32"/>
      <c r="U1102" s="61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23"/>
      <c r="AG1102" s="23"/>
      <c r="AH1102" s="27"/>
    </row>
    <row r="1103" spans="1:34" x14ac:dyDescent="0.25">
      <c r="A1103" s="69"/>
      <c r="B1103" s="67"/>
      <c r="C1103" s="67"/>
      <c r="D1103" s="68"/>
      <c r="E1103" s="68"/>
      <c r="F1103" s="68"/>
      <c r="G1103" s="67"/>
      <c r="H1103" s="67"/>
      <c r="I1103" s="67"/>
      <c r="J1103" s="68"/>
      <c r="K1103" s="68"/>
      <c r="S1103" s="32"/>
      <c r="T1103" s="32"/>
      <c r="U1103" s="61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23"/>
      <c r="AG1103" s="23"/>
      <c r="AH1103" s="27"/>
    </row>
    <row r="1104" spans="1:34" x14ac:dyDescent="0.25">
      <c r="A1104" s="69"/>
      <c r="B1104" s="67"/>
      <c r="C1104" s="67"/>
      <c r="D1104" s="70"/>
      <c r="E1104" s="70"/>
      <c r="F1104" s="70"/>
      <c r="G1104" s="67"/>
      <c r="H1104" s="67"/>
      <c r="I1104" s="67"/>
      <c r="J1104" s="68"/>
      <c r="K1104" s="68"/>
      <c r="S1104" s="32"/>
      <c r="T1104" s="32"/>
      <c r="U1104" s="61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23"/>
      <c r="AG1104" s="23"/>
      <c r="AH1104" s="27"/>
    </row>
    <row r="1105" spans="1:34" x14ac:dyDescent="0.25">
      <c r="A1105" s="69"/>
      <c r="B1105" s="67"/>
      <c r="C1105" s="67"/>
      <c r="D1105" s="70"/>
      <c r="E1105" s="70"/>
      <c r="F1105" s="70"/>
      <c r="G1105" s="67"/>
      <c r="H1105" s="67"/>
      <c r="I1105" s="67"/>
      <c r="J1105" s="68"/>
      <c r="K1105" s="68"/>
      <c r="S1105" s="32"/>
      <c r="T1105" s="32"/>
      <c r="U1105" s="61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23"/>
      <c r="AG1105" s="23"/>
      <c r="AH1105" s="27"/>
    </row>
    <row r="1106" spans="1:34" x14ac:dyDescent="0.25">
      <c r="A1106" s="69"/>
      <c r="B1106" s="67"/>
      <c r="C1106" s="67"/>
      <c r="D1106" s="70"/>
      <c r="E1106" s="70"/>
      <c r="F1106" s="70"/>
      <c r="G1106" s="67"/>
      <c r="H1106" s="67"/>
      <c r="I1106" s="67"/>
      <c r="J1106" s="68"/>
      <c r="K1106" s="68"/>
      <c r="S1106" s="32"/>
      <c r="T1106" s="32"/>
      <c r="U1106" s="61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23"/>
      <c r="AG1106" s="23"/>
      <c r="AH1106" s="27"/>
    </row>
    <row r="1107" spans="1:34" x14ac:dyDescent="0.25">
      <c r="A1107" s="69"/>
      <c r="B1107" s="67"/>
      <c r="C1107" s="67"/>
      <c r="D1107" s="68"/>
      <c r="E1107" s="68"/>
      <c r="F1107" s="68"/>
      <c r="G1107" s="67"/>
      <c r="H1107" s="67"/>
      <c r="I1107" s="67"/>
      <c r="J1107" s="68"/>
      <c r="K1107" s="68"/>
      <c r="S1107" s="32"/>
      <c r="T1107" s="32"/>
      <c r="U1107" s="61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23"/>
      <c r="AG1107" s="23"/>
      <c r="AH1107" s="27"/>
    </row>
    <row r="1108" spans="1:34" x14ac:dyDescent="0.25">
      <c r="A1108" s="69"/>
      <c r="B1108" s="67"/>
      <c r="C1108" s="67"/>
      <c r="D1108" s="68"/>
      <c r="E1108" s="68"/>
      <c r="F1108" s="68"/>
      <c r="G1108" s="67"/>
      <c r="H1108" s="67"/>
      <c r="I1108" s="67"/>
      <c r="J1108" s="68"/>
      <c r="K1108" s="68"/>
      <c r="S1108" s="32"/>
      <c r="T1108" s="32"/>
      <c r="U1108" s="61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23"/>
      <c r="AG1108" s="23"/>
      <c r="AH1108" s="27"/>
    </row>
    <row r="1109" spans="1:34" x14ac:dyDescent="0.25">
      <c r="A1109" s="69"/>
      <c r="B1109" s="67"/>
      <c r="C1109" s="67"/>
      <c r="D1109" s="68"/>
      <c r="E1109" s="68"/>
      <c r="F1109" s="68"/>
      <c r="G1109" s="67"/>
      <c r="H1109" s="67"/>
      <c r="I1109" s="67"/>
      <c r="J1109" s="68"/>
      <c r="K1109" s="68"/>
      <c r="S1109" s="32"/>
      <c r="T1109" s="32"/>
      <c r="U1109" s="61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23"/>
      <c r="AG1109" s="23"/>
      <c r="AH1109" s="27"/>
    </row>
    <row r="1110" spans="1:34" x14ac:dyDescent="0.25">
      <c r="A1110" s="69"/>
      <c r="B1110" s="67"/>
      <c r="C1110" s="67"/>
      <c r="D1110" s="68"/>
      <c r="E1110" s="68"/>
      <c r="F1110" s="68"/>
      <c r="G1110" s="67"/>
      <c r="H1110" s="67"/>
      <c r="I1110" s="67"/>
      <c r="J1110" s="68"/>
      <c r="K1110" s="68"/>
      <c r="S1110" s="32"/>
      <c r="T1110" s="32"/>
      <c r="U1110" s="61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23"/>
      <c r="AG1110" s="23"/>
      <c r="AH1110" s="27"/>
    </row>
    <row r="1111" spans="1:34" x14ac:dyDescent="0.25">
      <c r="A1111" s="69"/>
      <c r="B1111" s="67"/>
      <c r="C1111" s="67"/>
      <c r="D1111" s="68"/>
      <c r="E1111" s="68"/>
      <c r="F1111" s="68"/>
      <c r="G1111" s="67"/>
      <c r="H1111" s="67"/>
      <c r="I1111" s="67"/>
      <c r="J1111" s="68"/>
      <c r="K1111" s="68"/>
      <c r="S1111" s="32"/>
      <c r="T1111" s="32"/>
      <c r="U1111" s="61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23"/>
      <c r="AG1111" s="23"/>
      <c r="AH1111" s="27"/>
    </row>
    <row r="1112" spans="1:34" x14ac:dyDescent="0.25">
      <c r="A1112" s="69"/>
      <c r="B1112" s="67"/>
      <c r="C1112" s="67"/>
      <c r="D1112" s="68"/>
      <c r="E1112" s="68"/>
      <c r="F1112" s="68"/>
      <c r="G1112" s="67"/>
      <c r="H1112" s="67"/>
      <c r="I1112" s="67"/>
      <c r="J1112" s="68"/>
      <c r="K1112" s="68"/>
      <c r="S1112" s="32"/>
      <c r="T1112" s="32"/>
      <c r="U1112" s="61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23"/>
      <c r="AG1112" s="23"/>
      <c r="AH1112" s="27"/>
    </row>
    <row r="1113" spans="1:34" x14ac:dyDescent="0.25">
      <c r="A1113" s="69"/>
      <c r="B1113" s="67"/>
      <c r="C1113" s="67"/>
      <c r="D1113" s="68"/>
      <c r="E1113" s="68"/>
      <c r="F1113" s="68"/>
      <c r="G1113" s="67"/>
      <c r="H1113" s="67"/>
      <c r="I1113" s="67"/>
      <c r="J1113" s="68"/>
      <c r="K1113" s="68"/>
      <c r="S1113" s="32"/>
      <c r="T1113" s="32"/>
      <c r="U1113" s="61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23"/>
      <c r="AG1113" s="23"/>
      <c r="AH1113" s="27"/>
    </row>
    <row r="1114" spans="1:34" x14ac:dyDescent="0.25">
      <c r="A1114" s="69"/>
      <c r="B1114" s="67"/>
      <c r="C1114" s="67"/>
      <c r="D1114" s="68"/>
      <c r="E1114" s="68"/>
      <c r="F1114" s="68"/>
      <c r="G1114" s="67"/>
      <c r="H1114" s="67"/>
      <c r="I1114" s="67"/>
      <c r="J1114" s="68"/>
      <c r="K1114" s="68"/>
      <c r="S1114" s="32"/>
      <c r="T1114" s="32"/>
      <c r="U1114" s="61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23"/>
      <c r="AG1114" s="23"/>
      <c r="AH1114" s="27"/>
    </row>
    <row r="1115" spans="1:34" x14ac:dyDescent="0.25">
      <c r="A1115" s="69"/>
      <c r="B1115" s="67"/>
      <c r="C1115" s="67"/>
      <c r="D1115" s="68"/>
      <c r="E1115" s="68"/>
      <c r="F1115" s="68"/>
      <c r="G1115" s="67"/>
      <c r="H1115" s="67"/>
      <c r="I1115" s="67"/>
      <c r="J1115" s="68"/>
      <c r="K1115" s="68"/>
      <c r="S1115" s="32"/>
      <c r="T1115" s="32"/>
      <c r="U1115" s="61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23"/>
      <c r="AG1115" s="23"/>
      <c r="AH1115" s="27"/>
    </row>
    <row r="1116" spans="1:34" x14ac:dyDescent="0.25">
      <c r="A1116" s="69"/>
      <c r="B1116" s="67"/>
      <c r="C1116" s="67"/>
      <c r="D1116" s="68"/>
      <c r="E1116" s="68"/>
      <c r="F1116" s="68"/>
      <c r="G1116" s="67"/>
      <c r="H1116" s="67"/>
      <c r="I1116" s="67"/>
      <c r="J1116" s="68"/>
      <c r="K1116" s="68"/>
      <c r="S1116" s="32"/>
      <c r="T1116" s="32"/>
      <c r="U1116" s="61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23"/>
      <c r="AG1116" s="23"/>
      <c r="AH1116" s="27"/>
    </row>
    <row r="1117" spans="1:34" x14ac:dyDescent="0.25">
      <c r="A1117" s="69"/>
      <c r="B1117" s="67"/>
      <c r="C1117" s="67"/>
      <c r="D1117" s="68"/>
      <c r="E1117" s="68"/>
      <c r="F1117" s="68"/>
      <c r="G1117" s="67"/>
      <c r="H1117" s="67"/>
      <c r="I1117" s="67"/>
      <c r="J1117" s="68"/>
      <c r="K1117" s="68"/>
      <c r="S1117" s="32"/>
      <c r="T1117" s="32"/>
      <c r="U1117" s="61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23"/>
      <c r="AG1117" s="23"/>
      <c r="AH1117" s="27"/>
    </row>
    <row r="1118" spans="1:34" x14ac:dyDescent="0.25">
      <c r="A1118" s="69"/>
      <c r="B1118" s="67"/>
      <c r="C1118" s="67"/>
      <c r="D1118" s="68"/>
      <c r="E1118" s="68"/>
      <c r="F1118" s="68"/>
      <c r="G1118" s="67"/>
      <c r="H1118" s="67"/>
      <c r="I1118" s="67"/>
      <c r="J1118" s="68"/>
      <c r="K1118" s="68"/>
      <c r="S1118" s="32"/>
      <c r="T1118" s="32"/>
      <c r="U1118" s="61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23"/>
      <c r="AG1118" s="23"/>
      <c r="AH1118" s="27"/>
    </row>
    <row r="1119" spans="1:34" x14ac:dyDescent="0.25">
      <c r="A1119" s="69"/>
      <c r="B1119" s="67"/>
      <c r="C1119" s="67"/>
      <c r="D1119" s="68"/>
      <c r="E1119" s="68"/>
      <c r="F1119" s="68"/>
      <c r="G1119" s="67"/>
      <c r="H1119" s="67"/>
      <c r="I1119" s="67"/>
      <c r="J1119" s="68"/>
      <c r="K1119" s="68"/>
      <c r="S1119" s="32"/>
      <c r="T1119" s="32"/>
      <c r="U1119" s="61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23"/>
      <c r="AG1119" s="23"/>
      <c r="AH1119" s="27"/>
    </row>
    <row r="1120" spans="1:34" x14ac:dyDescent="0.25">
      <c r="A1120" s="69"/>
      <c r="B1120" s="67"/>
      <c r="C1120" s="67"/>
      <c r="D1120" s="68"/>
      <c r="E1120" s="68"/>
      <c r="F1120" s="68"/>
      <c r="G1120" s="67"/>
      <c r="H1120" s="67"/>
      <c r="I1120" s="67"/>
      <c r="J1120" s="68"/>
      <c r="K1120" s="68"/>
      <c r="S1120" s="32"/>
      <c r="T1120" s="32"/>
      <c r="U1120" s="61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23"/>
      <c r="AG1120" s="23"/>
      <c r="AH1120" s="27"/>
    </row>
    <row r="1121" spans="1:34" x14ac:dyDescent="0.25">
      <c r="A1121" s="69"/>
      <c r="B1121" s="67"/>
      <c r="C1121" s="67"/>
      <c r="D1121" s="68"/>
      <c r="E1121" s="68"/>
      <c r="F1121" s="68"/>
      <c r="G1121" s="67"/>
      <c r="H1121" s="67"/>
      <c r="I1121" s="67"/>
      <c r="J1121" s="68"/>
      <c r="K1121" s="68"/>
      <c r="S1121" s="32"/>
      <c r="T1121" s="32"/>
      <c r="U1121" s="61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23"/>
      <c r="AG1121" s="23"/>
      <c r="AH1121" s="27"/>
    </row>
    <row r="1122" spans="1:34" x14ac:dyDescent="0.25">
      <c r="A1122" s="69"/>
      <c r="B1122" s="67"/>
      <c r="C1122" s="67"/>
      <c r="D1122" s="68"/>
      <c r="E1122" s="68"/>
      <c r="F1122" s="68"/>
      <c r="G1122" s="67"/>
      <c r="H1122" s="67"/>
      <c r="I1122" s="67"/>
      <c r="J1122" s="68"/>
      <c r="K1122" s="68"/>
      <c r="S1122" s="32"/>
      <c r="T1122" s="32"/>
      <c r="U1122" s="61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23"/>
      <c r="AG1122" s="23"/>
      <c r="AH1122" s="27"/>
    </row>
    <row r="1123" spans="1:34" x14ac:dyDescent="0.25">
      <c r="A1123" s="69"/>
      <c r="B1123" s="67"/>
      <c r="C1123" s="67"/>
      <c r="D1123" s="68"/>
      <c r="E1123" s="68"/>
      <c r="F1123" s="68"/>
      <c r="G1123" s="67"/>
      <c r="H1123" s="67"/>
      <c r="I1123" s="67"/>
      <c r="J1123" s="68"/>
      <c r="K1123" s="68"/>
      <c r="S1123" s="32"/>
      <c r="T1123" s="32"/>
      <c r="U1123" s="61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23"/>
      <c r="AG1123" s="23"/>
      <c r="AH1123" s="27"/>
    </row>
    <row r="1124" spans="1:34" x14ac:dyDescent="0.25">
      <c r="A1124" s="69"/>
      <c r="B1124" s="67"/>
      <c r="C1124" s="67"/>
      <c r="D1124" s="68"/>
      <c r="E1124" s="68"/>
      <c r="F1124" s="68"/>
      <c r="G1124" s="67"/>
      <c r="H1124" s="67"/>
      <c r="I1124" s="67"/>
      <c r="J1124" s="68"/>
      <c r="K1124" s="68"/>
      <c r="S1124" s="32"/>
      <c r="T1124" s="32"/>
      <c r="U1124" s="61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23"/>
      <c r="AG1124" s="23"/>
      <c r="AH1124" s="27"/>
    </row>
    <row r="1125" spans="1:34" x14ac:dyDescent="0.25">
      <c r="A1125" s="69"/>
      <c r="B1125" s="67"/>
      <c r="C1125" s="67"/>
      <c r="D1125" s="68"/>
      <c r="E1125" s="68"/>
      <c r="F1125" s="68"/>
      <c r="G1125" s="67"/>
      <c r="H1125" s="67"/>
      <c r="I1125" s="67"/>
      <c r="J1125" s="68"/>
      <c r="K1125" s="68"/>
      <c r="S1125" s="32"/>
      <c r="T1125" s="32"/>
      <c r="U1125" s="61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23"/>
      <c r="AG1125" s="23"/>
      <c r="AH1125" s="27"/>
    </row>
    <row r="1126" spans="1:34" x14ac:dyDescent="0.25">
      <c r="A1126" s="69"/>
      <c r="B1126" s="67"/>
      <c r="C1126" s="67"/>
      <c r="D1126" s="68"/>
      <c r="E1126" s="68"/>
      <c r="F1126" s="68"/>
      <c r="G1126" s="67"/>
      <c r="H1126" s="67"/>
      <c r="I1126" s="67"/>
      <c r="J1126" s="68"/>
      <c r="K1126" s="68"/>
      <c r="S1126" s="32"/>
      <c r="T1126" s="32"/>
      <c r="U1126" s="61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23"/>
      <c r="AG1126" s="23"/>
      <c r="AH1126" s="27"/>
    </row>
    <row r="1127" spans="1:34" x14ac:dyDescent="0.25">
      <c r="A1127" s="69"/>
      <c r="B1127" s="67"/>
      <c r="C1127" s="67"/>
      <c r="D1127" s="68"/>
      <c r="E1127" s="68"/>
      <c r="F1127" s="68"/>
      <c r="G1127" s="67"/>
      <c r="H1127" s="67"/>
      <c r="I1127" s="67"/>
      <c r="J1127" s="68"/>
      <c r="K1127" s="68"/>
      <c r="S1127" s="32"/>
      <c r="T1127" s="32"/>
      <c r="U1127" s="61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23"/>
      <c r="AG1127" s="23"/>
      <c r="AH1127" s="27"/>
    </row>
    <row r="1128" spans="1:34" x14ac:dyDescent="0.25">
      <c r="A1128" s="69"/>
      <c r="B1128" s="67"/>
      <c r="C1128" s="67"/>
      <c r="D1128" s="70"/>
      <c r="E1128" s="70"/>
      <c r="F1128" s="70"/>
      <c r="G1128" s="67"/>
      <c r="H1128" s="67"/>
      <c r="I1128" s="67"/>
      <c r="J1128" s="68"/>
      <c r="K1128" s="68"/>
      <c r="S1128" s="32"/>
      <c r="T1128" s="32"/>
      <c r="U1128" s="61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23"/>
      <c r="AG1128" s="23"/>
      <c r="AH1128" s="27"/>
    </row>
    <row r="1129" spans="1:34" x14ac:dyDescent="0.25">
      <c r="A1129" s="69"/>
      <c r="B1129" s="67"/>
      <c r="C1129" s="67"/>
      <c r="D1129" s="70"/>
      <c r="E1129" s="70"/>
      <c r="F1129" s="70"/>
      <c r="G1129" s="67"/>
      <c r="H1129" s="67"/>
      <c r="I1129" s="67"/>
      <c r="J1129" s="68"/>
      <c r="K1129" s="68"/>
      <c r="S1129" s="32"/>
      <c r="T1129" s="32"/>
      <c r="U1129" s="61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23"/>
      <c r="AG1129" s="23"/>
      <c r="AH1129" s="27"/>
    </row>
    <row r="1130" spans="1:34" x14ac:dyDescent="0.25">
      <c r="A1130" s="69"/>
      <c r="B1130" s="67"/>
      <c r="C1130" s="67"/>
      <c r="D1130" s="70"/>
      <c r="E1130" s="70"/>
      <c r="F1130" s="70"/>
      <c r="G1130" s="67"/>
      <c r="H1130" s="67"/>
      <c r="I1130" s="67"/>
      <c r="J1130" s="68"/>
      <c r="K1130" s="68"/>
      <c r="S1130" s="32"/>
      <c r="T1130" s="32"/>
      <c r="U1130" s="61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23"/>
      <c r="AG1130" s="23"/>
      <c r="AH1130" s="27"/>
    </row>
    <row r="1131" spans="1:34" x14ac:dyDescent="0.25">
      <c r="A1131" s="69"/>
      <c r="B1131" s="67"/>
      <c r="C1131" s="67"/>
      <c r="D1131" s="68"/>
      <c r="E1131" s="68"/>
      <c r="F1131" s="68"/>
      <c r="G1131" s="67"/>
      <c r="H1131" s="67"/>
      <c r="I1131" s="67"/>
      <c r="J1131" s="68"/>
      <c r="K1131" s="68"/>
      <c r="S1131" s="32"/>
      <c r="T1131" s="32"/>
      <c r="U1131" s="61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23"/>
      <c r="AG1131" s="23"/>
      <c r="AH1131" s="27"/>
    </row>
    <row r="1132" spans="1:34" x14ac:dyDescent="0.25">
      <c r="A1132" s="69"/>
      <c r="B1132" s="67"/>
      <c r="C1132" s="67"/>
      <c r="D1132" s="68"/>
      <c r="E1132" s="68"/>
      <c r="F1132" s="68"/>
      <c r="G1132" s="67"/>
      <c r="H1132" s="67"/>
      <c r="I1132" s="67"/>
      <c r="J1132" s="68"/>
      <c r="K1132" s="68"/>
      <c r="S1132" s="32"/>
      <c r="T1132" s="32"/>
      <c r="U1132" s="61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23"/>
      <c r="AG1132" s="23"/>
      <c r="AH1132" s="27"/>
    </row>
    <row r="1133" spans="1:34" x14ac:dyDescent="0.25">
      <c r="A1133" s="69"/>
      <c r="B1133" s="67"/>
      <c r="C1133" s="67"/>
      <c r="D1133" s="68"/>
      <c r="E1133" s="68"/>
      <c r="F1133" s="68"/>
      <c r="G1133" s="67"/>
      <c r="H1133" s="67"/>
      <c r="I1133" s="67"/>
      <c r="J1133" s="68"/>
      <c r="K1133" s="68"/>
      <c r="S1133" s="32"/>
      <c r="T1133" s="32"/>
      <c r="U1133" s="61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23"/>
      <c r="AG1133" s="23"/>
      <c r="AH1133" s="27"/>
    </row>
    <row r="1134" spans="1:34" x14ac:dyDescent="0.25">
      <c r="A1134" s="69"/>
      <c r="B1134" s="67"/>
      <c r="C1134" s="67"/>
      <c r="D1134" s="68"/>
      <c r="E1134" s="68"/>
      <c r="F1134" s="68"/>
      <c r="G1134" s="67"/>
      <c r="H1134" s="67"/>
      <c r="I1134" s="67"/>
      <c r="J1134" s="68"/>
      <c r="K1134" s="68"/>
      <c r="S1134" s="32"/>
      <c r="T1134" s="32"/>
      <c r="U1134" s="61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23"/>
      <c r="AG1134" s="23"/>
      <c r="AH1134" s="27"/>
    </row>
    <row r="1135" spans="1:34" x14ac:dyDescent="0.25">
      <c r="A1135" s="69"/>
      <c r="B1135" s="67"/>
      <c r="C1135" s="67"/>
      <c r="D1135" s="68"/>
      <c r="E1135" s="68"/>
      <c r="F1135" s="68"/>
      <c r="G1135" s="67"/>
      <c r="H1135" s="67"/>
      <c r="I1135" s="67"/>
      <c r="J1135" s="68"/>
      <c r="K1135" s="68"/>
      <c r="S1135" s="32"/>
      <c r="T1135" s="32"/>
      <c r="U1135" s="61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23"/>
      <c r="AG1135" s="23"/>
      <c r="AH1135" s="27"/>
    </row>
    <row r="1136" spans="1:34" x14ac:dyDescent="0.25">
      <c r="A1136" s="69"/>
      <c r="B1136" s="67"/>
      <c r="C1136" s="67"/>
      <c r="D1136" s="68"/>
      <c r="E1136" s="68"/>
      <c r="F1136" s="68"/>
      <c r="G1136" s="67"/>
      <c r="H1136" s="67"/>
      <c r="I1136" s="67"/>
      <c r="J1136" s="68"/>
      <c r="K1136" s="68"/>
      <c r="S1136" s="32"/>
      <c r="T1136" s="32"/>
      <c r="U1136" s="61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23"/>
      <c r="AG1136" s="23"/>
      <c r="AH1136" s="27"/>
    </row>
    <row r="1137" spans="1:34" x14ac:dyDescent="0.25">
      <c r="A1137" s="69"/>
      <c r="B1137" s="67"/>
      <c r="C1137" s="67"/>
      <c r="D1137" s="68"/>
      <c r="E1137" s="68"/>
      <c r="F1137" s="68"/>
      <c r="G1137" s="67"/>
      <c r="H1137" s="67"/>
      <c r="I1137" s="67"/>
      <c r="J1137" s="68"/>
      <c r="K1137" s="68"/>
      <c r="S1137" s="32"/>
      <c r="T1137" s="32"/>
      <c r="U1137" s="61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23"/>
      <c r="AG1137" s="23"/>
      <c r="AH1137" s="27"/>
    </row>
    <row r="1138" spans="1:34" x14ac:dyDescent="0.25">
      <c r="A1138" s="69"/>
      <c r="B1138" s="67"/>
      <c r="C1138" s="67"/>
      <c r="D1138" s="68"/>
      <c r="E1138" s="68"/>
      <c r="F1138" s="68"/>
      <c r="G1138" s="67"/>
      <c r="H1138" s="67"/>
      <c r="I1138" s="67"/>
      <c r="J1138" s="68"/>
      <c r="K1138" s="68"/>
      <c r="S1138" s="32"/>
      <c r="T1138" s="32"/>
      <c r="U1138" s="61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23"/>
      <c r="AG1138" s="23"/>
      <c r="AH1138" s="27"/>
    </row>
    <row r="1139" spans="1:34" x14ac:dyDescent="0.25">
      <c r="A1139" s="69"/>
      <c r="B1139" s="67"/>
      <c r="C1139" s="67"/>
      <c r="D1139" s="68"/>
      <c r="E1139" s="68"/>
      <c r="F1139" s="68"/>
      <c r="G1139" s="67"/>
      <c r="H1139" s="67"/>
      <c r="I1139" s="67"/>
      <c r="J1139" s="68"/>
      <c r="K1139" s="68"/>
      <c r="S1139" s="32"/>
      <c r="T1139" s="32"/>
      <c r="U1139" s="61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23"/>
      <c r="AG1139" s="23"/>
      <c r="AH1139" s="27"/>
    </row>
    <row r="1140" spans="1:34" x14ac:dyDescent="0.25">
      <c r="A1140" s="69"/>
      <c r="B1140" s="67"/>
      <c r="C1140" s="67"/>
      <c r="D1140" s="68"/>
      <c r="E1140" s="68"/>
      <c r="F1140" s="68"/>
      <c r="G1140" s="67"/>
      <c r="H1140" s="67"/>
      <c r="I1140" s="67"/>
      <c r="J1140" s="68"/>
      <c r="K1140" s="68"/>
      <c r="S1140" s="32"/>
      <c r="T1140" s="32"/>
      <c r="U1140" s="61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23"/>
      <c r="AG1140" s="23"/>
      <c r="AH1140" s="27"/>
    </row>
    <row r="1141" spans="1:34" x14ac:dyDescent="0.25">
      <c r="A1141" s="69"/>
      <c r="B1141" s="67"/>
      <c r="C1141" s="67"/>
      <c r="D1141" s="68"/>
      <c r="E1141" s="68"/>
      <c r="F1141" s="68"/>
      <c r="G1141" s="67"/>
      <c r="H1141" s="67"/>
      <c r="I1141" s="67"/>
      <c r="J1141" s="68"/>
      <c r="K1141" s="68"/>
      <c r="S1141" s="32"/>
      <c r="T1141" s="32"/>
      <c r="U1141" s="61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23"/>
      <c r="AG1141" s="23"/>
      <c r="AH1141" s="27"/>
    </row>
    <row r="1142" spans="1:34" x14ac:dyDescent="0.25">
      <c r="A1142" s="69"/>
      <c r="B1142" s="67"/>
      <c r="C1142" s="67"/>
      <c r="D1142" s="68"/>
      <c r="E1142" s="68"/>
      <c r="F1142" s="68"/>
      <c r="G1142" s="67"/>
      <c r="H1142" s="67"/>
      <c r="I1142" s="67"/>
      <c r="J1142" s="68"/>
      <c r="K1142" s="68"/>
      <c r="S1142" s="32"/>
      <c r="T1142" s="32"/>
      <c r="U1142" s="61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23"/>
      <c r="AG1142" s="23"/>
      <c r="AH1142" s="27"/>
    </row>
    <row r="1143" spans="1:34" x14ac:dyDescent="0.25">
      <c r="A1143" s="69"/>
      <c r="B1143" s="67"/>
      <c r="C1143" s="67"/>
      <c r="D1143" s="68"/>
      <c r="E1143" s="68"/>
      <c r="F1143" s="68"/>
      <c r="G1143" s="67"/>
      <c r="H1143" s="67"/>
      <c r="I1143" s="67"/>
      <c r="J1143" s="68"/>
      <c r="K1143" s="68"/>
      <c r="S1143" s="32"/>
      <c r="T1143" s="32"/>
      <c r="U1143" s="61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23"/>
      <c r="AG1143" s="23"/>
      <c r="AH1143" s="27"/>
    </row>
    <row r="1144" spans="1:34" x14ac:dyDescent="0.25">
      <c r="A1144" s="69"/>
      <c r="B1144" s="67"/>
      <c r="C1144" s="67"/>
      <c r="D1144" s="68"/>
      <c r="E1144" s="68"/>
      <c r="F1144" s="68"/>
      <c r="G1144" s="67"/>
      <c r="H1144" s="67"/>
      <c r="I1144" s="67"/>
      <c r="J1144" s="68"/>
      <c r="K1144" s="68"/>
      <c r="S1144" s="32"/>
      <c r="T1144" s="32"/>
      <c r="U1144" s="61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23"/>
      <c r="AG1144" s="23"/>
      <c r="AH1144" s="27"/>
    </row>
    <row r="1145" spans="1:34" x14ac:dyDescent="0.25">
      <c r="A1145" s="69"/>
      <c r="B1145" s="67"/>
      <c r="C1145" s="67"/>
      <c r="D1145" s="68"/>
      <c r="E1145" s="68"/>
      <c r="F1145" s="68"/>
      <c r="G1145" s="67"/>
      <c r="H1145" s="67"/>
      <c r="I1145" s="67"/>
      <c r="J1145" s="68"/>
      <c r="K1145" s="68"/>
      <c r="S1145" s="32"/>
      <c r="T1145" s="32"/>
      <c r="U1145" s="61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23"/>
      <c r="AG1145" s="23"/>
      <c r="AH1145" s="27"/>
    </row>
    <row r="1146" spans="1:34" x14ac:dyDescent="0.25">
      <c r="A1146" s="69"/>
      <c r="B1146" s="67"/>
      <c r="C1146" s="67"/>
      <c r="D1146" s="68"/>
      <c r="E1146" s="68"/>
      <c r="F1146" s="68"/>
      <c r="G1146" s="67"/>
      <c r="H1146" s="67"/>
      <c r="I1146" s="67"/>
      <c r="J1146" s="68"/>
      <c r="K1146" s="68"/>
      <c r="S1146" s="32"/>
      <c r="T1146" s="32"/>
      <c r="U1146" s="61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23"/>
      <c r="AG1146" s="23"/>
      <c r="AH1146" s="27"/>
    </row>
    <row r="1147" spans="1:34" x14ac:dyDescent="0.25">
      <c r="A1147" s="69"/>
      <c r="B1147" s="67"/>
      <c r="C1147" s="67"/>
      <c r="D1147" s="68"/>
      <c r="E1147" s="68"/>
      <c r="F1147" s="68"/>
      <c r="G1147" s="67"/>
      <c r="H1147" s="67"/>
      <c r="I1147" s="67"/>
      <c r="J1147" s="68"/>
      <c r="K1147" s="68"/>
      <c r="S1147" s="32"/>
      <c r="T1147" s="32"/>
      <c r="U1147" s="61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23"/>
      <c r="AG1147" s="23"/>
      <c r="AH1147" s="27"/>
    </row>
    <row r="1148" spans="1:34" x14ac:dyDescent="0.25">
      <c r="A1148" s="69"/>
      <c r="B1148" s="67"/>
      <c r="C1148" s="67"/>
      <c r="D1148" s="68"/>
      <c r="E1148" s="68"/>
      <c r="F1148" s="68"/>
      <c r="G1148" s="67"/>
      <c r="H1148" s="67"/>
      <c r="I1148" s="67"/>
      <c r="J1148" s="68"/>
      <c r="K1148" s="68"/>
      <c r="S1148" s="32"/>
      <c r="T1148" s="32"/>
      <c r="U1148" s="61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23"/>
      <c r="AG1148" s="23"/>
      <c r="AH1148" s="27"/>
    </row>
    <row r="1149" spans="1:34" x14ac:dyDescent="0.25">
      <c r="A1149" s="69"/>
      <c r="B1149" s="67"/>
      <c r="C1149" s="67"/>
      <c r="D1149" s="68"/>
      <c r="E1149" s="68"/>
      <c r="F1149" s="68"/>
      <c r="G1149" s="67"/>
      <c r="H1149" s="67"/>
      <c r="I1149" s="67"/>
      <c r="J1149" s="68"/>
      <c r="K1149" s="68"/>
      <c r="S1149" s="32"/>
      <c r="T1149" s="32"/>
      <c r="U1149" s="61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23"/>
      <c r="AG1149" s="23"/>
      <c r="AH1149" s="27"/>
    </row>
    <row r="1150" spans="1:34" x14ac:dyDescent="0.25">
      <c r="A1150" s="69"/>
      <c r="B1150" s="67"/>
      <c r="C1150" s="67"/>
      <c r="D1150" s="68"/>
      <c r="E1150" s="68"/>
      <c r="F1150" s="68"/>
      <c r="G1150" s="67"/>
      <c r="H1150" s="67"/>
      <c r="I1150" s="67"/>
      <c r="J1150" s="68"/>
      <c r="K1150" s="68"/>
      <c r="S1150" s="32"/>
      <c r="T1150" s="32"/>
      <c r="U1150" s="61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23"/>
      <c r="AG1150" s="23"/>
      <c r="AH1150" s="27"/>
    </row>
    <row r="1151" spans="1:34" x14ac:dyDescent="0.25">
      <c r="A1151" s="69"/>
      <c r="B1151" s="67"/>
      <c r="C1151" s="67"/>
      <c r="D1151" s="68"/>
      <c r="E1151" s="68"/>
      <c r="F1151" s="68"/>
      <c r="G1151" s="67"/>
      <c r="H1151" s="67"/>
      <c r="I1151" s="67"/>
      <c r="J1151" s="68"/>
      <c r="K1151" s="68"/>
      <c r="S1151" s="32"/>
      <c r="T1151" s="32"/>
      <c r="U1151" s="61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23"/>
      <c r="AG1151" s="23"/>
      <c r="AH1151" s="27"/>
    </row>
    <row r="1152" spans="1:34" x14ac:dyDescent="0.25">
      <c r="A1152" s="69"/>
      <c r="B1152" s="67"/>
      <c r="C1152" s="67"/>
      <c r="D1152" s="70"/>
      <c r="E1152" s="70"/>
      <c r="F1152" s="70"/>
      <c r="G1152" s="67"/>
      <c r="H1152" s="67"/>
      <c r="I1152" s="67"/>
      <c r="J1152" s="68"/>
      <c r="K1152" s="68"/>
      <c r="S1152" s="32"/>
      <c r="T1152" s="32"/>
      <c r="U1152" s="61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23"/>
      <c r="AG1152" s="23"/>
      <c r="AH1152" s="27"/>
    </row>
    <row r="1153" spans="1:34" x14ac:dyDescent="0.25">
      <c r="A1153" s="69"/>
      <c r="B1153" s="67"/>
      <c r="C1153" s="67"/>
      <c r="D1153" s="70"/>
      <c r="E1153" s="70"/>
      <c r="F1153" s="70"/>
      <c r="G1153" s="67"/>
      <c r="H1153" s="67"/>
      <c r="I1153" s="67"/>
      <c r="J1153" s="68"/>
      <c r="K1153" s="68"/>
      <c r="S1153" s="32"/>
      <c r="T1153" s="32"/>
      <c r="U1153" s="61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23"/>
      <c r="AG1153" s="23"/>
      <c r="AH1153" s="27"/>
    </row>
    <row r="1154" spans="1:34" x14ac:dyDescent="0.25">
      <c r="A1154" s="69"/>
      <c r="B1154" s="67"/>
      <c r="C1154" s="67"/>
      <c r="D1154" s="70"/>
      <c r="E1154" s="70"/>
      <c r="F1154" s="70"/>
      <c r="G1154" s="67"/>
      <c r="H1154" s="67"/>
      <c r="I1154" s="67"/>
      <c r="J1154" s="68"/>
      <c r="K1154" s="68"/>
      <c r="S1154" s="32"/>
      <c r="T1154" s="32"/>
      <c r="U1154" s="61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23"/>
      <c r="AG1154" s="23"/>
      <c r="AH1154" s="27"/>
    </row>
    <row r="1155" spans="1:34" x14ac:dyDescent="0.25">
      <c r="A1155" s="69"/>
      <c r="B1155" s="67"/>
      <c r="C1155" s="67"/>
      <c r="D1155" s="68"/>
      <c r="E1155" s="68"/>
      <c r="F1155" s="68"/>
      <c r="G1155" s="67"/>
      <c r="H1155" s="67"/>
      <c r="I1155" s="67"/>
      <c r="J1155" s="68"/>
      <c r="K1155" s="68"/>
      <c r="S1155" s="32"/>
      <c r="T1155" s="32"/>
      <c r="U1155" s="61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23"/>
      <c r="AG1155" s="23"/>
      <c r="AH1155" s="27"/>
    </row>
    <row r="1156" spans="1:34" x14ac:dyDescent="0.25">
      <c r="A1156" s="69"/>
      <c r="B1156" s="67"/>
      <c r="C1156" s="67"/>
      <c r="D1156" s="68"/>
      <c r="E1156" s="68"/>
      <c r="F1156" s="68"/>
      <c r="G1156" s="67"/>
      <c r="H1156" s="67"/>
      <c r="I1156" s="67"/>
      <c r="J1156" s="68"/>
      <c r="K1156" s="68"/>
      <c r="S1156" s="32"/>
      <c r="T1156" s="32"/>
      <c r="U1156" s="61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23"/>
      <c r="AG1156" s="23"/>
      <c r="AH1156" s="27"/>
    </row>
    <row r="1157" spans="1:34" x14ac:dyDescent="0.25">
      <c r="A1157" s="69"/>
      <c r="B1157" s="67"/>
      <c r="C1157" s="67"/>
      <c r="D1157" s="68"/>
      <c r="E1157" s="68"/>
      <c r="F1157" s="68"/>
      <c r="G1157" s="67"/>
      <c r="H1157" s="67"/>
      <c r="I1157" s="67"/>
      <c r="J1157" s="68"/>
      <c r="K1157" s="68"/>
      <c r="S1157" s="32"/>
      <c r="T1157" s="32"/>
      <c r="U1157" s="61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23"/>
      <c r="AG1157" s="23"/>
      <c r="AH1157" s="27"/>
    </row>
    <row r="1158" spans="1:34" x14ac:dyDescent="0.25">
      <c r="A1158" s="69"/>
      <c r="B1158" s="67"/>
      <c r="C1158" s="67"/>
      <c r="D1158" s="68"/>
      <c r="E1158" s="68"/>
      <c r="F1158" s="68"/>
      <c r="G1158" s="67"/>
      <c r="H1158" s="67"/>
      <c r="I1158" s="67"/>
      <c r="J1158" s="68"/>
      <c r="K1158" s="68"/>
      <c r="S1158" s="32"/>
      <c r="T1158" s="32"/>
      <c r="U1158" s="61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23"/>
      <c r="AG1158" s="23"/>
      <c r="AH1158" s="27"/>
    </row>
    <row r="1159" spans="1:34" x14ac:dyDescent="0.25">
      <c r="A1159" s="69"/>
      <c r="B1159" s="67"/>
      <c r="C1159" s="67"/>
      <c r="D1159" s="68"/>
      <c r="E1159" s="68"/>
      <c r="F1159" s="68"/>
      <c r="G1159" s="67"/>
      <c r="H1159" s="67"/>
      <c r="I1159" s="67"/>
      <c r="J1159" s="68"/>
      <c r="K1159" s="68"/>
      <c r="S1159" s="32"/>
      <c r="T1159" s="32"/>
      <c r="U1159" s="61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23"/>
      <c r="AG1159" s="23"/>
      <c r="AH1159" s="27"/>
    </row>
    <row r="1160" spans="1:34" x14ac:dyDescent="0.25">
      <c r="A1160" s="69"/>
      <c r="B1160" s="67"/>
      <c r="C1160" s="67"/>
      <c r="D1160" s="68"/>
      <c r="E1160" s="68"/>
      <c r="F1160" s="68"/>
      <c r="G1160" s="67"/>
      <c r="H1160" s="67"/>
      <c r="I1160" s="67"/>
      <c r="J1160" s="68"/>
      <c r="K1160" s="68"/>
      <c r="S1160" s="32"/>
      <c r="T1160" s="32"/>
      <c r="U1160" s="61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23"/>
      <c r="AG1160" s="23"/>
      <c r="AH1160" s="27"/>
    </row>
    <row r="1161" spans="1:34" x14ac:dyDescent="0.25">
      <c r="A1161" s="69"/>
      <c r="B1161" s="67"/>
      <c r="C1161" s="67"/>
      <c r="D1161" s="68"/>
      <c r="E1161" s="68"/>
      <c r="F1161" s="68"/>
      <c r="G1161" s="67"/>
      <c r="H1161" s="67"/>
      <c r="I1161" s="67"/>
      <c r="J1161" s="68"/>
      <c r="K1161" s="68"/>
      <c r="S1161" s="32"/>
      <c r="T1161" s="32"/>
      <c r="U1161" s="61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23"/>
      <c r="AG1161" s="23"/>
      <c r="AH1161" s="27"/>
    </row>
    <row r="1162" spans="1:34" x14ac:dyDescent="0.25">
      <c r="A1162" s="69"/>
      <c r="B1162" s="67"/>
      <c r="C1162" s="67"/>
      <c r="D1162" s="68"/>
      <c r="E1162" s="68"/>
      <c r="F1162" s="68"/>
      <c r="G1162" s="67"/>
      <c r="H1162" s="67"/>
      <c r="I1162" s="67"/>
      <c r="J1162" s="68"/>
      <c r="K1162" s="68"/>
      <c r="S1162" s="32"/>
      <c r="T1162" s="32"/>
      <c r="U1162" s="61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23"/>
      <c r="AG1162" s="23"/>
      <c r="AH1162" s="27"/>
    </row>
    <row r="1163" spans="1:34" x14ac:dyDescent="0.25">
      <c r="A1163" s="69"/>
      <c r="B1163" s="67"/>
      <c r="C1163" s="67"/>
      <c r="D1163" s="68"/>
      <c r="E1163" s="68"/>
      <c r="F1163" s="68"/>
      <c r="G1163" s="67"/>
      <c r="H1163" s="67"/>
      <c r="I1163" s="67"/>
      <c r="J1163" s="68"/>
      <c r="K1163" s="68"/>
      <c r="S1163" s="32"/>
      <c r="T1163" s="32"/>
      <c r="U1163" s="61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23"/>
      <c r="AG1163" s="23"/>
      <c r="AH1163" s="27"/>
    </row>
    <row r="1164" spans="1:34" x14ac:dyDescent="0.25">
      <c r="A1164" s="69"/>
      <c r="B1164" s="67"/>
      <c r="C1164" s="67"/>
      <c r="D1164" s="68"/>
      <c r="E1164" s="68"/>
      <c r="F1164" s="68"/>
      <c r="G1164" s="67"/>
      <c r="H1164" s="67"/>
      <c r="I1164" s="67"/>
      <c r="J1164" s="68"/>
      <c r="K1164" s="68"/>
      <c r="S1164" s="32"/>
      <c r="T1164" s="32"/>
      <c r="U1164" s="61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23"/>
      <c r="AG1164" s="23"/>
      <c r="AH1164" s="27"/>
    </row>
    <row r="1165" spans="1:34" x14ac:dyDescent="0.25">
      <c r="A1165" s="69"/>
      <c r="B1165" s="67"/>
      <c r="C1165" s="67"/>
      <c r="D1165" s="68"/>
      <c r="E1165" s="68"/>
      <c r="F1165" s="68"/>
      <c r="G1165" s="67"/>
      <c r="H1165" s="67"/>
      <c r="I1165" s="67"/>
      <c r="J1165" s="68"/>
      <c r="K1165" s="68"/>
      <c r="S1165" s="32"/>
      <c r="T1165" s="32"/>
      <c r="U1165" s="61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23"/>
      <c r="AG1165" s="23"/>
      <c r="AH1165" s="27"/>
    </row>
    <row r="1166" spans="1:34" x14ac:dyDescent="0.25">
      <c r="A1166" s="69"/>
      <c r="B1166" s="67"/>
      <c r="C1166" s="67"/>
      <c r="D1166" s="68"/>
      <c r="E1166" s="68"/>
      <c r="F1166" s="68"/>
      <c r="G1166" s="67"/>
      <c r="H1166" s="67"/>
      <c r="I1166" s="67"/>
      <c r="J1166" s="68"/>
      <c r="K1166" s="68"/>
      <c r="S1166" s="32"/>
      <c r="T1166" s="32"/>
      <c r="U1166" s="61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23"/>
      <c r="AG1166" s="23"/>
      <c r="AH1166" s="27"/>
    </row>
    <row r="1167" spans="1:34" x14ac:dyDescent="0.25">
      <c r="A1167" s="69"/>
      <c r="B1167" s="67"/>
      <c r="C1167" s="67"/>
      <c r="D1167" s="68"/>
      <c r="E1167" s="68"/>
      <c r="F1167" s="68"/>
      <c r="G1167" s="67"/>
      <c r="H1167" s="67"/>
      <c r="I1167" s="67"/>
      <c r="J1167" s="68"/>
      <c r="K1167" s="68"/>
      <c r="S1167" s="32"/>
      <c r="T1167" s="32"/>
      <c r="U1167" s="61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23"/>
      <c r="AG1167" s="23"/>
      <c r="AH1167" s="27"/>
    </row>
    <row r="1168" spans="1:34" x14ac:dyDescent="0.25">
      <c r="A1168" s="69"/>
      <c r="B1168" s="67"/>
      <c r="C1168" s="67"/>
      <c r="D1168" s="68"/>
      <c r="E1168" s="68"/>
      <c r="F1168" s="68"/>
      <c r="G1168" s="67"/>
      <c r="H1168" s="67"/>
      <c r="I1168" s="67"/>
      <c r="J1168" s="68"/>
      <c r="K1168" s="68"/>
      <c r="S1168" s="32"/>
      <c r="T1168" s="32"/>
      <c r="U1168" s="61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23"/>
      <c r="AG1168" s="23"/>
      <c r="AH1168" s="27"/>
    </row>
    <row r="1169" spans="1:34" x14ac:dyDescent="0.25">
      <c r="A1169" s="69"/>
      <c r="B1169" s="67"/>
      <c r="C1169" s="67"/>
      <c r="D1169" s="68"/>
      <c r="E1169" s="68"/>
      <c r="F1169" s="68"/>
      <c r="G1169" s="67"/>
      <c r="H1169" s="67"/>
      <c r="I1169" s="67"/>
      <c r="J1169" s="68"/>
      <c r="K1169" s="68"/>
      <c r="S1169" s="32"/>
      <c r="T1169" s="32"/>
      <c r="U1169" s="61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23"/>
      <c r="AG1169" s="23"/>
      <c r="AH1169" s="27"/>
    </row>
    <row r="1170" spans="1:34" x14ac:dyDescent="0.25">
      <c r="A1170" s="69"/>
      <c r="B1170" s="67"/>
      <c r="C1170" s="67"/>
      <c r="D1170" s="68"/>
      <c r="E1170" s="68"/>
      <c r="F1170" s="68"/>
      <c r="G1170" s="67"/>
      <c r="H1170" s="67"/>
      <c r="I1170" s="67"/>
      <c r="J1170" s="68"/>
      <c r="K1170" s="68"/>
      <c r="S1170" s="32"/>
      <c r="T1170" s="32"/>
      <c r="U1170" s="61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23"/>
      <c r="AG1170" s="23"/>
      <c r="AH1170" s="27"/>
    </row>
    <row r="1171" spans="1:34" x14ac:dyDescent="0.25">
      <c r="A1171" s="69"/>
      <c r="B1171" s="67"/>
      <c r="C1171" s="67"/>
      <c r="D1171" s="68"/>
      <c r="E1171" s="68"/>
      <c r="F1171" s="68"/>
      <c r="G1171" s="67"/>
      <c r="H1171" s="67"/>
      <c r="I1171" s="67"/>
      <c r="J1171" s="68"/>
      <c r="K1171" s="68"/>
      <c r="S1171" s="32"/>
      <c r="T1171" s="32"/>
      <c r="U1171" s="61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23"/>
      <c r="AG1171" s="23"/>
      <c r="AH1171" s="27"/>
    </row>
    <row r="1172" spans="1:34" x14ac:dyDescent="0.25">
      <c r="A1172" s="69"/>
      <c r="B1172" s="67"/>
      <c r="C1172" s="67"/>
      <c r="D1172" s="68"/>
      <c r="E1172" s="68"/>
      <c r="F1172" s="68"/>
      <c r="G1172" s="67"/>
      <c r="H1172" s="67"/>
      <c r="I1172" s="67"/>
      <c r="J1172" s="68"/>
      <c r="K1172" s="68"/>
      <c r="S1172" s="32"/>
      <c r="T1172" s="32"/>
      <c r="U1172" s="61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23"/>
      <c r="AG1172" s="23"/>
      <c r="AH1172" s="27"/>
    </row>
    <row r="1173" spans="1:34" x14ac:dyDescent="0.25">
      <c r="A1173" s="69"/>
      <c r="B1173" s="67"/>
      <c r="C1173" s="67"/>
      <c r="D1173" s="68"/>
      <c r="E1173" s="68"/>
      <c r="F1173" s="68"/>
      <c r="G1173" s="67"/>
      <c r="H1173" s="67"/>
      <c r="I1173" s="67"/>
      <c r="J1173" s="68"/>
      <c r="K1173" s="68"/>
      <c r="S1173" s="32"/>
      <c r="T1173" s="32"/>
      <c r="U1173" s="61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23"/>
      <c r="AG1173" s="23"/>
      <c r="AH1173" s="27"/>
    </row>
    <row r="1174" spans="1:34" x14ac:dyDescent="0.25">
      <c r="A1174" s="69"/>
      <c r="B1174" s="67"/>
      <c r="C1174" s="67"/>
      <c r="D1174" s="68"/>
      <c r="E1174" s="68"/>
      <c r="F1174" s="68"/>
      <c r="G1174" s="67"/>
      <c r="H1174" s="67"/>
      <c r="I1174" s="67"/>
      <c r="J1174" s="68"/>
      <c r="K1174" s="68"/>
      <c r="S1174" s="32"/>
      <c r="T1174" s="32"/>
      <c r="U1174" s="61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23"/>
      <c r="AG1174" s="23"/>
      <c r="AH1174" s="27"/>
    </row>
    <row r="1175" spans="1:34" x14ac:dyDescent="0.25">
      <c r="A1175" s="69"/>
      <c r="B1175" s="67"/>
      <c r="C1175" s="67"/>
      <c r="D1175" s="68"/>
      <c r="E1175" s="68"/>
      <c r="F1175" s="68"/>
      <c r="G1175" s="67"/>
      <c r="H1175" s="67"/>
      <c r="I1175" s="67"/>
      <c r="J1175" s="68"/>
      <c r="K1175" s="68"/>
      <c r="S1175" s="32"/>
      <c r="T1175" s="32"/>
      <c r="U1175" s="61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23"/>
      <c r="AG1175" s="23"/>
      <c r="AH1175" s="27"/>
    </row>
    <row r="1176" spans="1:34" x14ac:dyDescent="0.25">
      <c r="A1176" s="69"/>
      <c r="B1176" s="67"/>
      <c r="C1176" s="67"/>
      <c r="D1176" s="70"/>
      <c r="E1176" s="70"/>
      <c r="F1176" s="70"/>
      <c r="G1176" s="67"/>
      <c r="H1176" s="67"/>
      <c r="I1176" s="67"/>
      <c r="J1176" s="68"/>
      <c r="K1176" s="68"/>
      <c r="S1176" s="32"/>
      <c r="T1176" s="32"/>
      <c r="U1176" s="61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23"/>
      <c r="AG1176" s="23"/>
      <c r="AH1176" s="27"/>
    </row>
    <row r="1177" spans="1:34" x14ac:dyDescent="0.25">
      <c r="A1177" s="69"/>
      <c r="B1177" s="67"/>
      <c r="C1177" s="67"/>
      <c r="D1177" s="70"/>
      <c r="E1177" s="70"/>
      <c r="F1177" s="70"/>
      <c r="G1177" s="67"/>
      <c r="H1177" s="67"/>
      <c r="I1177" s="67"/>
      <c r="J1177" s="68"/>
      <c r="K1177" s="68"/>
      <c r="S1177" s="32"/>
      <c r="T1177" s="32"/>
      <c r="U1177" s="61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23"/>
      <c r="AG1177" s="23"/>
      <c r="AH1177" s="27"/>
    </row>
    <row r="1178" spans="1:34" x14ac:dyDescent="0.25">
      <c r="A1178" s="69"/>
      <c r="B1178" s="67"/>
      <c r="C1178" s="67"/>
      <c r="D1178" s="70"/>
      <c r="E1178" s="70"/>
      <c r="F1178" s="70"/>
      <c r="G1178" s="67"/>
      <c r="H1178" s="67"/>
      <c r="I1178" s="67"/>
      <c r="J1178" s="68"/>
      <c r="K1178" s="68"/>
      <c r="S1178" s="32"/>
      <c r="T1178" s="32"/>
      <c r="U1178" s="61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23"/>
      <c r="AG1178" s="23"/>
      <c r="AH1178" s="27"/>
    </row>
    <row r="1179" spans="1:34" x14ac:dyDescent="0.25">
      <c r="A1179" s="69"/>
      <c r="B1179" s="67"/>
      <c r="C1179" s="67"/>
      <c r="D1179" s="68"/>
      <c r="E1179" s="68"/>
      <c r="F1179" s="68"/>
      <c r="G1179" s="67"/>
      <c r="H1179" s="67"/>
      <c r="I1179" s="67"/>
      <c r="J1179" s="68"/>
      <c r="K1179" s="68"/>
      <c r="S1179" s="32"/>
      <c r="T1179" s="32"/>
      <c r="U1179" s="61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23"/>
      <c r="AG1179" s="23"/>
      <c r="AH1179" s="27"/>
    </row>
    <row r="1180" spans="1:34" x14ac:dyDescent="0.25">
      <c r="A1180" s="69"/>
      <c r="B1180" s="67"/>
      <c r="C1180" s="67"/>
      <c r="D1180" s="68"/>
      <c r="E1180" s="68"/>
      <c r="F1180" s="68"/>
      <c r="G1180" s="67"/>
      <c r="H1180" s="67"/>
      <c r="I1180" s="67"/>
      <c r="J1180" s="68"/>
      <c r="K1180" s="68"/>
      <c r="S1180" s="32"/>
      <c r="T1180" s="32"/>
      <c r="U1180" s="61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23"/>
      <c r="AG1180" s="23"/>
      <c r="AH1180" s="27"/>
    </row>
    <row r="1181" spans="1:34" x14ac:dyDescent="0.25">
      <c r="A1181" s="69"/>
      <c r="B1181" s="67"/>
      <c r="C1181" s="67"/>
      <c r="D1181" s="68"/>
      <c r="E1181" s="68"/>
      <c r="F1181" s="68"/>
      <c r="G1181" s="67"/>
      <c r="H1181" s="67"/>
      <c r="I1181" s="67"/>
      <c r="J1181" s="68"/>
      <c r="K1181" s="68"/>
      <c r="S1181" s="32"/>
      <c r="T1181" s="32"/>
      <c r="U1181" s="61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23"/>
      <c r="AG1181" s="23"/>
      <c r="AH1181" s="27"/>
    </row>
    <row r="1182" spans="1:34" x14ac:dyDescent="0.25">
      <c r="A1182" s="69"/>
      <c r="B1182" s="67"/>
      <c r="C1182" s="67"/>
      <c r="D1182" s="68"/>
      <c r="E1182" s="68"/>
      <c r="F1182" s="68"/>
      <c r="G1182" s="67"/>
      <c r="H1182" s="67"/>
      <c r="I1182" s="67"/>
      <c r="J1182" s="68"/>
      <c r="K1182" s="68"/>
      <c r="S1182" s="32"/>
      <c r="T1182" s="32"/>
      <c r="U1182" s="61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23"/>
      <c r="AG1182" s="23"/>
      <c r="AH1182" s="27"/>
    </row>
    <row r="1183" spans="1:34" x14ac:dyDescent="0.25">
      <c r="A1183" s="69"/>
      <c r="B1183" s="67"/>
      <c r="C1183" s="67"/>
      <c r="D1183" s="68"/>
      <c r="E1183" s="68"/>
      <c r="F1183" s="68"/>
      <c r="G1183" s="67"/>
      <c r="H1183" s="67"/>
      <c r="I1183" s="67"/>
      <c r="J1183" s="68"/>
      <c r="K1183" s="68"/>
      <c r="S1183" s="32"/>
      <c r="T1183" s="32"/>
      <c r="U1183" s="61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23"/>
      <c r="AG1183" s="23"/>
      <c r="AH1183" s="27"/>
    </row>
    <row r="1184" spans="1:34" x14ac:dyDescent="0.25">
      <c r="A1184" s="69"/>
      <c r="B1184" s="67"/>
      <c r="C1184" s="67"/>
      <c r="D1184" s="68"/>
      <c r="E1184" s="68"/>
      <c r="F1184" s="68"/>
      <c r="G1184" s="67"/>
      <c r="H1184" s="67"/>
      <c r="I1184" s="67"/>
      <c r="J1184" s="68"/>
      <c r="K1184" s="68"/>
      <c r="S1184" s="32"/>
      <c r="T1184" s="32"/>
      <c r="U1184" s="61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23"/>
      <c r="AG1184" s="23"/>
      <c r="AH1184" s="27"/>
    </row>
    <row r="1185" spans="1:34" x14ac:dyDescent="0.25">
      <c r="A1185" s="69"/>
      <c r="B1185" s="67"/>
      <c r="C1185" s="67"/>
      <c r="D1185" s="68"/>
      <c r="E1185" s="68"/>
      <c r="F1185" s="68"/>
      <c r="G1185" s="67"/>
      <c r="H1185" s="67"/>
      <c r="I1185" s="67"/>
      <c r="J1185" s="68"/>
      <c r="K1185" s="68"/>
      <c r="S1185" s="32"/>
      <c r="T1185" s="32"/>
      <c r="U1185" s="61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23"/>
      <c r="AG1185" s="23"/>
      <c r="AH1185" s="27"/>
    </row>
    <row r="1186" spans="1:34" x14ac:dyDescent="0.25">
      <c r="A1186" s="69"/>
      <c r="B1186" s="67"/>
      <c r="C1186" s="67"/>
      <c r="D1186" s="68"/>
      <c r="E1186" s="68"/>
      <c r="F1186" s="68"/>
      <c r="G1186" s="67"/>
      <c r="H1186" s="67"/>
      <c r="I1186" s="67"/>
      <c r="J1186" s="68"/>
      <c r="K1186" s="68"/>
      <c r="S1186" s="32"/>
      <c r="T1186" s="32"/>
      <c r="U1186" s="61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23"/>
      <c r="AG1186" s="23"/>
      <c r="AH1186" s="27"/>
    </row>
    <row r="1187" spans="1:34" x14ac:dyDescent="0.25">
      <c r="A1187" s="69"/>
      <c r="B1187" s="67"/>
      <c r="C1187" s="67"/>
      <c r="D1187" s="68"/>
      <c r="E1187" s="68"/>
      <c r="F1187" s="68"/>
      <c r="G1187" s="67"/>
      <c r="H1187" s="67"/>
      <c r="I1187" s="67"/>
      <c r="J1187" s="68"/>
      <c r="K1187" s="68"/>
      <c r="S1187" s="32"/>
      <c r="T1187" s="32"/>
      <c r="U1187" s="61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23"/>
      <c r="AG1187" s="23"/>
      <c r="AH1187" s="27"/>
    </row>
    <row r="1188" spans="1:34" x14ac:dyDescent="0.25">
      <c r="A1188" s="69"/>
      <c r="B1188" s="67"/>
      <c r="C1188" s="67"/>
      <c r="D1188" s="68"/>
      <c r="E1188" s="68"/>
      <c r="F1188" s="68"/>
      <c r="G1188" s="67"/>
      <c r="H1188" s="67"/>
      <c r="I1188" s="67"/>
      <c r="J1188" s="68"/>
      <c r="K1188" s="68"/>
      <c r="S1188" s="32"/>
      <c r="T1188" s="32"/>
      <c r="U1188" s="61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23"/>
      <c r="AG1188" s="23"/>
      <c r="AH1188" s="27"/>
    </row>
    <row r="1189" spans="1:34" x14ac:dyDescent="0.25">
      <c r="A1189" s="69"/>
      <c r="B1189" s="67"/>
      <c r="C1189" s="67"/>
      <c r="D1189" s="68"/>
      <c r="E1189" s="68"/>
      <c r="F1189" s="68"/>
      <c r="G1189" s="67"/>
      <c r="H1189" s="67"/>
      <c r="I1189" s="67"/>
      <c r="J1189" s="68"/>
      <c r="K1189" s="68"/>
      <c r="S1189" s="32"/>
      <c r="T1189" s="32"/>
      <c r="U1189" s="61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23"/>
      <c r="AG1189" s="23"/>
      <c r="AH1189" s="27"/>
    </row>
    <row r="1190" spans="1:34" x14ac:dyDescent="0.25">
      <c r="A1190" s="69"/>
      <c r="B1190" s="67"/>
      <c r="C1190" s="67"/>
      <c r="D1190" s="68"/>
      <c r="E1190" s="68"/>
      <c r="F1190" s="68"/>
      <c r="G1190" s="67"/>
      <c r="H1190" s="67"/>
      <c r="I1190" s="67"/>
      <c r="J1190" s="68"/>
      <c r="K1190" s="68"/>
      <c r="S1190" s="32"/>
      <c r="T1190" s="32"/>
      <c r="U1190" s="61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23"/>
      <c r="AG1190" s="23"/>
      <c r="AH1190" s="27"/>
    </row>
    <row r="1191" spans="1:34" x14ac:dyDescent="0.25">
      <c r="A1191" s="69"/>
      <c r="B1191" s="67"/>
      <c r="C1191" s="67"/>
      <c r="D1191" s="68"/>
      <c r="E1191" s="68"/>
      <c r="F1191" s="68"/>
      <c r="G1191" s="67"/>
      <c r="H1191" s="67"/>
      <c r="I1191" s="67"/>
      <c r="J1191" s="68"/>
      <c r="K1191" s="68"/>
      <c r="S1191" s="32"/>
      <c r="T1191" s="32"/>
      <c r="U1191" s="61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23"/>
      <c r="AG1191" s="23"/>
      <c r="AH1191" s="27"/>
    </row>
    <row r="1192" spans="1:34" x14ac:dyDescent="0.25">
      <c r="A1192" s="69"/>
      <c r="B1192" s="67"/>
      <c r="C1192" s="67"/>
      <c r="D1192" s="68"/>
      <c r="E1192" s="68"/>
      <c r="F1192" s="68"/>
      <c r="G1192" s="67"/>
      <c r="H1192" s="67"/>
      <c r="I1192" s="67"/>
      <c r="J1192" s="68"/>
      <c r="K1192" s="68"/>
      <c r="S1192" s="32"/>
      <c r="T1192" s="32"/>
      <c r="U1192" s="61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23"/>
      <c r="AG1192" s="23"/>
      <c r="AH1192" s="27"/>
    </row>
    <row r="1193" spans="1:34" x14ac:dyDescent="0.25">
      <c r="A1193" s="69"/>
      <c r="B1193" s="67"/>
      <c r="C1193" s="67"/>
      <c r="D1193" s="68"/>
      <c r="E1193" s="68"/>
      <c r="F1193" s="68"/>
      <c r="G1193" s="67"/>
      <c r="H1193" s="67"/>
      <c r="I1193" s="67"/>
      <c r="J1193" s="68"/>
      <c r="K1193" s="68"/>
      <c r="S1193" s="32"/>
      <c r="T1193" s="32"/>
      <c r="U1193" s="61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23"/>
      <c r="AG1193" s="23"/>
      <c r="AH1193" s="27"/>
    </row>
    <row r="1194" spans="1:34" x14ac:dyDescent="0.25">
      <c r="A1194" s="69"/>
      <c r="B1194" s="67"/>
      <c r="C1194" s="67"/>
      <c r="D1194" s="68"/>
      <c r="E1194" s="68"/>
      <c r="F1194" s="68"/>
      <c r="G1194" s="67"/>
      <c r="H1194" s="67"/>
      <c r="I1194" s="67"/>
      <c r="J1194" s="68"/>
      <c r="K1194" s="68"/>
      <c r="S1194" s="32"/>
      <c r="T1194" s="32"/>
      <c r="U1194" s="61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23"/>
      <c r="AG1194" s="23"/>
      <c r="AH1194" s="27"/>
    </row>
    <row r="1195" spans="1:34" x14ac:dyDescent="0.25">
      <c r="A1195" s="69"/>
      <c r="B1195" s="67"/>
      <c r="C1195" s="67"/>
      <c r="D1195" s="68"/>
      <c r="E1195" s="68"/>
      <c r="F1195" s="68"/>
      <c r="G1195" s="67"/>
      <c r="H1195" s="67"/>
      <c r="I1195" s="67"/>
      <c r="J1195" s="68"/>
      <c r="K1195" s="68"/>
      <c r="S1195" s="32"/>
      <c r="T1195" s="32"/>
      <c r="U1195" s="61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23"/>
      <c r="AG1195" s="23"/>
      <c r="AH1195" s="27"/>
    </row>
    <row r="1196" spans="1:34" x14ac:dyDescent="0.25">
      <c r="A1196" s="69"/>
      <c r="B1196" s="67"/>
      <c r="C1196" s="67"/>
      <c r="D1196" s="68"/>
      <c r="E1196" s="68"/>
      <c r="F1196" s="68"/>
      <c r="G1196" s="67"/>
      <c r="H1196" s="67"/>
      <c r="I1196" s="67"/>
      <c r="J1196" s="68"/>
      <c r="K1196" s="68"/>
      <c r="S1196" s="32"/>
      <c r="T1196" s="32"/>
      <c r="U1196" s="61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23"/>
      <c r="AG1196" s="23"/>
      <c r="AH1196" s="27"/>
    </row>
    <row r="1197" spans="1:34" x14ac:dyDescent="0.25">
      <c r="A1197" s="69"/>
      <c r="B1197" s="67"/>
      <c r="C1197" s="67"/>
      <c r="D1197" s="68"/>
      <c r="E1197" s="68"/>
      <c r="F1197" s="68"/>
      <c r="G1197" s="67"/>
      <c r="H1197" s="67"/>
      <c r="I1197" s="67"/>
      <c r="J1197" s="68"/>
      <c r="K1197" s="68"/>
      <c r="S1197" s="32"/>
      <c r="T1197" s="32"/>
      <c r="U1197" s="61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23"/>
      <c r="AG1197" s="23"/>
      <c r="AH1197" s="27"/>
    </row>
    <row r="1198" spans="1:34" x14ac:dyDescent="0.25">
      <c r="A1198" s="69"/>
      <c r="B1198" s="67"/>
      <c r="C1198" s="67"/>
      <c r="D1198" s="68"/>
      <c r="E1198" s="68"/>
      <c r="F1198" s="68"/>
      <c r="G1198" s="67"/>
      <c r="H1198" s="67"/>
      <c r="I1198" s="67"/>
      <c r="J1198" s="68"/>
      <c r="K1198" s="68"/>
      <c r="S1198" s="32"/>
      <c r="T1198" s="32"/>
      <c r="U1198" s="61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23"/>
      <c r="AG1198" s="23"/>
      <c r="AH1198" s="27"/>
    </row>
    <row r="1199" spans="1:34" x14ac:dyDescent="0.25">
      <c r="A1199" s="69"/>
      <c r="B1199" s="67"/>
      <c r="C1199" s="67"/>
      <c r="D1199" s="68"/>
      <c r="E1199" s="68"/>
      <c r="F1199" s="68"/>
      <c r="G1199" s="67"/>
      <c r="H1199" s="67"/>
      <c r="I1199" s="67"/>
      <c r="J1199" s="68"/>
      <c r="K1199" s="68"/>
      <c r="S1199" s="32"/>
      <c r="T1199" s="32"/>
      <c r="U1199" s="61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23"/>
      <c r="AG1199" s="23"/>
      <c r="AH1199" s="27"/>
    </row>
    <row r="1200" spans="1:34" x14ac:dyDescent="0.25">
      <c r="A1200" s="69"/>
      <c r="B1200" s="67"/>
      <c r="C1200" s="67"/>
      <c r="D1200" s="70"/>
      <c r="E1200" s="70"/>
      <c r="F1200" s="70"/>
      <c r="G1200" s="67"/>
      <c r="H1200" s="67"/>
      <c r="I1200" s="67"/>
      <c r="J1200" s="68"/>
      <c r="K1200" s="68"/>
      <c r="S1200" s="32"/>
      <c r="T1200" s="32"/>
      <c r="U1200" s="61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23"/>
      <c r="AG1200" s="23"/>
      <c r="AH1200" s="27"/>
    </row>
    <row r="1201" spans="1:34" x14ac:dyDescent="0.25">
      <c r="A1201" s="69"/>
      <c r="B1201" s="67"/>
      <c r="C1201" s="67"/>
      <c r="D1201" s="70"/>
      <c r="E1201" s="70"/>
      <c r="F1201" s="70"/>
      <c r="G1201" s="67"/>
      <c r="H1201" s="67"/>
      <c r="I1201" s="67"/>
      <c r="J1201" s="68"/>
      <c r="K1201" s="68"/>
      <c r="S1201" s="32"/>
      <c r="T1201" s="32"/>
      <c r="U1201" s="61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23"/>
      <c r="AG1201" s="23"/>
      <c r="AH1201" s="27"/>
    </row>
    <row r="1202" spans="1:34" x14ac:dyDescent="0.25">
      <c r="A1202" s="69"/>
      <c r="B1202" s="67"/>
      <c r="C1202" s="67"/>
      <c r="D1202" s="70"/>
      <c r="E1202" s="70"/>
      <c r="F1202" s="70"/>
      <c r="G1202" s="67"/>
      <c r="H1202" s="67"/>
      <c r="I1202" s="67"/>
      <c r="J1202" s="68"/>
      <c r="K1202" s="68"/>
      <c r="S1202" s="32"/>
      <c r="T1202" s="32"/>
      <c r="U1202" s="61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23"/>
      <c r="AG1202" s="23"/>
      <c r="AH1202" s="27"/>
    </row>
    <row r="1203" spans="1:34" x14ac:dyDescent="0.25">
      <c r="A1203" s="69"/>
      <c r="B1203" s="67"/>
      <c r="C1203" s="67"/>
      <c r="D1203" s="68"/>
      <c r="E1203" s="68"/>
      <c r="F1203" s="68"/>
      <c r="G1203" s="67"/>
      <c r="H1203" s="67"/>
      <c r="I1203" s="67"/>
      <c r="J1203" s="68"/>
      <c r="K1203" s="68"/>
      <c r="S1203" s="32"/>
      <c r="T1203" s="32"/>
      <c r="U1203" s="61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23"/>
      <c r="AG1203" s="23"/>
      <c r="AH1203" s="27"/>
    </row>
    <row r="1204" spans="1:34" x14ac:dyDescent="0.25">
      <c r="A1204" s="69"/>
      <c r="B1204" s="67"/>
      <c r="C1204" s="67"/>
      <c r="D1204" s="68"/>
      <c r="E1204" s="68"/>
      <c r="F1204" s="68"/>
      <c r="G1204" s="67"/>
      <c r="H1204" s="67"/>
      <c r="I1204" s="67"/>
      <c r="J1204" s="68"/>
      <c r="K1204" s="68"/>
      <c r="S1204" s="32"/>
      <c r="T1204" s="32"/>
      <c r="U1204" s="61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23"/>
      <c r="AG1204" s="23"/>
      <c r="AH1204" s="27"/>
    </row>
    <row r="1205" spans="1:34" x14ac:dyDescent="0.25">
      <c r="A1205" s="69"/>
      <c r="B1205" s="67"/>
      <c r="C1205" s="67"/>
      <c r="D1205" s="68"/>
      <c r="E1205" s="68"/>
      <c r="F1205" s="68"/>
      <c r="G1205" s="67"/>
      <c r="H1205" s="67"/>
      <c r="I1205" s="67"/>
      <c r="J1205" s="68"/>
      <c r="K1205" s="68"/>
      <c r="S1205" s="32"/>
      <c r="T1205" s="32"/>
      <c r="U1205" s="61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23"/>
      <c r="AG1205" s="23"/>
      <c r="AH1205" s="27"/>
    </row>
    <row r="1206" spans="1:34" x14ac:dyDescent="0.25">
      <c r="A1206" s="69"/>
      <c r="B1206" s="67"/>
      <c r="C1206" s="67"/>
      <c r="D1206" s="68"/>
      <c r="E1206" s="68"/>
      <c r="F1206" s="68"/>
      <c r="G1206" s="67"/>
      <c r="H1206" s="67"/>
      <c r="I1206" s="67"/>
      <c r="J1206" s="68"/>
      <c r="K1206" s="68"/>
      <c r="S1206" s="32"/>
      <c r="T1206" s="32"/>
      <c r="U1206" s="61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23"/>
      <c r="AG1206" s="23"/>
      <c r="AH1206" s="27"/>
    </row>
    <row r="1207" spans="1:34" x14ac:dyDescent="0.25">
      <c r="A1207" s="69"/>
      <c r="B1207" s="67"/>
      <c r="C1207" s="67"/>
      <c r="D1207" s="68"/>
      <c r="E1207" s="68"/>
      <c r="F1207" s="68"/>
      <c r="G1207" s="67"/>
      <c r="H1207" s="67"/>
      <c r="I1207" s="67"/>
      <c r="J1207" s="68"/>
      <c r="K1207" s="68"/>
      <c r="S1207" s="32"/>
      <c r="T1207" s="32"/>
      <c r="U1207" s="61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23"/>
      <c r="AG1207" s="23"/>
      <c r="AH1207" s="27"/>
    </row>
    <row r="1208" spans="1:34" x14ac:dyDescent="0.25">
      <c r="A1208" s="69"/>
      <c r="B1208" s="67"/>
      <c r="C1208" s="67"/>
      <c r="D1208" s="68"/>
      <c r="E1208" s="68"/>
      <c r="F1208" s="68"/>
      <c r="G1208" s="67"/>
      <c r="H1208" s="67"/>
      <c r="I1208" s="67"/>
      <c r="J1208" s="68"/>
      <c r="K1208" s="68"/>
      <c r="S1208" s="32"/>
      <c r="T1208" s="32"/>
      <c r="U1208" s="61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23"/>
      <c r="AG1208" s="23"/>
      <c r="AH1208" s="27"/>
    </row>
    <row r="1209" spans="1:34" x14ac:dyDescent="0.25">
      <c r="A1209" s="69"/>
      <c r="B1209" s="67"/>
      <c r="C1209" s="67"/>
      <c r="D1209" s="68"/>
      <c r="E1209" s="68"/>
      <c r="F1209" s="68"/>
      <c r="G1209" s="67"/>
      <c r="H1209" s="67"/>
      <c r="I1209" s="67"/>
      <c r="J1209" s="68"/>
      <c r="K1209" s="68"/>
      <c r="S1209" s="32"/>
      <c r="T1209" s="32"/>
      <c r="U1209" s="61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23"/>
      <c r="AG1209" s="23"/>
      <c r="AH1209" s="27"/>
    </row>
    <row r="1210" spans="1:34" x14ac:dyDescent="0.25">
      <c r="A1210" s="69"/>
      <c r="B1210" s="67"/>
      <c r="C1210" s="67"/>
      <c r="D1210" s="68"/>
      <c r="E1210" s="68"/>
      <c r="F1210" s="68"/>
      <c r="G1210" s="67"/>
      <c r="H1210" s="67"/>
      <c r="I1210" s="67"/>
      <c r="J1210" s="68"/>
      <c r="K1210" s="68"/>
      <c r="S1210" s="32"/>
      <c r="T1210" s="32"/>
      <c r="U1210" s="61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23"/>
      <c r="AG1210" s="23"/>
      <c r="AH1210" s="27"/>
    </row>
    <row r="1211" spans="1:34" x14ac:dyDescent="0.25">
      <c r="A1211" s="69"/>
      <c r="B1211" s="67"/>
      <c r="C1211" s="67"/>
      <c r="D1211" s="68"/>
      <c r="E1211" s="68"/>
      <c r="F1211" s="68"/>
      <c r="G1211" s="67"/>
      <c r="H1211" s="67"/>
      <c r="I1211" s="67"/>
      <c r="J1211" s="68"/>
      <c r="K1211" s="68"/>
      <c r="S1211" s="32"/>
      <c r="T1211" s="32"/>
      <c r="U1211" s="61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23"/>
      <c r="AG1211" s="23"/>
      <c r="AH1211" s="27"/>
    </row>
    <row r="1212" spans="1:34" x14ac:dyDescent="0.25">
      <c r="A1212" s="69"/>
      <c r="B1212" s="67"/>
      <c r="C1212" s="67"/>
      <c r="D1212" s="68"/>
      <c r="E1212" s="68"/>
      <c r="F1212" s="68"/>
      <c r="G1212" s="67"/>
      <c r="H1212" s="67"/>
      <c r="I1212" s="67"/>
      <c r="J1212" s="68"/>
      <c r="K1212" s="68"/>
      <c r="S1212" s="32"/>
      <c r="T1212" s="32"/>
      <c r="U1212" s="61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23"/>
      <c r="AG1212" s="23"/>
      <c r="AH1212" s="27"/>
    </row>
    <row r="1213" spans="1:34" x14ac:dyDescent="0.25">
      <c r="A1213" s="69"/>
      <c r="B1213" s="67"/>
      <c r="C1213" s="67"/>
      <c r="D1213" s="68"/>
      <c r="E1213" s="68"/>
      <c r="F1213" s="68"/>
      <c r="G1213" s="67"/>
      <c r="H1213" s="67"/>
      <c r="I1213" s="67"/>
      <c r="J1213" s="68"/>
      <c r="K1213" s="68"/>
      <c r="S1213" s="32"/>
      <c r="T1213" s="32"/>
      <c r="U1213" s="61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23"/>
      <c r="AG1213" s="23"/>
      <c r="AH1213" s="27"/>
    </row>
    <row r="1214" spans="1:34" x14ac:dyDescent="0.25">
      <c r="A1214" s="69"/>
      <c r="B1214" s="67"/>
      <c r="C1214" s="67"/>
      <c r="D1214" s="68"/>
      <c r="E1214" s="68"/>
      <c r="F1214" s="68"/>
      <c r="G1214" s="67"/>
      <c r="H1214" s="67"/>
      <c r="I1214" s="67"/>
      <c r="J1214" s="68"/>
      <c r="K1214" s="68"/>
      <c r="S1214" s="32"/>
      <c r="T1214" s="32"/>
      <c r="U1214" s="61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23"/>
      <c r="AG1214" s="23"/>
      <c r="AH1214" s="27"/>
    </row>
    <row r="1215" spans="1:34" x14ac:dyDescent="0.25">
      <c r="A1215" s="69"/>
      <c r="B1215" s="67"/>
      <c r="C1215" s="67"/>
      <c r="D1215" s="68"/>
      <c r="E1215" s="68"/>
      <c r="F1215" s="68"/>
      <c r="G1215" s="67"/>
      <c r="H1215" s="67"/>
      <c r="I1215" s="67"/>
      <c r="J1215" s="68"/>
      <c r="K1215" s="68"/>
      <c r="S1215" s="32"/>
      <c r="T1215" s="32"/>
      <c r="U1215" s="61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23"/>
      <c r="AG1215" s="23"/>
      <c r="AH1215" s="27"/>
    </row>
    <row r="1216" spans="1:34" x14ac:dyDescent="0.25">
      <c r="A1216" s="69"/>
      <c r="B1216" s="67"/>
      <c r="C1216" s="67"/>
      <c r="D1216" s="68"/>
      <c r="E1216" s="68"/>
      <c r="F1216" s="68"/>
      <c r="G1216" s="67"/>
      <c r="H1216" s="67"/>
      <c r="I1216" s="67"/>
      <c r="J1216" s="68"/>
      <c r="K1216" s="68"/>
      <c r="S1216" s="32"/>
      <c r="T1216" s="32"/>
      <c r="U1216" s="61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23"/>
      <c r="AG1216" s="23"/>
      <c r="AH1216" s="27"/>
    </row>
    <row r="1217" spans="1:34" x14ac:dyDescent="0.25">
      <c r="A1217" s="69"/>
      <c r="B1217" s="67"/>
      <c r="C1217" s="67"/>
      <c r="D1217" s="68"/>
      <c r="E1217" s="68"/>
      <c r="F1217" s="68"/>
      <c r="G1217" s="67"/>
      <c r="H1217" s="67"/>
      <c r="I1217" s="67"/>
      <c r="J1217" s="68"/>
      <c r="K1217" s="68"/>
      <c r="S1217" s="32"/>
      <c r="T1217" s="32"/>
      <c r="U1217" s="61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23"/>
      <c r="AG1217" s="23"/>
      <c r="AH1217" s="27"/>
    </row>
    <row r="1218" spans="1:34" x14ac:dyDescent="0.25">
      <c r="A1218" s="69"/>
      <c r="B1218" s="67"/>
      <c r="C1218" s="67"/>
      <c r="D1218" s="68"/>
      <c r="E1218" s="68"/>
      <c r="F1218" s="68"/>
      <c r="G1218" s="67"/>
      <c r="H1218" s="67"/>
      <c r="I1218" s="67"/>
      <c r="J1218" s="68"/>
      <c r="K1218" s="68"/>
      <c r="S1218" s="32"/>
      <c r="T1218" s="32"/>
      <c r="U1218" s="61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23"/>
      <c r="AG1218" s="23"/>
      <c r="AH1218" s="27"/>
    </row>
    <row r="1219" spans="1:34" x14ac:dyDescent="0.25">
      <c r="A1219" s="69"/>
      <c r="B1219" s="67"/>
      <c r="C1219" s="67"/>
      <c r="D1219" s="68"/>
      <c r="E1219" s="68"/>
      <c r="F1219" s="68"/>
      <c r="G1219" s="67"/>
      <c r="H1219" s="67"/>
      <c r="I1219" s="67"/>
      <c r="J1219" s="68"/>
      <c r="K1219" s="68"/>
      <c r="S1219" s="32"/>
      <c r="T1219" s="32"/>
      <c r="U1219" s="61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23"/>
      <c r="AG1219" s="23"/>
      <c r="AH1219" s="27"/>
    </row>
    <row r="1220" spans="1:34" x14ac:dyDescent="0.25">
      <c r="A1220" s="69"/>
      <c r="B1220" s="67"/>
      <c r="C1220" s="67"/>
      <c r="D1220" s="68"/>
      <c r="E1220" s="68"/>
      <c r="F1220" s="68"/>
      <c r="G1220" s="67"/>
      <c r="H1220" s="67"/>
      <c r="I1220" s="67"/>
      <c r="J1220" s="68"/>
      <c r="K1220" s="68"/>
      <c r="S1220" s="32"/>
      <c r="T1220" s="32"/>
      <c r="U1220" s="61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23"/>
      <c r="AG1220" s="23"/>
      <c r="AH1220" s="27"/>
    </row>
    <row r="1221" spans="1:34" x14ac:dyDescent="0.25">
      <c r="A1221" s="69"/>
      <c r="B1221" s="67"/>
      <c r="C1221" s="67"/>
      <c r="D1221" s="68"/>
      <c r="E1221" s="68"/>
      <c r="F1221" s="68"/>
      <c r="G1221" s="67"/>
      <c r="H1221" s="67"/>
      <c r="I1221" s="67"/>
      <c r="J1221" s="68"/>
      <c r="K1221" s="68"/>
      <c r="S1221" s="32"/>
      <c r="T1221" s="32"/>
      <c r="U1221" s="61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23"/>
      <c r="AG1221" s="23"/>
      <c r="AH1221" s="27"/>
    </row>
    <row r="1222" spans="1:34" x14ac:dyDescent="0.25">
      <c r="A1222" s="69"/>
      <c r="B1222" s="67"/>
      <c r="C1222" s="67"/>
      <c r="D1222" s="68"/>
      <c r="E1222" s="68"/>
      <c r="F1222" s="68"/>
      <c r="G1222" s="67"/>
      <c r="H1222" s="67"/>
      <c r="I1222" s="67"/>
      <c r="J1222" s="68"/>
      <c r="K1222" s="68"/>
      <c r="S1222" s="32"/>
      <c r="T1222" s="32"/>
      <c r="U1222" s="61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23"/>
      <c r="AG1222" s="23"/>
      <c r="AH1222" s="27"/>
    </row>
    <row r="1223" spans="1:34" x14ac:dyDescent="0.25">
      <c r="A1223" s="69"/>
      <c r="B1223" s="67"/>
      <c r="C1223" s="67"/>
      <c r="D1223" s="68"/>
      <c r="E1223" s="68"/>
      <c r="F1223" s="68"/>
      <c r="G1223" s="67"/>
      <c r="H1223" s="67"/>
      <c r="I1223" s="67"/>
      <c r="J1223" s="68"/>
      <c r="K1223" s="68"/>
      <c r="S1223" s="32"/>
      <c r="T1223" s="32"/>
      <c r="U1223" s="61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23"/>
      <c r="AG1223" s="23"/>
      <c r="AH1223" s="27"/>
    </row>
    <row r="1224" spans="1:34" x14ac:dyDescent="0.25">
      <c r="A1224" s="69"/>
      <c r="B1224" s="67"/>
      <c r="C1224" s="67"/>
      <c r="D1224" s="70"/>
      <c r="E1224" s="70"/>
      <c r="F1224" s="70"/>
      <c r="G1224" s="67"/>
      <c r="H1224" s="67"/>
      <c r="I1224" s="67"/>
      <c r="J1224" s="68"/>
      <c r="K1224" s="68"/>
      <c r="S1224" s="32"/>
      <c r="T1224" s="32"/>
      <c r="U1224" s="61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23"/>
      <c r="AG1224" s="23"/>
      <c r="AH1224" s="27"/>
    </row>
    <row r="1225" spans="1:34" x14ac:dyDescent="0.25">
      <c r="A1225" s="69"/>
      <c r="B1225" s="67"/>
      <c r="C1225" s="67"/>
      <c r="D1225" s="70"/>
      <c r="E1225" s="70"/>
      <c r="F1225" s="70"/>
      <c r="G1225" s="67"/>
      <c r="H1225" s="67"/>
      <c r="I1225" s="67"/>
      <c r="J1225" s="68"/>
      <c r="K1225" s="68"/>
      <c r="S1225" s="32"/>
      <c r="T1225" s="32"/>
      <c r="U1225" s="61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23"/>
      <c r="AG1225" s="23"/>
      <c r="AH1225" s="27"/>
    </row>
    <row r="1226" spans="1:34" x14ac:dyDescent="0.25">
      <c r="A1226" s="69"/>
      <c r="B1226" s="67"/>
      <c r="C1226" s="67"/>
      <c r="D1226" s="70"/>
      <c r="E1226" s="70"/>
      <c r="F1226" s="70"/>
      <c r="G1226" s="67"/>
      <c r="H1226" s="67"/>
      <c r="I1226" s="67"/>
      <c r="J1226" s="68"/>
      <c r="K1226" s="68"/>
      <c r="S1226" s="32"/>
      <c r="T1226" s="32"/>
      <c r="U1226" s="61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23"/>
      <c r="AG1226" s="23"/>
      <c r="AH1226" s="27"/>
    </row>
    <row r="1227" spans="1:34" x14ac:dyDescent="0.25">
      <c r="A1227" s="69"/>
      <c r="B1227" s="67"/>
      <c r="C1227" s="67"/>
      <c r="D1227" s="68"/>
      <c r="E1227" s="68"/>
      <c r="F1227" s="68"/>
      <c r="G1227" s="67"/>
      <c r="H1227" s="67"/>
      <c r="I1227" s="67"/>
      <c r="J1227" s="68"/>
      <c r="K1227" s="68"/>
      <c r="S1227" s="32"/>
      <c r="T1227" s="32"/>
      <c r="U1227" s="61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23"/>
      <c r="AG1227" s="23"/>
      <c r="AH1227" s="27"/>
    </row>
    <row r="1228" spans="1:34" x14ac:dyDescent="0.25">
      <c r="A1228" s="69"/>
      <c r="B1228" s="67"/>
      <c r="C1228" s="67"/>
      <c r="D1228" s="68"/>
      <c r="E1228" s="68"/>
      <c r="F1228" s="68"/>
      <c r="G1228" s="67"/>
      <c r="H1228" s="67"/>
      <c r="I1228" s="67"/>
      <c r="J1228" s="68"/>
      <c r="K1228" s="68"/>
      <c r="S1228" s="32"/>
      <c r="T1228" s="32"/>
      <c r="U1228" s="61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23"/>
      <c r="AG1228" s="23"/>
      <c r="AH1228" s="27"/>
    </row>
    <row r="1229" spans="1:34" x14ac:dyDescent="0.25">
      <c r="A1229" s="69"/>
      <c r="B1229" s="67"/>
      <c r="C1229" s="67"/>
      <c r="D1229" s="68"/>
      <c r="E1229" s="68"/>
      <c r="F1229" s="68"/>
      <c r="G1229" s="67"/>
      <c r="H1229" s="67"/>
      <c r="I1229" s="67"/>
      <c r="J1229" s="68"/>
      <c r="K1229" s="68"/>
      <c r="S1229" s="32"/>
      <c r="T1229" s="32"/>
      <c r="U1229" s="61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23"/>
      <c r="AG1229" s="23"/>
      <c r="AH1229" s="27"/>
    </row>
    <row r="1230" spans="1:34" x14ac:dyDescent="0.25">
      <c r="A1230" s="69"/>
      <c r="B1230" s="67"/>
      <c r="C1230" s="67"/>
      <c r="D1230" s="68"/>
      <c r="E1230" s="68"/>
      <c r="F1230" s="68"/>
      <c r="G1230" s="67"/>
      <c r="H1230" s="67"/>
      <c r="I1230" s="67"/>
      <c r="J1230" s="68"/>
      <c r="K1230" s="68"/>
      <c r="S1230" s="32"/>
      <c r="T1230" s="32"/>
      <c r="U1230" s="61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23"/>
      <c r="AG1230" s="23"/>
      <c r="AH1230" s="27"/>
    </row>
    <row r="1231" spans="1:34" x14ac:dyDescent="0.25">
      <c r="A1231" s="69"/>
      <c r="B1231" s="67"/>
      <c r="C1231" s="67"/>
      <c r="D1231" s="68"/>
      <c r="E1231" s="68"/>
      <c r="F1231" s="68"/>
      <c r="G1231" s="67"/>
      <c r="H1231" s="67"/>
      <c r="I1231" s="67"/>
      <c r="J1231" s="68"/>
      <c r="K1231" s="68"/>
      <c r="S1231" s="32"/>
      <c r="T1231" s="32"/>
      <c r="U1231" s="61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23"/>
      <c r="AG1231" s="23"/>
      <c r="AH1231" s="27"/>
    </row>
    <row r="1232" spans="1:34" x14ac:dyDescent="0.25">
      <c r="A1232" s="69"/>
      <c r="B1232" s="67"/>
      <c r="C1232" s="67"/>
      <c r="D1232" s="68"/>
      <c r="E1232" s="68"/>
      <c r="F1232" s="68"/>
      <c r="G1232" s="67"/>
      <c r="H1232" s="67"/>
      <c r="I1232" s="67"/>
      <c r="J1232" s="68"/>
      <c r="K1232" s="68"/>
      <c r="S1232" s="32"/>
      <c r="T1232" s="32"/>
      <c r="U1232" s="61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23"/>
      <c r="AG1232" s="23"/>
      <c r="AH1232" s="27"/>
    </row>
    <row r="1233" spans="1:34" x14ac:dyDescent="0.25">
      <c r="A1233" s="69"/>
      <c r="B1233" s="67"/>
      <c r="C1233" s="67"/>
      <c r="D1233" s="68"/>
      <c r="E1233" s="68"/>
      <c r="F1233" s="68"/>
      <c r="G1233" s="67"/>
      <c r="H1233" s="67"/>
      <c r="I1233" s="67"/>
      <c r="J1233" s="68"/>
      <c r="K1233" s="68"/>
      <c r="S1233" s="32"/>
      <c r="T1233" s="32"/>
      <c r="U1233" s="61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23"/>
      <c r="AG1233" s="23"/>
      <c r="AH1233" s="27"/>
    </row>
    <row r="1234" spans="1:34" x14ac:dyDescent="0.25">
      <c r="A1234" s="69"/>
      <c r="B1234" s="67"/>
      <c r="C1234" s="67"/>
      <c r="D1234" s="68"/>
      <c r="E1234" s="68"/>
      <c r="F1234" s="68"/>
      <c r="G1234" s="67"/>
      <c r="H1234" s="67"/>
      <c r="I1234" s="67"/>
      <c r="J1234" s="68"/>
      <c r="K1234" s="68"/>
      <c r="S1234" s="32"/>
      <c r="T1234" s="32"/>
      <c r="U1234" s="61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23"/>
      <c r="AG1234" s="23"/>
      <c r="AH1234" s="27"/>
    </row>
    <row r="1235" spans="1:34" x14ac:dyDescent="0.25">
      <c r="A1235" s="69"/>
      <c r="B1235" s="67"/>
      <c r="C1235" s="67"/>
      <c r="D1235" s="68"/>
      <c r="E1235" s="68"/>
      <c r="F1235" s="68"/>
      <c r="G1235" s="67"/>
      <c r="H1235" s="67"/>
      <c r="I1235" s="67"/>
      <c r="J1235" s="68"/>
      <c r="K1235" s="68"/>
      <c r="S1235" s="32"/>
      <c r="T1235" s="32"/>
      <c r="U1235" s="61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23"/>
      <c r="AG1235" s="23"/>
      <c r="AH1235" s="27"/>
    </row>
    <row r="1236" spans="1:34" x14ac:dyDescent="0.25">
      <c r="A1236" s="69"/>
      <c r="B1236" s="67"/>
      <c r="C1236" s="67"/>
      <c r="D1236" s="68"/>
      <c r="E1236" s="68"/>
      <c r="F1236" s="68"/>
      <c r="G1236" s="67"/>
      <c r="H1236" s="67"/>
      <c r="I1236" s="67"/>
      <c r="J1236" s="68"/>
      <c r="K1236" s="68"/>
      <c r="S1236" s="32"/>
      <c r="T1236" s="32"/>
      <c r="U1236" s="61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23"/>
      <c r="AG1236" s="23"/>
      <c r="AH1236" s="27"/>
    </row>
    <row r="1237" spans="1:34" x14ac:dyDescent="0.25">
      <c r="A1237" s="69"/>
      <c r="B1237" s="67"/>
      <c r="C1237" s="67"/>
      <c r="D1237" s="68"/>
      <c r="E1237" s="68"/>
      <c r="F1237" s="68"/>
      <c r="G1237" s="67"/>
      <c r="H1237" s="67"/>
      <c r="I1237" s="67"/>
      <c r="J1237" s="68"/>
      <c r="K1237" s="68"/>
      <c r="S1237" s="32"/>
      <c r="T1237" s="32"/>
      <c r="U1237" s="61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23"/>
      <c r="AG1237" s="23"/>
      <c r="AH1237" s="27"/>
    </row>
    <row r="1238" spans="1:34" x14ac:dyDescent="0.25">
      <c r="A1238" s="69"/>
      <c r="B1238" s="67"/>
      <c r="C1238" s="67"/>
      <c r="D1238" s="68"/>
      <c r="E1238" s="68"/>
      <c r="F1238" s="68"/>
      <c r="G1238" s="67"/>
      <c r="H1238" s="67"/>
      <c r="I1238" s="67"/>
      <c r="J1238" s="68"/>
      <c r="K1238" s="68"/>
      <c r="S1238" s="32"/>
      <c r="T1238" s="32"/>
      <c r="U1238" s="61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23"/>
      <c r="AG1238" s="23"/>
      <c r="AH1238" s="27"/>
    </row>
    <row r="1239" spans="1:34" x14ac:dyDescent="0.25">
      <c r="A1239" s="69"/>
      <c r="B1239" s="67"/>
      <c r="C1239" s="67"/>
      <c r="D1239" s="68"/>
      <c r="E1239" s="68"/>
      <c r="F1239" s="68"/>
      <c r="G1239" s="67"/>
      <c r="H1239" s="67"/>
      <c r="I1239" s="67"/>
      <c r="J1239" s="68"/>
      <c r="K1239" s="68"/>
      <c r="S1239" s="32"/>
      <c r="T1239" s="32"/>
      <c r="U1239" s="61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23"/>
      <c r="AG1239" s="23"/>
      <c r="AH1239" s="27"/>
    </row>
    <row r="1240" spans="1:34" x14ac:dyDescent="0.25">
      <c r="A1240" s="69"/>
      <c r="B1240" s="67"/>
      <c r="C1240" s="67"/>
      <c r="D1240" s="68"/>
      <c r="E1240" s="68"/>
      <c r="F1240" s="68"/>
      <c r="G1240" s="67"/>
      <c r="H1240" s="67"/>
      <c r="I1240" s="67"/>
      <c r="J1240" s="68"/>
      <c r="K1240" s="68"/>
      <c r="S1240" s="32"/>
      <c r="T1240" s="32"/>
      <c r="U1240" s="61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23"/>
      <c r="AG1240" s="23"/>
      <c r="AH1240" s="27"/>
    </row>
    <row r="1241" spans="1:34" x14ac:dyDescent="0.25">
      <c r="A1241" s="69"/>
      <c r="B1241" s="67"/>
      <c r="C1241" s="67"/>
      <c r="D1241" s="68"/>
      <c r="E1241" s="68"/>
      <c r="F1241" s="68"/>
      <c r="G1241" s="67"/>
      <c r="H1241" s="67"/>
      <c r="I1241" s="67"/>
      <c r="J1241" s="68"/>
      <c r="K1241" s="68"/>
      <c r="S1241" s="32"/>
      <c r="T1241" s="32"/>
      <c r="U1241" s="61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23"/>
      <c r="AG1241" s="23"/>
      <c r="AH1241" s="27"/>
    </row>
    <row r="1242" spans="1:34" x14ac:dyDescent="0.25">
      <c r="A1242" s="69"/>
      <c r="B1242" s="67"/>
      <c r="C1242" s="67"/>
      <c r="D1242" s="68"/>
      <c r="E1242" s="68"/>
      <c r="F1242" s="68"/>
      <c r="G1242" s="67"/>
      <c r="H1242" s="67"/>
      <c r="I1242" s="67"/>
      <c r="J1242" s="68"/>
      <c r="K1242" s="68"/>
      <c r="S1242" s="32"/>
      <c r="T1242" s="32"/>
      <c r="U1242" s="61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23"/>
      <c r="AG1242" s="23"/>
      <c r="AH1242" s="27"/>
    </row>
    <row r="1243" spans="1:34" x14ac:dyDescent="0.25">
      <c r="A1243" s="69"/>
      <c r="B1243" s="67"/>
      <c r="C1243" s="67"/>
      <c r="D1243" s="68"/>
      <c r="E1243" s="68"/>
      <c r="F1243" s="68"/>
      <c r="G1243" s="67"/>
      <c r="H1243" s="67"/>
      <c r="I1243" s="67"/>
      <c r="J1243" s="68"/>
      <c r="K1243" s="68"/>
      <c r="S1243" s="32"/>
      <c r="T1243" s="32"/>
      <c r="U1243" s="61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23"/>
      <c r="AG1243" s="23"/>
      <c r="AH1243" s="27"/>
    </row>
    <row r="1244" spans="1:34" x14ac:dyDescent="0.25">
      <c r="A1244" s="69"/>
      <c r="B1244" s="67"/>
      <c r="C1244" s="67"/>
      <c r="D1244" s="68"/>
      <c r="E1244" s="68"/>
      <c r="F1244" s="68"/>
      <c r="G1244" s="67"/>
      <c r="H1244" s="67"/>
      <c r="I1244" s="67"/>
      <c r="J1244" s="68"/>
      <c r="K1244" s="68"/>
      <c r="S1244" s="32"/>
      <c r="T1244" s="32"/>
      <c r="U1244" s="61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23"/>
      <c r="AG1244" s="23"/>
      <c r="AH1244" s="27"/>
    </row>
    <row r="1245" spans="1:34" x14ac:dyDescent="0.25">
      <c r="A1245" s="69"/>
      <c r="B1245" s="67"/>
      <c r="C1245" s="67"/>
      <c r="D1245" s="68"/>
      <c r="E1245" s="68"/>
      <c r="F1245" s="68"/>
      <c r="G1245" s="67"/>
      <c r="H1245" s="67"/>
      <c r="I1245" s="67"/>
      <c r="J1245" s="68"/>
      <c r="K1245" s="68"/>
      <c r="S1245" s="32"/>
      <c r="T1245" s="32"/>
      <c r="U1245" s="61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23"/>
      <c r="AG1245" s="23"/>
      <c r="AH1245" s="27"/>
    </row>
    <row r="1246" spans="1:34" x14ac:dyDescent="0.25">
      <c r="A1246" s="69"/>
      <c r="B1246" s="67"/>
      <c r="C1246" s="67"/>
      <c r="D1246" s="68"/>
      <c r="E1246" s="68"/>
      <c r="F1246" s="68"/>
      <c r="G1246" s="67"/>
      <c r="H1246" s="67"/>
      <c r="I1246" s="67"/>
      <c r="J1246" s="68"/>
      <c r="K1246" s="68"/>
      <c r="S1246" s="32"/>
      <c r="T1246" s="32"/>
      <c r="U1246" s="61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23"/>
      <c r="AG1246" s="23"/>
      <c r="AH1246" s="27"/>
    </row>
    <row r="1247" spans="1:34" x14ac:dyDescent="0.25">
      <c r="A1247" s="69"/>
      <c r="B1247" s="67"/>
      <c r="C1247" s="67"/>
      <c r="D1247" s="68"/>
      <c r="E1247" s="68"/>
      <c r="F1247" s="68"/>
      <c r="G1247" s="67"/>
      <c r="H1247" s="67"/>
      <c r="I1247" s="67"/>
      <c r="J1247" s="68"/>
      <c r="K1247" s="68"/>
      <c r="S1247" s="32"/>
      <c r="T1247" s="32"/>
      <c r="U1247" s="61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23"/>
      <c r="AG1247" s="23"/>
      <c r="AH1247" s="27"/>
    </row>
    <row r="1248" spans="1:34" x14ac:dyDescent="0.25">
      <c r="A1248" s="69"/>
      <c r="B1248" s="67"/>
      <c r="C1248" s="67"/>
      <c r="D1248" s="70"/>
      <c r="E1248" s="70"/>
      <c r="F1248" s="70"/>
      <c r="G1248" s="67"/>
      <c r="H1248" s="67"/>
      <c r="I1248" s="67"/>
      <c r="J1248" s="68"/>
      <c r="K1248" s="68"/>
      <c r="S1248" s="32"/>
      <c r="T1248" s="32"/>
      <c r="U1248" s="61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23"/>
      <c r="AG1248" s="23"/>
      <c r="AH1248" s="27"/>
    </row>
    <row r="1249" spans="1:34" x14ac:dyDescent="0.25">
      <c r="A1249" s="69"/>
      <c r="B1249" s="67"/>
      <c r="C1249" s="67"/>
      <c r="D1249" s="70"/>
      <c r="E1249" s="70"/>
      <c r="F1249" s="70"/>
      <c r="G1249" s="67"/>
      <c r="H1249" s="67"/>
      <c r="I1249" s="67"/>
      <c r="J1249" s="68"/>
      <c r="K1249" s="68"/>
      <c r="S1249" s="32"/>
      <c r="T1249" s="32"/>
      <c r="U1249" s="61"/>
      <c r="V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23"/>
      <c r="AG1249" s="23"/>
      <c r="AH1249" s="27"/>
    </row>
    <row r="1250" spans="1:34" x14ac:dyDescent="0.25">
      <c r="A1250" s="69"/>
      <c r="B1250" s="67"/>
      <c r="C1250" s="67"/>
      <c r="D1250" s="70"/>
      <c r="E1250" s="70"/>
      <c r="F1250" s="70"/>
      <c r="G1250" s="67"/>
      <c r="H1250" s="67"/>
      <c r="I1250" s="67"/>
      <c r="J1250" s="68"/>
      <c r="K1250" s="68"/>
      <c r="S1250" s="32"/>
      <c r="T1250" s="32"/>
      <c r="U1250" s="61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23"/>
      <c r="AG1250" s="23"/>
      <c r="AH1250" s="27"/>
    </row>
    <row r="1251" spans="1:34" x14ac:dyDescent="0.25">
      <c r="A1251" s="69"/>
      <c r="B1251" s="67"/>
      <c r="C1251" s="67"/>
      <c r="D1251" s="68"/>
      <c r="E1251" s="68"/>
      <c r="F1251" s="68"/>
      <c r="G1251" s="67"/>
      <c r="H1251" s="67"/>
      <c r="I1251" s="67"/>
      <c r="J1251" s="68"/>
      <c r="K1251" s="68"/>
      <c r="S1251" s="32"/>
      <c r="T1251" s="32"/>
      <c r="U1251" s="61"/>
      <c r="V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23"/>
      <c r="AG1251" s="23"/>
      <c r="AH1251" s="27"/>
    </row>
    <row r="1252" spans="1:34" x14ac:dyDescent="0.25">
      <c r="A1252" s="69"/>
      <c r="B1252" s="67"/>
      <c r="C1252" s="67"/>
      <c r="D1252" s="68"/>
      <c r="E1252" s="68"/>
      <c r="F1252" s="68"/>
      <c r="G1252" s="67"/>
      <c r="H1252" s="67"/>
      <c r="I1252" s="67"/>
      <c r="J1252" s="68"/>
      <c r="K1252" s="68"/>
      <c r="S1252" s="32"/>
      <c r="T1252" s="32"/>
      <c r="U1252" s="61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23"/>
      <c r="AG1252" s="23"/>
      <c r="AH1252" s="27"/>
    </row>
    <row r="1253" spans="1:34" x14ac:dyDescent="0.25">
      <c r="A1253" s="69"/>
      <c r="B1253" s="67"/>
      <c r="C1253" s="67"/>
      <c r="D1253" s="68"/>
      <c r="E1253" s="68"/>
      <c r="F1253" s="68"/>
      <c r="G1253" s="67"/>
      <c r="H1253" s="67"/>
      <c r="I1253" s="67"/>
      <c r="J1253" s="68"/>
      <c r="K1253" s="68"/>
      <c r="S1253" s="32"/>
      <c r="T1253" s="32"/>
      <c r="U1253" s="61"/>
      <c r="V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23"/>
      <c r="AG1253" s="23"/>
      <c r="AH1253" s="27"/>
    </row>
    <row r="1254" spans="1:34" x14ac:dyDescent="0.25">
      <c r="A1254" s="69"/>
      <c r="B1254" s="67"/>
      <c r="C1254" s="67"/>
      <c r="D1254" s="68"/>
      <c r="E1254" s="68"/>
      <c r="F1254" s="68"/>
      <c r="G1254" s="67"/>
      <c r="H1254" s="67"/>
      <c r="I1254" s="67"/>
      <c r="J1254" s="68"/>
      <c r="K1254" s="68"/>
      <c r="S1254" s="32"/>
      <c r="T1254" s="32"/>
      <c r="U1254" s="61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23"/>
      <c r="AG1254" s="23"/>
      <c r="AH1254" s="27"/>
    </row>
    <row r="1255" spans="1:34" x14ac:dyDescent="0.25">
      <c r="A1255" s="69"/>
      <c r="B1255" s="67"/>
      <c r="C1255" s="67"/>
      <c r="D1255" s="68"/>
      <c r="E1255" s="68"/>
      <c r="F1255" s="68"/>
      <c r="G1255" s="67"/>
      <c r="H1255" s="67"/>
      <c r="I1255" s="67"/>
      <c r="J1255" s="68"/>
      <c r="K1255" s="68"/>
      <c r="S1255" s="32"/>
      <c r="T1255" s="32"/>
      <c r="U1255" s="61"/>
      <c r="V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23"/>
      <c r="AG1255" s="23"/>
      <c r="AH1255" s="27"/>
    </row>
    <row r="1256" spans="1:34" x14ac:dyDescent="0.25">
      <c r="A1256" s="69"/>
      <c r="B1256" s="67"/>
      <c r="C1256" s="67"/>
      <c r="D1256" s="68"/>
      <c r="E1256" s="68"/>
      <c r="F1256" s="68"/>
      <c r="G1256" s="67"/>
      <c r="H1256" s="67"/>
      <c r="I1256" s="67"/>
      <c r="J1256" s="68"/>
      <c r="K1256" s="68"/>
      <c r="S1256" s="32"/>
      <c r="T1256" s="32"/>
      <c r="U1256" s="61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23"/>
      <c r="AG1256" s="23"/>
      <c r="AH1256" s="27"/>
    </row>
    <row r="1257" spans="1:34" x14ac:dyDescent="0.25">
      <c r="A1257" s="69"/>
      <c r="B1257" s="67"/>
      <c r="C1257" s="67"/>
      <c r="D1257" s="68"/>
      <c r="E1257" s="68"/>
      <c r="F1257" s="68"/>
      <c r="G1257" s="67"/>
      <c r="H1257" s="67"/>
      <c r="I1257" s="67"/>
      <c r="J1257" s="68"/>
      <c r="K1257" s="68"/>
      <c r="S1257" s="32"/>
      <c r="T1257" s="32"/>
      <c r="U1257" s="61"/>
      <c r="V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23"/>
      <c r="AG1257" s="23"/>
      <c r="AH1257" s="27"/>
    </row>
    <row r="1258" spans="1:34" x14ac:dyDescent="0.25">
      <c r="A1258" s="69"/>
      <c r="B1258" s="67"/>
      <c r="C1258" s="67"/>
      <c r="D1258" s="68"/>
      <c r="E1258" s="68"/>
      <c r="F1258" s="68"/>
      <c r="G1258" s="67"/>
      <c r="H1258" s="67"/>
      <c r="I1258" s="67"/>
      <c r="J1258" s="68"/>
      <c r="K1258" s="68"/>
      <c r="S1258" s="32"/>
      <c r="T1258" s="32"/>
      <c r="U1258" s="61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23"/>
      <c r="AG1258" s="23"/>
      <c r="AH1258" s="27"/>
    </row>
    <row r="1259" spans="1:34" x14ac:dyDescent="0.25">
      <c r="A1259" s="69"/>
      <c r="B1259" s="67"/>
      <c r="C1259" s="67"/>
      <c r="D1259" s="68"/>
      <c r="E1259" s="68"/>
      <c r="F1259" s="68"/>
      <c r="G1259" s="67"/>
      <c r="H1259" s="67"/>
      <c r="I1259" s="67"/>
      <c r="J1259" s="68"/>
      <c r="K1259" s="68"/>
      <c r="S1259" s="32"/>
      <c r="T1259" s="32"/>
      <c r="U1259" s="61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23"/>
      <c r="AG1259" s="23"/>
      <c r="AH1259" s="27"/>
    </row>
    <row r="1260" spans="1:34" x14ac:dyDescent="0.25">
      <c r="A1260" s="69"/>
      <c r="B1260" s="67"/>
      <c r="C1260" s="67"/>
      <c r="D1260" s="68"/>
      <c r="E1260" s="68"/>
      <c r="F1260" s="68"/>
      <c r="G1260" s="67"/>
      <c r="H1260" s="67"/>
      <c r="I1260" s="67"/>
      <c r="J1260" s="68"/>
      <c r="K1260" s="68"/>
      <c r="S1260" s="32"/>
      <c r="T1260" s="32"/>
      <c r="U1260" s="61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23"/>
      <c r="AG1260" s="23"/>
      <c r="AH1260" s="27"/>
    </row>
    <row r="1261" spans="1:34" x14ac:dyDescent="0.25">
      <c r="A1261" s="69"/>
      <c r="B1261" s="67"/>
      <c r="C1261" s="67"/>
      <c r="D1261" s="68"/>
      <c r="E1261" s="68"/>
      <c r="F1261" s="68"/>
      <c r="G1261" s="67"/>
      <c r="H1261" s="67"/>
      <c r="I1261" s="67"/>
      <c r="J1261" s="68"/>
      <c r="K1261" s="68"/>
      <c r="S1261" s="32"/>
      <c r="T1261" s="32"/>
      <c r="U1261" s="61"/>
      <c r="V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23"/>
      <c r="AG1261" s="23"/>
      <c r="AH1261" s="27"/>
    </row>
    <row r="1262" spans="1:34" x14ac:dyDescent="0.25">
      <c r="A1262" s="69"/>
      <c r="B1262" s="67"/>
      <c r="C1262" s="67"/>
      <c r="D1262" s="68"/>
      <c r="E1262" s="68"/>
      <c r="F1262" s="68"/>
      <c r="G1262" s="67"/>
      <c r="H1262" s="67"/>
      <c r="I1262" s="67"/>
      <c r="J1262" s="68"/>
      <c r="K1262" s="68"/>
      <c r="S1262" s="32"/>
      <c r="T1262" s="32"/>
      <c r="U1262" s="61"/>
      <c r="V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23"/>
      <c r="AG1262" s="23"/>
      <c r="AH1262" s="27"/>
    </row>
    <row r="1263" spans="1:34" x14ac:dyDescent="0.25">
      <c r="A1263" s="69"/>
      <c r="B1263" s="67"/>
      <c r="C1263" s="67"/>
      <c r="D1263" s="68"/>
      <c r="E1263" s="68"/>
      <c r="F1263" s="68"/>
      <c r="G1263" s="67"/>
      <c r="H1263" s="67"/>
      <c r="I1263" s="67"/>
      <c r="J1263" s="68"/>
      <c r="K1263" s="68"/>
      <c r="S1263" s="32"/>
      <c r="T1263" s="32"/>
      <c r="U1263" s="61"/>
      <c r="V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23"/>
      <c r="AG1263" s="23"/>
      <c r="AH1263" s="27"/>
    </row>
    <row r="1264" spans="1:34" x14ac:dyDescent="0.25">
      <c r="A1264" s="69"/>
      <c r="B1264" s="67"/>
      <c r="C1264" s="67"/>
      <c r="D1264" s="68"/>
      <c r="E1264" s="68"/>
      <c r="F1264" s="68"/>
      <c r="G1264" s="67"/>
      <c r="H1264" s="67"/>
      <c r="I1264" s="67"/>
      <c r="J1264" s="68"/>
      <c r="K1264" s="68"/>
      <c r="S1264" s="32"/>
      <c r="T1264" s="32"/>
      <c r="U1264" s="61"/>
      <c r="V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23"/>
      <c r="AG1264" s="23"/>
      <c r="AH1264" s="27"/>
    </row>
    <row r="1265" spans="1:34" x14ac:dyDescent="0.25">
      <c r="A1265" s="69"/>
      <c r="B1265" s="67"/>
      <c r="C1265" s="67"/>
      <c r="D1265" s="68"/>
      <c r="E1265" s="68"/>
      <c r="F1265" s="68"/>
      <c r="G1265" s="67"/>
      <c r="H1265" s="67"/>
      <c r="I1265" s="67"/>
      <c r="J1265" s="68"/>
      <c r="K1265" s="68"/>
      <c r="S1265" s="32"/>
      <c r="T1265" s="32"/>
      <c r="U1265" s="61"/>
      <c r="V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23"/>
      <c r="AG1265" s="23"/>
      <c r="AH1265" s="27"/>
    </row>
    <row r="1266" spans="1:34" x14ac:dyDescent="0.25">
      <c r="A1266" s="69"/>
      <c r="B1266" s="67"/>
      <c r="C1266" s="67"/>
      <c r="D1266" s="68"/>
      <c r="E1266" s="68"/>
      <c r="F1266" s="68"/>
      <c r="G1266" s="67"/>
      <c r="H1266" s="67"/>
      <c r="I1266" s="67"/>
      <c r="J1266" s="68"/>
      <c r="K1266" s="68"/>
      <c r="S1266" s="32"/>
      <c r="T1266" s="32"/>
      <c r="U1266" s="61"/>
      <c r="V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23"/>
      <c r="AG1266" s="23"/>
      <c r="AH1266" s="27"/>
    </row>
    <row r="1267" spans="1:34" x14ac:dyDescent="0.25">
      <c r="A1267" s="69"/>
      <c r="B1267" s="67"/>
      <c r="C1267" s="67"/>
      <c r="D1267" s="68"/>
      <c r="E1267" s="68"/>
      <c r="F1267" s="68"/>
      <c r="G1267" s="67"/>
      <c r="H1267" s="67"/>
      <c r="I1267" s="67"/>
      <c r="J1267" s="68"/>
      <c r="K1267" s="68"/>
      <c r="S1267" s="32"/>
      <c r="T1267" s="32"/>
      <c r="U1267" s="61"/>
      <c r="V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23"/>
      <c r="AG1267" s="23"/>
      <c r="AH1267" s="27"/>
    </row>
    <row r="1268" spans="1:34" x14ac:dyDescent="0.25">
      <c r="A1268" s="69"/>
      <c r="B1268" s="67"/>
      <c r="C1268" s="67"/>
      <c r="D1268" s="68"/>
      <c r="E1268" s="68"/>
      <c r="F1268" s="68"/>
      <c r="G1268" s="67"/>
      <c r="H1268" s="67"/>
      <c r="I1268" s="67"/>
      <c r="J1268" s="68"/>
      <c r="K1268" s="68"/>
      <c r="S1268" s="32"/>
      <c r="T1268" s="32"/>
      <c r="U1268" s="61"/>
      <c r="V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23"/>
      <c r="AG1268" s="23"/>
      <c r="AH1268" s="27"/>
    </row>
    <row r="1269" spans="1:34" x14ac:dyDescent="0.25">
      <c r="A1269" s="69"/>
      <c r="B1269" s="67"/>
      <c r="C1269" s="67"/>
      <c r="D1269" s="68"/>
      <c r="E1269" s="68"/>
      <c r="F1269" s="68"/>
      <c r="G1269" s="67"/>
      <c r="H1269" s="67"/>
      <c r="I1269" s="67"/>
      <c r="J1269" s="68"/>
      <c r="K1269" s="68"/>
      <c r="S1269" s="32"/>
      <c r="T1269" s="32"/>
      <c r="U1269" s="61"/>
      <c r="V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23"/>
      <c r="AG1269" s="23"/>
      <c r="AH1269" s="27"/>
    </row>
    <row r="1270" spans="1:34" x14ac:dyDescent="0.25">
      <c r="A1270" s="69"/>
      <c r="B1270" s="67"/>
      <c r="C1270" s="67"/>
      <c r="D1270" s="68"/>
      <c r="E1270" s="68"/>
      <c r="F1270" s="68"/>
      <c r="G1270" s="67"/>
      <c r="H1270" s="67"/>
      <c r="I1270" s="67"/>
      <c r="J1270" s="68"/>
      <c r="K1270" s="68"/>
      <c r="S1270" s="32"/>
      <c r="T1270" s="32"/>
      <c r="U1270" s="61"/>
      <c r="V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23"/>
      <c r="AG1270" s="23"/>
      <c r="AH1270" s="27"/>
    </row>
    <row r="1271" spans="1:34" x14ac:dyDescent="0.25">
      <c r="A1271" s="69"/>
      <c r="B1271" s="67"/>
      <c r="C1271" s="67"/>
      <c r="D1271" s="68"/>
      <c r="E1271" s="68"/>
      <c r="F1271" s="68"/>
      <c r="G1271" s="67"/>
      <c r="H1271" s="67"/>
      <c r="I1271" s="67"/>
      <c r="J1271" s="68"/>
      <c r="K1271" s="68"/>
      <c r="S1271" s="32"/>
      <c r="T1271" s="32"/>
      <c r="U1271" s="61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23"/>
      <c r="AG1271" s="23"/>
      <c r="AH1271" s="27"/>
    </row>
    <row r="1272" spans="1:34" x14ac:dyDescent="0.25">
      <c r="A1272" s="69"/>
      <c r="B1272" s="67"/>
      <c r="C1272" s="67"/>
      <c r="D1272" s="70"/>
      <c r="E1272" s="70"/>
      <c r="F1272" s="70"/>
      <c r="G1272" s="67"/>
      <c r="H1272" s="67"/>
      <c r="I1272" s="67"/>
      <c r="J1272" s="68"/>
      <c r="K1272" s="68"/>
      <c r="S1272" s="32"/>
      <c r="T1272" s="32"/>
      <c r="U1272" s="61"/>
      <c r="V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23"/>
      <c r="AG1272" s="23"/>
      <c r="AH1272" s="27"/>
    </row>
    <row r="1273" spans="1:34" x14ac:dyDescent="0.25">
      <c r="A1273" s="69"/>
      <c r="B1273" s="67"/>
      <c r="C1273" s="67"/>
      <c r="D1273" s="70"/>
      <c r="E1273" s="70"/>
      <c r="F1273" s="70"/>
      <c r="G1273" s="67"/>
      <c r="H1273" s="67"/>
      <c r="I1273" s="67"/>
      <c r="J1273" s="68"/>
      <c r="K1273" s="68"/>
      <c r="S1273" s="32"/>
      <c r="T1273" s="32"/>
      <c r="U1273" s="61"/>
      <c r="V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23"/>
      <c r="AG1273" s="23"/>
      <c r="AH1273" s="27"/>
    </row>
    <row r="1274" spans="1:34" x14ac:dyDescent="0.25">
      <c r="A1274" s="69"/>
      <c r="B1274" s="67"/>
      <c r="C1274" s="67"/>
      <c r="D1274" s="70"/>
      <c r="E1274" s="70"/>
      <c r="F1274" s="70"/>
      <c r="G1274" s="67"/>
      <c r="H1274" s="67"/>
      <c r="I1274" s="67"/>
      <c r="J1274" s="68"/>
      <c r="K1274" s="68"/>
      <c r="S1274" s="32"/>
      <c r="T1274" s="32"/>
      <c r="U1274" s="61"/>
      <c r="V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23"/>
      <c r="AG1274" s="23"/>
      <c r="AH1274" s="27"/>
    </row>
    <row r="1275" spans="1:34" x14ac:dyDescent="0.25">
      <c r="A1275" s="69"/>
      <c r="B1275" s="67"/>
      <c r="C1275" s="67"/>
      <c r="D1275" s="68"/>
      <c r="E1275" s="68"/>
      <c r="F1275" s="68"/>
      <c r="G1275" s="67"/>
      <c r="H1275" s="67"/>
      <c r="I1275" s="67"/>
      <c r="J1275" s="68"/>
      <c r="K1275" s="68"/>
      <c r="S1275" s="32"/>
      <c r="T1275" s="32"/>
      <c r="U1275" s="61"/>
      <c r="V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23"/>
      <c r="AG1275" s="23"/>
      <c r="AH1275" s="27"/>
    </row>
    <row r="1276" spans="1:34" x14ac:dyDescent="0.25">
      <c r="A1276" s="69"/>
      <c r="B1276" s="67"/>
      <c r="C1276" s="67"/>
      <c r="D1276" s="68"/>
      <c r="E1276" s="68"/>
      <c r="F1276" s="68"/>
      <c r="G1276" s="67"/>
      <c r="H1276" s="67"/>
      <c r="I1276" s="67"/>
      <c r="J1276" s="68"/>
      <c r="K1276" s="68"/>
      <c r="S1276" s="32"/>
      <c r="T1276" s="32"/>
      <c r="U1276" s="61"/>
      <c r="V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23"/>
      <c r="AG1276" s="23"/>
      <c r="AH1276" s="27"/>
    </row>
    <row r="1277" spans="1:34" x14ac:dyDescent="0.25">
      <c r="A1277" s="69"/>
      <c r="B1277" s="67"/>
      <c r="C1277" s="67"/>
      <c r="D1277" s="68"/>
      <c r="E1277" s="68"/>
      <c r="F1277" s="68"/>
      <c r="G1277" s="67"/>
      <c r="H1277" s="67"/>
      <c r="I1277" s="67"/>
      <c r="J1277" s="68"/>
      <c r="K1277" s="68"/>
      <c r="S1277" s="32"/>
      <c r="T1277" s="32"/>
      <c r="U1277" s="61"/>
      <c r="V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23"/>
      <c r="AG1277" s="23"/>
      <c r="AH1277" s="27"/>
    </row>
    <row r="1278" spans="1:34" x14ac:dyDescent="0.25">
      <c r="A1278" s="69"/>
      <c r="B1278" s="67"/>
      <c r="C1278" s="67"/>
      <c r="D1278" s="68"/>
      <c r="E1278" s="68"/>
      <c r="F1278" s="68"/>
      <c r="G1278" s="67"/>
      <c r="H1278" s="67"/>
      <c r="I1278" s="67"/>
      <c r="J1278" s="68"/>
      <c r="K1278" s="68"/>
      <c r="S1278" s="32"/>
      <c r="T1278" s="32"/>
      <c r="U1278" s="61"/>
      <c r="V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23"/>
      <c r="AG1278" s="23"/>
      <c r="AH1278" s="27"/>
    </row>
    <row r="1279" spans="1:34" x14ac:dyDescent="0.25">
      <c r="A1279" s="69"/>
      <c r="B1279" s="67"/>
      <c r="C1279" s="67"/>
      <c r="D1279" s="68"/>
      <c r="E1279" s="68"/>
      <c r="F1279" s="68"/>
      <c r="G1279" s="67"/>
      <c r="H1279" s="67"/>
      <c r="I1279" s="67"/>
      <c r="J1279" s="68"/>
      <c r="K1279" s="68"/>
      <c r="S1279" s="32"/>
      <c r="T1279" s="32"/>
      <c r="U1279" s="61"/>
      <c r="V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23"/>
      <c r="AG1279" s="23"/>
      <c r="AH1279" s="27"/>
    </row>
    <row r="1280" spans="1:34" x14ac:dyDescent="0.25">
      <c r="A1280" s="69"/>
      <c r="B1280" s="67"/>
      <c r="C1280" s="67"/>
      <c r="D1280" s="68"/>
      <c r="E1280" s="68"/>
      <c r="F1280" s="68"/>
      <c r="G1280" s="67"/>
      <c r="H1280" s="67"/>
      <c r="I1280" s="67"/>
      <c r="J1280" s="68"/>
      <c r="K1280" s="68"/>
      <c r="S1280" s="32"/>
      <c r="T1280" s="32"/>
      <c r="U1280" s="61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23"/>
      <c r="AG1280" s="23"/>
      <c r="AH1280" s="27"/>
    </row>
    <row r="1281" spans="1:34" x14ac:dyDescent="0.25">
      <c r="A1281" s="69"/>
      <c r="B1281" s="67"/>
      <c r="C1281" s="67"/>
      <c r="D1281" s="68"/>
      <c r="E1281" s="68"/>
      <c r="F1281" s="68"/>
      <c r="G1281" s="67"/>
      <c r="H1281" s="67"/>
      <c r="I1281" s="67"/>
      <c r="J1281" s="68"/>
      <c r="K1281" s="68"/>
      <c r="S1281" s="32"/>
      <c r="T1281" s="32"/>
      <c r="U1281" s="61"/>
      <c r="V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23"/>
      <c r="AG1281" s="23"/>
      <c r="AH1281" s="27"/>
    </row>
    <row r="1282" spans="1:34" x14ac:dyDescent="0.25">
      <c r="A1282" s="69"/>
      <c r="B1282" s="67"/>
      <c r="C1282" s="67"/>
      <c r="D1282" s="68"/>
      <c r="E1282" s="68"/>
      <c r="F1282" s="68"/>
      <c r="G1282" s="67"/>
      <c r="H1282" s="67"/>
      <c r="I1282" s="67"/>
      <c r="J1282" s="68"/>
      <c r="K1282" s="68"/>
      <c r="S1282" s="32"/>
      <c r="T1282" s="32"/>
      <c r="U1282" s="61"/>
      <c r="V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23"/>
      <c r="AG1282" s="23"/>
      <c r="AH1282" s="27"/>
    </row>
    <row r="1283" spans="1:34" x14ac:dyDescent="0.25">
      <c r="A1283" s="69"/>
      <c r="B1283" s="67"/>
      <c r="C1283" s="67"/>
      <c r="D1283" s="68"/>
      <c r="E1283" s="68"/>
      <c r="F1283" s="68"/>
      <c r="G1283" s="67"/>
      <c r="H1283" s="67"/>
      <c r="I1283" s="67"/>
      <c r="J1283" s="68"/>
      <c r="K1283" s="68"/>
      <c r="S1283" s="32"/>
      <c r="T1283" s="32"/>
      <c r="U1283" s="61"/>
      <c r="V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23"/>
      <c r="AG1283" s="23"/>
      <c r="AH1283" s="27"/>
    </row>
    <row r="1284" spans="1:34" x14ac:dyDescent="0.25">
      <c r="A1284" s="69"/>
      <c r="B1284" s="67"/>
      <c r="C1284" s="67"/>
      <c r="D1284" s="68"/>
      <c r="E1284" s="68"/>
      <c r="F1284" s="68"/>
      <c r="G1284" s="67"/>
      <c r="H1284" s="67"/>
      <c r="I1284" s="67"/>
      <c r="J1284" s="68"/>
      <c r="K1284" s="68"/>
      <c r="S1284" s="32"/>
      <c r="T1284" s="32"/>
      <c r="U1284" s="61"/>
      <c r="V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23"/>
      <c r="AG1284" s="23"/>
      <c r="AH1284" s="27"/>
    </row>
    <row r="1285" spans="1:34" x14ac:dyDescent="0.25">
      <c r="A1285" s="69"/>
      <c r="B1285" s="67"/>
      <c r="C1285" s="67"/>
      <c r="D1285" s="68"/>
      <c r="E1285" s="68"/>
      <c r="F1285" s="68"/>
      <c r="G1285" s="67"/>
      <c r="H1285" s="67"/>
      <c r="I1285" s="67"/>
      <c r="J1285" s="68"/>
      <c r="K1285" s="68"/>
      <c r="S1285" s="32"/>
      <c r="T1285" s="32"/>
      <c r="U1285" s="61"/>
      <c r="V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23"/>
      <c r="AG1285" s="23"/>
      <c r="AH1285" s="27"/>
    </row>
    <row r="1286" spans="1:34" x14ac:dyDescent="0.25">
      <c r="A1286" s="69"/>
      <c r="B1286" s="67"/>
      <c r="C1286" s="67"/>
      <c r="D1286" s="68"/>
      <c r="E1286" s="68"/>
      <c r="F1286" s="68"/>
      <c r="G1286" s="67"/>
      <c r="H1286" s="67"/>
      <c r="I1286" s="67"/>
      <c r="J1286" s="68"/>
      <c r="K1286" s="68"/>
      <c r="S1286" s="32"/>
      <c r="T1286" s="32"/>
      <c r="U1286" s="61"/>
      <c r="V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23"/>
      <c r="AG1286" s="23"/>
      <c r="AH1286" s="27"/>
    </row>
    <row r="1287" spans="1:34" x14ac:dyDescent="0.25">
      <c r="A1287" s="69"/>
      <c r="B1287" s="67"/>
      <c r="C1287" s="67"/>
      <c r="D1287" s="68"/>
      <c r="E1287" s="68"/>
      <c r="F1287" s="68"/>
      <c r="G1287" s="67"/>
      <c r="H1287" s="67"/>
      <c r="I1287" s="67"/>
      <c r="J1287" s="68"/>
      <c r="K1287" s="68"/>
      <c r="S1287" s="32"/>
      <c r="T1287" s="32"/>
      <c r="U1287" s="61"/>
      <c r="V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23"/>
      <c r="AG1287" s="23"/>
      <c r="AH1287" s="27"/>
    </row>
    <row r="1288" spans="1:34" x14ac:dyDescent="0.25">
      <c r="A1288" s="69"/>
      <c r="B1288" s="67"/>
      <c r="C1288" s="67"/>
      <c r="D1288" s="68"/>
      <c r="E1288" s="68"/>
      <c r="F1288" s="68"/>
      <c r="G1288" s="67"/>
      <c r="H1288" s="67"/>
      <c r="I1288" s="67"/>
      <c r="J1288" s="68"/>
      <c r="K1288" s="68"/>
      <c r="S1288" s="32"/>
      <c r="T1288" s="32"/>
      <c r="U1288" s="61"/>
      <c r="V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23"/>
      <c r="AG1288" s="23"/>
      <c r="AH1288" s="27"/>
    </row>
    <row r="1289" spans="1:34" x14ac:dyDescent="0.25">
      <c r="A1289" s="69"/>
      <c r="B1289" s="67"/>
      <c r="C1289" s="67"/>
      <c r="D1289" s="68"/>
      <c r="E1289" s="68"/>
      <c r="F1289" s="68"/>
      <c r="G1289" s="67"/>
      <c r="H1289" s="67"/>
      <c r="I1289" s="67"/>
      <c r="J1289" s="68"/>
      <c r="K1289" s="68"/>
      <c r="S1289" s="32"/>
      <c r="T1289" s="32"/>
      <c r="U1289" s="61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23"/>
      <c r="AG1289" s="23"/>
      <c r="AH1289" s="27"/>
    </row>
    <row r="1290" spans="1:34" x14ac:dyDescent="0.25">
      <c r="A1290" s="69"/>
      <c r="B1290" s="67"/>
      <c r="C1290" s="67"/>
      <c r="D1290" s="68"/>
      <c r="E1290" s="68"/>
      <c r="F1290" s="68"/>
      <c r="G1290" s="67"/>
      <c r="H1290" s="67"/>
      <c r="I1290" s="67"/>
      <c r="J1290" s="68"/>
      <c r="K1290" s="68"/>
      <c r="S1290" s="32"/>
      <c r="T1290" s="32"/>
      <c r="U1290" s="61"/>
      <c r="V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23"/>
      <c r="AG1290" s="23"/>
      <c r="AH1290" s="27"/>
    </row>
    <row r="1291" spans="1:34" x14ac:dyDescent="0.25">
      <c r="A1291" s="69"/>
      <c r="B1291" s="67"/>
      <c r="C1291" s="67"/>
      <c r="D1291" s="68"/>
      <c r="E1291" s="68"/>
      <c r="F1291" s="68"/>
      <c r="G1291" s="67"/>
      <c r="H1291" s="67"/>
      <c r="I1291" s="67"/>
      <c r="J1291" s="68"/>
      <c r="K1291" s="68"/>
      <c r="S1291" s="32"/>
      <c r="T1291" s="32"/>
      <c r="U1291" s="61"/>
      <c r="V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23"/>
      <c r="AG1291" s="23"/>
      <c r="AH1291" s="27"/>
    </row>
    <row r="1292" spans="1:34" x14ac:dyDescent="0.25">
      <c r="A1292" s="69"/>
      <c r="B1292" s="67"/>
      <c r="C1292" s="67"/>
      <c r="D1292" s="68"/>
      <c r="E1292" s="68"/>
      <c r="F1292" s="68"/>
      <c r="G1292" s="67"/>
      <c r="H1292" s="67"/>
      <c r="I1292" s="67"/>
      <c r="J1292" s="68"/>
      <c r="K1292" s="68"/>
      <c r="S1292" s="32"/>
      <c r="T1292" s="32"/>
      <c r="U1292" s="61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23"/>
      <c r="AG1292" s="23"/>
      <c r="AH1292" s="27"/>
    </row>
    <row r="1293" spans="1:34" x14ac:dyDescent="0.25">
      <c r="A1293" s="69"/>
      <c r="B1293" s="67"/>
      <c r="C1293" s="67"/>
      <c r="D1293" s="68"/>
      <c r="E1293" s="68"/>
      <c r="F1293" s="68"/>
      <c r="G1293" s="67"/>
      <c r="H1293" s="67"/>
      <c r="I1293" s="67"/>
      <c r="J1293" s="68"/>
      <c r="K1293" s="68"/>
      <c r="S1293" s="32"/>
      <c r="T1293" s="32"/>
      <c r="U1293" s="61"/>
      <c r="V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23"/>
      <c r="AG1293" s="23"/>
      <c r="AH1293" s="27"/>
    </row>
    <row r="1294" spans="1:34" x14ac:dyDescent="0.25">
      <c r="A1294" s="69"/>
      <c r="B1294" s="67"/>
      <c r="C1294" s="67"/>
      <c r="D1294" s="68"/>
      <c r="E1294" s="68"/>
      <c r="F1294" s="68"/>
      <c r="G1294" s="67"/>
      <c r="H1294" s="67"/>
      <c r="I1294" s="67"/>
      <c r="J1294" s="68"/>
      <c r="K1294" s="68"/>
      <c r="S1294" s="32"/>
      <c r="T1294" s="32"/>
      <c r="U1294" s="61"/>
      <c r="V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23"/>
      <c r="AG1294" s="23"/>
      <c r="AH1294" s="27"/>
    </row>
    <row r="1295" spans="1:34" x14ac:dyDescent="0.25">
      <c r="A1295" s="69"/>
      <c r="B1295" s="67"/>
      <c r="C1295" s="67"/>
      <c r="D1295" s="68"/>
      <c r="E1295" s="68"/>
      <c r="F1295" s="68"/>
      <c r="G1295" s="67"/>
      <c r="H1295" s="67"/>
      <c r="I1295" s="67"/>
      <c r="J1295" s="68"/>
      <c r="K1295" s="68"/>
      <c r="S1295" s="32"/>
      <c r="T1295" s="32"/>
      <c r="U1295" s="61"/>
      <c r="V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23"/>
      <c r="AG1295" s="23"/>
      <c r="AH1295" s="27"/>
    </row>
    <row r="1296" spans="1:34" x14ac:dyDescent="0.25">
      <c r="A1296" s="69"/>
      <c r="B1296" s="67"/>
      <c r="C1296" s="67"/>
      <c r="D1296" s="70"/>
      <c r="E1296" s="70"/>
      <c r="F1296" s="70"/>
      <c r="G1296" s="67"/>
      <c r="H1296" s="67"/>
      <c r="I1296" s="67"/>
      <c r="J1296" s="68"/>
      <c r="K1296" s="68"/>
      <c r="S1296" s="32"/>
      <c r="T1296" s="32"/>
      <c r="U1296" s="61"/>
      <c r="V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23"/>
      <c r="AG1296" s="23"/>
      <c r="AH1296" s="27"/>
    </row>
    <row r="1297" spans="1:34" x14ac:dyDescent="0.25">
      <c r="A1297" s="69"/>
      <c r="B1297" s="67"/>
      <c r="C1297" s="67"/>
      <c r="D1297" s="70"/>
      <c r="E1297" s="70"/>
      <c r="F1297" s="70"/>
      <c r="G1297" s="67"/>
      <c r="H1297" s="67"/>
      <c r="I1297" s="67"/>
      <c r="J1297" s="68"/>
      <c r="K1297" s="68"/>
      <c r="S1297" s="32"/>
      <c r="T1297" s="32"/>
      <c r="U1297" s="61"/>
      <c r="V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23"/>
      <c r="AG1297" s="23"/>
      <c r="AH1297" s="27"/>
    </row>
    <row r="1298" spans="1:34" x14ac:dyDescent="0.25">
      <c r="A1298" s="69"/>
      <c r="B1298" s="67"/>
      <c r="C1298" s="67"/>
      <c r="D1298" s="70"/>
      <c r="E1298" s="70"/>
      <c r="F1298" s="70"/>
      <c r="G1298" s="67"/>
      <c r="H1298" s="67"/>
      <c r="I1298" s="67"/>
      <c r="J1298" s="68"/>
      <c r="K1298" s="68"/>
      <c r="S1298" s="32"/>
      <c r="T1298" s="32"/>
      <c r="U1298" s="61"/>
      <c r="V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23"/>
      <c r="AG1298" s="23"/>
      <c r="AH1298" s="27"/>
    </row>
    <row r="1299" spans="1:34" x14ac:dyDescent="0.25">
      <c r="A1299" s="69"/>
      <c r="B1299" s="67"/>
      <c r="C1299" s="67"/>
      <c r="D1299" s="68"/>
      <c r="E1299" s="68"/>
      <c r="F1299" s="68"/>
      <c r="G1299" s="67"/>
      <c r="H1299" s="67"/>
      <c r="I1299" s="67"/>
      <c r="J1299" s="68"/>
      <c r="K1299" s="68"/>
      <c r="S1299" s="32"/>
      <c r="T1299" s="32"/>
      <c r="U1299" s="61"/>
      <c r="V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23"/>
      <c r="AG1299" s="23"/>
      <c r="AH1299" s="27"/>
    </row>
    <row r="1300" spans="1:34" x14ac:dyDescent="0.25">
      <c r="A1300" s="69"/>
      <c r="B1300" s="67"/>
      <c r="C1300" s="67"/>
      <c r="D1300" s="68"/>
      <c r="E1300" s="68"/>
      <c r="F1300" s="68"/>
      <c r="G1300" s="67"/>
      <c r="H1300" s="67"/>
      <c r="I1300" s="67"/>
      <c r="J1300" s="68"/>
      <c r="K1300" s="68"/>
      <c r="S1300" s="32"/>
      <c r="T1300" s="32"/>
      <c r="U1300" s="61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23"/>
      <c r="AG1300" s="23"/>
      <c r="AH1300" s="27"/>
    </row>
    <row r="1301" spans="1:34" x14ac:dyDescent="0.25">
      <c r="A1301" s="69"/>
      <c r="B1301" s="67"/>
      <c r="C1301" s="67"/>
      <c r="D1301" s="68"/>
      <c r="E1301" s="68"/>
      <c r="F1301" s="68"/>
      <c r="G1301" s="67"/>
      <c r="H1301" s="67"/>
      <c r="I1301" s="67"/>
      <c r="J1301" s="68"/>
      <c r="K1301" s="68"/>
      <c r="S1301" s="32"/>
      <c r="T1301" s="32"/>
      <c r="U1301" s="61"/>
      <c r="V1301" s="32"/>
      <c r="W1301" s="32"/>
      <c r="X1301" s="32"/>
      <c r="Y1301" s="32"/>
      <c r="Z1301" s="32"/>
      <c r="AA1301" s="32"/>
      <c r="AB1301" s="32"/>
      <c r="AC1301" s="32"/>
      <c r="AD1301" s="32"/>
      <c r="AE1301" s="32"/>
      <c r="AF1301" s="23"/>
      <c r="AG1301" s="23"/>
      <c r="AH1301" s="27"/>
    </row>
    <row r="1302" spans="1:34" x14ac:dyDescent="0.25">
      <c r="A1302" s="69"/>
      <c r="B1302" s="67"/>
      <c r="C1302" s="67"/>
      <c r="D1302" s="68"/>
      <c r="E1302" s="68"/>
      <c r="F1302" s="68"/>
      <c r="G1302" s="67"/>
      <c r="H1302" s="67"/>
      <c r="I1302" s="67"/>
      <c r="J1302" s="68"/>
      <c r="K1302" s="68"/>
      <c r="S1302" s="32"/>
      <c r="T1302" s="32"/>
      <c r="U1302" s="61"/>
      <c r="V1302" s="32"/>
      <c r="W1302" s="32"/>
      <c r="X1302" s="32"/>
      <c r="Y1302" s="32"/>
      <c r="Z1302" s="32"/>
      <c r="AA1302" s="32"/>
      <c r="AB1302" s="32"/>
      <c r="AC1302" s="32"/>
      <c r="AD1302" s="32"/>
      <c r="AE1302" s="32"/>
      <c r="AF1302" s="23"/>
      <c r="AG1302" s="23"/>
      <c r="AH1302" s="27"/>
    </row>
    <row r="1303" spans="1:34" x14ac:dyDescent="0.25">
      <c r="A1303" s="69"/>
      <c r="B1303" s="67"/>
      <c r="C1303" s="67"/>
      <c r="D1303" s="68"/>
      <c r="E1303" s="68"/>
      <c r="F1303" s="68"/>
      <c r="G1303" s="67"/>
      <c r="H1303" s="67"/>
      <c r="I1303" s="67"/>
      <c r="J1303" s="68"/>
      <c r="K1303" s="68"/>
      <c r="S1303" s="32"/>
      <c r="T1303" s="32"/>
      <c r="U1303" s="61"/>
      <c r="V1303" s="32"/>
      <c r="W1303" s="32"/>
      <c r="X1303" s="32"/>
      <c r="Y1303" s="32"/>
      <c r="Z1303" s="32"/>
      <c r="AA1303" s="32"/>
      <c r="AB1303" s="32"/>
      <c r="AC1303" s="32"/>
      <c r="AD1303" s="32"/>
      <c r="AE1303" s="32"/>
      <c r="AF1303" s="23"/>
      <c r="AG1303" s="23"/>
      <c r="AH1303" s="27"/>
    </row>
    <row r="1304" spans="1:34" x14ac:dyDescent="0.25">
      <c r="A1304" s="69"/>
      <c r="B1304" s="67"/>
      <c r="C1304" s="67"/>
      <c r="D1304" s="68"/>
      <c r="E1304" s="68"/>
      <c r="F1304" s="68"/>
      <c r="G1304" s="67"/>
      <c r="H1304" s="67"/>
      <c r="I1304" s="67"/>
      <c r="J1304" s="68"/>
      <c r="K1304" s="68"/>
      <c r="S1304" s="32"/>
      <c r="T1304" s="32"/>
      <c r="U1304" s="61"/>
      <c r="V1304" s="32"/>
      <c r="W1304" s="32"/>
      <c r="X1304" s="32"/>
      <c r="Y1304" s="32"/>
      <c r="Z1304" s="32"/>
      <c r="AA1304" s="32"/>
      <c r="AB1304" s="32"/>
      <c r="AC1304" s="32"/>
      <c r="AD1304" s="32"/>
      <c r="AE1304" s="32"/>
      <c r="AF1304" s="23"/>
      <c r="AG1304" s="23"/>
      <c r="AH1304" s="27"/>
    </row>
    <row r="1305" spans="1:34" x14ac:dyDescent="0.25">
      <c r="A1305" s="69"/>
      <c r="B1305" s="67"/>
      <c r="C1305" s="67"/>
      <c r="D1305" s="68"/>
      <c r="E1305" s="68"/>
      <c r="F1305" s="68"/>
      <c r="G1305" s="67"/>
      <c r="H1305" s="67"/>
      <c r="I1305" s="67"/>
      <c r="J1305" s="68"/>
      <c r="K1305" s="68"/>
      <c r="S1305" s="32"/>
      <c r="T1305" s="32"/>
      <c r="U1305" s="61"/>
      <c r="V1305" s="32"/>
      <c r="W1305" s="32"/>
      <c r="X1305" s="32"/>
      <c r="Y1305" s="32"/>
      <c r="Z1305" s="32"/>
      <c r="AA1305" s="32"/>
      <c r="AB1305" s="32"/>
      <c r="AC1305" s="32"/>
      <c r="AD1305" s="32"/>
      <c r="AE1305" s="32"/>
      <c r="AF1305" s="23"/>
      <c r="AG1305" s="23"/>
      <c r="AH1305" s="27"/>
    </row>
    <row r="1306" spans="1:34" x14ac:dyDescent="0.25">
      <c r="A1306" s="69"/>
      <c r="B1306" s="67"/>
      <c r="C1306" s="67"/>
      <c r="D1306" s="68"/>
      <c r="E1306" s="68"/>
      <c r="F1306" s="68"/>
      <c r="G1306" s="67"/>
      <c r="H1306" s="67"/>
      <c r="I1306" s="67"/>
      <c r="J1306" s="68"/>
      <c r="K1306" s="68"/>
      <c r="S1306" s="32"/>
      <c r="T1306" s="32"/>
      <c r="U1306" s="61"/>
      <c r="V1306" s="32"/>
      <c r="W1306" s="32"/>
      <c r="X1306" s="32"/>
      <c r="Y1306" s="32"/>
      <c r="Z1306" s="32"/>
      <c r="AA1306" s="32"/>
      <c r="AB1306" s="32"/>
      <c r="AC1306" s="32"/>
      <c r="AD1306" s="32"/>
      <c r="AE1306" s="32"/>
      <c r="AF1306" s="23"/>
      <c r="AG1306" s="23"/>
      <c r="AH1306" s="27"/>
    </row>
    <row r="1307" spans="1:34" x14ac:dyDescent="0.25">
      <c r="A1307" s="69"/>
      <c r="B1307" s="67"/>
      <c r="C1307" s="67"/>
      <c r="D1307" s="68"/>
      <c r="E1307" s="68"/>
      <c r="F1307" s="68"/>
      <c r="G1307" s="67"/>
      <c r="H1307" s="67"/>
      <c r="I1307" s="67"/>
      <c r="J1307" s="68"/>
      <c r="K1307" s="68"/>
      <c r="S1307" s="32"/>
      <c r="T1307" s="32"/>
      <c r="U1307" s="61"/>
      <c r="V1307" s="32"/>
      <c r="W1307" s="32"/>
      <c r="X1307" s="32"/>
      <c r="Y1307" s="32"/>
      <c r="Z1307" s="32"/>
      <c r="AA1307" s="32"/>
      <c r="AB1307" s="32"/>
      <c r="AC1307" s="32"/>
      <c r="AD1307" s="32"/>
      <c r="AE1307" s="32"/>
      <c r="AF1307" s="23"/>
      <c r="AG1307" s="23"/>
      <c r="AH1307" s="27"/>
    </row>
    <row r="1308" spans="1:34" x14ac:dyDescent="0.25">
      <c r="A1308" s="69"/>
      <c r="B1308" s="67"/>
      <c r="C1308" s="67"/>
      <c r="D1308" s="68"/>
      <c r="E1308" s="68"/>
      <c r="F1308" s="68"/>
      <c r="G1308" s="67"/>
      <c r="H1308" s="67"/>
      <c r="I1308" s="67"/>
      <c r="J1308" s="68"/>
      <c r="K1308" s="68"/>
      <c r="S1308" s="32"/>
      <c r="T1308" s="32"/>
      <c r="U1308" s="61"/>
      <c r="V1308" s="32"/>
      <c r="W1308" s="32"/>
      <c r="X1308" s="32"/>
      <c r="Y1308" s="32"/>
      <c r="Z1308" s="32"/>
      <c r="AA1308" s="32"/>
      <c r="AB1308" s="32"/>
      <c r="AC1308" s="32"/>
      <c r="AD1308" s="32"/>
      <c r="AE1308" s="32"/>
      <c r="AF1308" s="23"/>
      <c r="AG1308" s="23"/>
      <c r="AH1308" s="27"/>
    </row>
    <row r="1309" spans="1:34" x14ac:dyDescent="0.25">
      <c r="A1309" s="69"/>
      <c r="B1309" s="67"/>
      <c r="C1309" s="67"/>
      <c r="D1309" s="68"/>
      <c r="E1309" s="68"/>
      <c r="F1309" s="68"/>
      <c r="G1309" s="67"/>
      <c r="H1309" s="67"/>
      <c r="I1309" s="67"/>
      <c r="J1309" s="68"/>
      <c r="K1309" s="68"/>
      <c r="S1309" s="32"/>
      <c r="T1309" s="32"/>
      <c r="U1309" s="61"/>
      <c r="V1309" s="32"/>
      <c r="W1309" s="32"/>
      <c r="X1309" s="32"/>
      <c r="Y1309" s="32"/>
      <c r="Z1309" s="32"/>
      <c r="AA1309" s="32"/>
      <c r="AB1309" s="32"/>
      <c r="AC1309" s="32"/>
      <c r="AD1309" s="32"/>
      <c r="AE1309" s="32"/>
      <c r="AF1309" s="23"/>
      <c r="AG1309" s="23"/>
      <c r="AH1309" s="27"/>
    </row>
    <row r="1310" spans="1:34" x14ac:dyDescent="0.25">
      <c r="A1310" s="69"/>
      <c r="B1310" s="67"/>
      <c r="C1310" s="67"/>
      <c r="D1310" s="68"/>
      <c r="E1310" s="68"/>
      <c r="F1310" s="68"/>
      <c r="G1310" s="67"/>
      <c r="H1310" s="67"/>
      <c r="I1310" s="67"/>
      <c r="J1310" s="68"/>
      <c r="K1310" s="68"/>
      <c r="S1310" s="32"/>
      <c r="T1310" s="32"/>
      <c r="U1310" s="61"/>
      <c r="V1310" s="32"/>
      <c r="W1310" s="32"/>
      <c r="X1310" s="32"/>
      <c r="Y1310" s="32"/>
      <c r="Z1310" s="32"/>
      <c r="AA1310" s="32"/>
      <c r="AB1310" s="32"/>
      <c r="AC1310" s="32"/>
      <c r="AD1310" s="32"/>
      <c r="AE1310" s="32"/>
      <c r="AF1310" s="23"/>
      <c r="AG1310" s="23"/>
      <c r="AH1310" s="27"/>
    </row>
    <row r="1311" spans="1:34" x14ac:dyDescent="0.25">
      <c r="A1311" s="69"/>
      <c r="B1311" s="67"/>
      <c r="C1311" s="67"/>
      <c r="D1311" s="68"/>
      <c r="E1311" s="68"/>
      <c r="F1311" s="68"/>
      <c r="G1311" s="67"/>
      <c r="H1311" s="67"/>
      <c r="I1311" s="67"/>
      <c r="J1311" s="68"/>
      <c r="K1311" s="68"/>
      <c r="S1311" s="32"/>
      <c r="T1311" s="32"/>
      <c r="U1311" s="61"/>
      <c r="V1311" s="32"/>
      <c r="W1311" s="32"/>
      <c r="X1311" s="32"/>
      <c r="Y1311" s="32"/>
      <c r="Z1311" s="32"/>
      <c r="AA1311" s="32"/>
      <c r="AB1311" s="32"/>
      <c r="AC1311" s="32"/>
      <c r="AD1311" s="32"/>
      <c r="AE1311" s="32"/>
      <c r="AF1311" s="23"/>
      <c r="AG1311" s="23"/>
      <c r="AH1311" s="27"/>
    </row>
    <row r="1312" spans="1:34" x14ac:dyDescent="0.25">
      <c r="A1312" s="69"/>
      <c r="B1312" s="67"/>
      <c r="C1312" s="67"/>
      <c r="D1312" s="68"/>
      <c r="E1312" s="68"/>
      <c r="F1312" s="68"/>
      <c r="G1312" s="67"/>
      <c r="H1312" s="67"/>
      <c r="I1312" s="67"/>
      <c r="J1312" s="68"/>
      <c r="K1312" s="68"/>
      <c r="S1312" s="32"/>
      <c r="T1312" s="32"/>
      <c r="U1312" s="61"/>
      <c r="V1312" s="32"/>
      <c r="W1312" s="32"/>
      <c r="X1312" s="32"/>
      <c r="Y1312" s="32"/>
      <c r="Z1312" s="32"/>
      <c r="AA1312" s="32"/>
      <c r="AB1312" s="32"/>
      <c r="AC1312" s="32"/>
      <c r="AD1312" s="32"/>
      <c r="AE1312" s="32"/>
      <c r="AF1312" s="23"/>
      <c r="AG1312" s="23"/>
      <c r="AH1312" s="27"/>
    </row>
    <row r="1313" spans="1:34" x14ac:dyDescent="0.25">
      <c r="A1313" s="69"/>
      <c r="B1313" s="67"/>
      <c r="C1313" s="67"/>
      <c r="D1313" s="68"/>
      <c r="E1313" s="68"/>
      <c r="F1313" s="68"/>
      <c r="G1313" s="67"/>
      <c r="H1313" s="67"/>
      <c r="I1313" s="67"/>
      <c r="J1313" s="68"/>
      <c r="K1313" s="68"/>
      <c r="S1313" s="32"/>
      <c r="T1313" s="32"/>
      <c r="U1313" s="61"/>
      <c r="V1313" s="32"/>
      <c r="W1313" s="32"/>
      <c r="X1313" s="32"/>
      <c r="Y1313" s="32"/>
      <c r="Z1313" s="32"/>
      <c r="AA1313" s="32"/>
      <c r="AB1313" s="32"/>
      <c r="AC1313" s="32"/>
      <c r="AD1313" s="32"/>
      <c r="AE1313" s="32"/>
      <c r="AF1313" s="23"/>
      <c r="AG1313" s="23"/>
      <c r="AH1313" s="27"/>
    </row>
    <row r="1314" spans="1:34" x14ac:dyDescent="0.25">
      <c r="A1314" s="69"/>
      <c r="B1314" s="67"/>
      <c r="C1314" s="67"/>
      <c r="D1314" s="68"/>
      <c r="E1314" s="68"/>
      <c r="F1314" s="68"/>
      <c r="G1314" s="67"/>
      <c r="H1314" s="67"/>
      <c r="I1314" s="67"/>
      <c r="J1314" s="68"/>
      <c r="K1314" s="68"/>
      <c r="S1314" s="32"/>
      <c r="T1314" s="32"/>
      <c r="U1314" s="61"/>
      <c r="V1314" s="32"/>
      <c r="W1314" s="32"/>
      <c r="X1314" s="32"/>
      <c r="Y1314" s="32"/>
      <c r="Z1314" s="32"/>
      <c r="AA1314" s="32"/>
      <c r="AB1314" s="32"/>
      <c r="AC1314" s="32"/>
      <c r="AD1314" s="32"/>
      <c r="AE1314" s="32"/>
      <c r="AF1314" s="23"/>
      <c r="AG1314" s="23"/>
      <c r="AH1314" s="27"/>
    </row>
    <row r="1315" spans="1:34" x14ac:dyDescent="0.25">
      <c r="A1315" s="69"/>
      <c r="B1315" s="67"/>
      <c r="C1315" s="67"/>
      <c r="D1315" s="68"/>
      <c r="E1315" s="68"/>
      <c r="F1315" s="68"/>
      <c r="G1315" s="67"/>
      <c r="H1315" s="67"/>
      <c r="I1315" s="67"/>
      <c r="J1315" s="68"/>
      <c r="K1315" s="68"/>
      <c r="S1315" s="32"/>
      <c r="T1315" s="32"/>
      <c r="U1315" s="61"/>
      <c r="V1315" s="32"/>
      <c r="W1315" s="32"/>
      <c r="X1315" s="32"/>
      <c r="Y1315" s="32"/>
      <c r="Z1315" s="32"/>
      <c r="AA1315" s="32"/>
      <c r="AB1315" s="32"/>
      <c r="AC1315" s="32"/>
      <c r="AD1315" s="32"/>
      <c r="AE1315" s="32"/>
      <c r="AF1315" s="23"/>
      <c r="AG1315" s="23"/>
      <c r="AH1315" s="27"/>
    </row>
    <row r="1316" spans="1:34" x14ac:dyDescent="0.25">
      <c r="A1316" s="69"/>
      <c r="B1316" s="67"/>
      <c r="C1316" s="67"/>
      <c r="D1316" s="68"/>
      <c r="E1316" s="68"/>
      <c r="F1316" s="68"/>
      <c r="G1316" s="67"/>
      <c r="H1316" s="67"/>
      <c r="I1316" s="67"/>
      <c r="J1316" s="68"/>
      <c r="K1316" s="68"/>
      <c r="S1316" s="32"/>
      <c r="T1316" s="32"/>
      <c r="U1316" s="61"/>
      <c r="V1316" s="32"/>
      <c r="W1316" s="32"/>
      <c r="X1316" s="32"/>
      <c r="Y1316" s="32"/>
      <c r="Z1316" s="32"/>
      <c r="AA1316" s="32"/>
      <c r="AB1316" s="32"/>
      <c r="AC1316" s="32"/>
      <c r="AD1316" s="32"/>
      <c r="AE1316" s="32"/>
      <c r="AF1316" s="23"/>
      <c r="AG1316" s="23"/>
      <c r="AH1316" s="27"/>
    </row>
    <row r="1317" spans="1:34" x14ac:dyDescent="0.25">
      <c r="A1317" s="69"/>
      <c r="B1317" s="67"/>
      <c r="C1317" s="67"/>
      <c r="D1317" s="68"/>
      <c r="E1317" s="68"/>
      <c r="F1317" s="68"/>
      <c r="G1317" s="67"/>
      <c r="H1317" s="67"/>
      <c r="I1317" s="67"/>
      <c r="J1317" s="68"/>
      <c r="K1317" s="68"/>
      <c r="S1317" s="32"/>
      <c r="T1317" s="32"/>
      <c r="U1317" s="61"/>
      <c r="V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23"/>
      <c r="AG1317" s="23"/>
      <c r="AH1317" s="27"/>
    </row>
    <row r="1318" spans="1:34" x14ac:dyDescent="0.25">
      <c r="A1318" s="69"/>
      <c r="B1318" s="67"/>
      <c r="C1318" s="67"/>
      <c r="D1318" s="68"/>
      <c r="E1318" s="68"/>
      <c r="F1318" s="68"/>
      <c r="G1318" s="67"/>
      <c r="H1318" s="67"/>
      <c r="I1318" s="67"/>
      <c r="J1318" s="68"/>
      <c r="K1318" s="68"/>
      <c r="S1318" s="32"/>
      <c r="T1318" s="32"/>
      <c r="U1318" s="61"/>
      <c r="V1318" s="32"/>
      <c r="W1318" s="32"/>
      <c r="X1318" s="32"/>
      <c r="Y1318" s="32"/>
      <c r="Z1318" s="32"/>
      <c r="AA1318" s="32"/>
      <c r="AB1318" s="32"/>
      <c r="AC1318" s="32"/>
      <c r="AD1318" s="32"/>
      <c r="AE1318" s="32"/>
      <c r="AF1318" s="23"/>
      <c r="AG1318" s="23"/>
      <c r="AH1318" s="27"/>
    </row>
    <row r="1319" spans="1:34" x14ac:dyDescent="0.25">
      <c r="A1319" s="69"/>
      <c r="B1319" s="67"/>
      <c r="C1319" s="67"/>
      <c r="D1319" s="68"/>
      <c r="E1319" s="68"/>
      <c r="F1319" s="68"/>
      <c r="G1319" s="67"/>
      <c r="H1319" s="67"/>
      <c r="I1319" s="67"/>
      <c r="J1319" s="68"/>
      <c r="K1319" s="68"/>
      <c r="S1319" s="32"/>
      <c r="T1319" s="32"/>
      <c r="U1319" s="61"/>
      <c r="V1319" s="32"/>
      <c r="W1319" s="32"/>
      <c r="X1319" s="32"/>
      <c r="Y1319" s="32"/>
      <c r="Z1319" s="32"/>
      <c r="AA1319" s="32"/>
      <c r="AB1319" s="32"/>
      <c r="AC1319" s="32"/>
      <c r="AD1319" s="32"/>
      <c r="AE1319" s="32"/>
      <c r="AF1319" s="23"/>
      <c r="AG1319" s="23"/>
      <c r="AH1319" s="27"/>
    </row>
    <row r="1320" spans="1:34" x14ac:dyDescent="0.25">
      <c r="A1320" s="69"/>
      <c r="B1320" s="67"/>
      <c r="C1320" s="67"/>
      <c r="D1320" s="70"/>
      <c r="E1320" s="70"/>
      <c r="F1320" s="70"/>
      <c r="G1320" s="67"/>
      <c r="H1320" s="67"/>
      <c r="I1320" s="67"/>
      <c r="J1320" s="68"/>
      <c r="K1320" s="68"/>
      <c r="S1320" s="32"/>
      <c r="T1320" s="32"/>
      <c r="U1320" s="61"/>
      <c r="V1320" s="32"/>
      <c r="W1320" s="32"/>
      <c r="X1320" s="32"/>
      <c r="Y1320" s="32"/>
      <c r="Z1320" s="32"/>
      <c r="AA1320" s="32"/>
      <c r="AB1320" s="32"/>
      <c r="AC1320" s="32"/>
      <c r="AD1320" s="32"/>
      <c r="AE1320" s="32"/>
      <c r="AF1320" s="23"/>
      <c r="AG1320" s="23"/>
      <c r="AH1320" s="27"/>
    </row>
    <row r="1321" spans="1:34" x14ac:dyDescent="0.25">
      <c r="A1321" s="69"/>
      <c r="B1321" s="67"/>
      <c r="C1321" s="67"/>
      <c r="D1321" s="70"/>
      <c r="E1321" s="70"/>
      <c r="F1321" s="70"/>
      <c r="G1321" s="67"/>
      <c r="H1321" s="67"/>
      <c r="I1321" s="67"/>
      <c r="J1321" s="68"/>
      <c r="K1321" s="68"/>
      <c r="S1321" s="32"/>
      <c r="T1321" s="32"/>
      <c r="U1321" s="61"/>
      <c r="V1321" s="32"/>
      <c r="W1321" s="32"/>
      <c r="X1321" s="32"/>
      <c r="Y1321" s="32"/>
      <c r="Z1321" s="32"/>
      <c r="AA1321" s="32"/>
      <c r="AB1321" s="32"/>
      <c r="AC1321" s="32"/>
      <c r="AD1321" s="32"/>
      <c r="AE1321" s="32"/>
      <c r="AF1321" s="23"/>
      <c r="AG1321" s="23"/>
      <c r="AH1321" s="27"/>
    </row>
    <row r="1322" spans="1:34" x14ac:dyDescent="0.25">
      <c r="A1322" s="69"/>
      <c r="B1322" s="67"/>
      <c r="C1322" s="67"/>
      <c r="D1322" s="70"/>
      <c r="E1322" s="70"/>
      <c r="F1322" s="70"/>
      <c r="G1322" s="67"/>
      <c r="H1322" s="67"/>
      <c r="I1322" s="67"/>
      <c r="J1322" s="68"/>
      <c r="K1322" s="68"/>
      <c r="S1322" s="32"/>
      <c r="T1322" s="32"/>
      <c r="U1322" s="61"/>
      <c r="V1322" s="32"/>
      <c r="W1322" s="32"/>
      <c r="X1322" s="32"/>
      <c r="Y1322" s="32"/>
      <c r="Z1322" s="32"/>
      <c r="AA1322" s="32"/>
      <c r="AB1322" s="32"/>
      <c r="AC1322" s="32"/>
      <c r="AD1322" s="32"/>
      <c r="AE1322" s="32"/>
      <c r="AF1322" s="23"/>
      <c r="AG1322" s="23"/>
      <c r="AH1322" s="27"/>
    </row>
    <row r="1323" spans="1:34" x14ac:dyDescent="0.25">
      <c r="A1323" s="69"/>
      <c r="B1323" s="67"/>
      <c r="C1323" s="67"/>
      <c r="D1323" s="68"/>
      <c r="E1323" s="68"/>
      <c r="F1323" s="68"/>
      <c r="G1323" s="67"/>
      <c r="H1323" s="67"/>
      <c r="I1323" s="67"/>
      <c r="J1323" s="68"/>
      <c r="K1323" s="68"/>
      <c r="S1323" s="32"/>
      <c r="T1323" s="32"/>
      <c r="U1323" s="61"/>
      <c r="V1323" s="32"/>
      <c r="W1323" s="32"/>
      <c r="X1323" s="32"/>
      <c r="Y1323" s="32"/>
      <c r="Z1323" s="32"/>
      <c r="AA1323" s="32"/>
      <c r="AB1323" s="32"/>
      <c r="AC1323" s="32"/>
      <c r="AD1323" s="32"/>
      <c r="AE1323" s="32"/>
      <c r="AF1323" s="23"/>
      <c r="AG1323" s="23"/>
      <c r="AH1323" s="27"/>
    </row>
    <row r="1324" spans="1:34" x14ac:dyDescent="0.25">
      <c r="A1324" s="69"/>
      <c r="B1324" s="67"/>
      <c r="C1324" s="67"/>
      <c r="D1324" s="68"/>
      <c r="E1324" s="68"/>
      <c r="F1324" s="68"/>
      <c r="G1324" s="67"/>
      <c r="H1324" s="67"/>
      <c r="I1324" s="67"/>
      <c r="J1324" s="68"/>
      <c r="K1324" s="68"/>
      <c r="S1324" s="32"/>
      <c r="T1324" s="32"/>
      <c r="U1324" s="61"/>
      <c r="V1324" s="32"/>
      <c r="W1324" s="32"/>
      <c r="X1324" s="32"/>
      <c r="Y1324" s="32"/>
      <c r="Z1324" s="32"/>
      <c r="AA1324" s="32"/>
      <c r="AB1324" s="32"/>
      <c r="AC1324" s="32"/>
      <c r="AD1324" s="32"/>
      <c r="AE1324" s="32"/>
      <c r="AF1324" s="23"/>
      <c r="AG1324" s="23"/>
      <c r="AH1324" s="27"/>
    </row>
    <row r="1325" spans="1:34" x14ac:dyDescent="0.25">
      <c r="A1325" s="69"/>
      <c r="B1325" s="67"/>
      <c r="C1325" s="67"/>
      <c r="D1325" s="68"/>
      <c r="E1325" s="68"/>
      <c r="F1325" s="68"/>
      <c r="G1325" s="67"/>
      <c r="H1325" s="67"/>
      <c r="I1325" s="67"/>
      <c r="J1325" s="68"/>
      <c r="K1325" s="68"/>
      <c r="S1325" s="32"/>
      <c r="T1325" s="32"/>
      <c r="U1325" s="61"/>
      <c r="V1325" s="32"/>
      <c r="W1325" s="32"/>
      <c r="X1325" s="32"/>
      <c r="Y1325" s="32"/>
      <c r="Z1325" s="32"/>
      <c r="AA1325" s="32"/>
      <c r="AB1325" s="32"/>
      <c r="AC1325" s="32"/>
      <c r="AD1325" s="32"/>
      <c r="AE1325" s="32"/>
      <c r="AF1325" s="23"/>
      <c r="AG1325" s="23"/>
      <c r="AH1325" s="27"/>
    </row>
    <row r="1326" spans="1:34" x14ac:dyDescent="0.25">
      <c r="A1326" s="69"/>
      <c r="B1326" s="67"/>
      <c r="C1326" s="67"/>
      <c r="D1326" s="68"/>
      <c r="E1326" s="68"/>
      <c r="F1326" s="68"/>
      <c r="G1326" s="67"/>
      <c r="H1326" s="67"/>
      <c r="I1326" s="67"/>
      <c r="J1326" s="68"/>
      <c r="K1326" s="68"/>
      <c r="S1326" s="32"/>
      <c r="T1326" s="32"/>
      <c r="U1326" s="61"/>
      <c r="V1326" s="32"/>
      <c r="W1326" s="32"/>
      <c r="X1326" s="32"/>
      <c r="Y1326" s="32"/>
      <c r="Z1326" s="32"/>
      <c r="AA1326" s="32"/>
      <c r="AB1326" s="32"/>
      <c r="AC1326" s="32"/>
      <c r="AD1326" s="32"/>
      <c r="AE1326" s="32"/>
      <c r="AF1326" s="23"/>
      <c r="AG1326" s="23"/>
      <c r="AH1326" s="27"/>
    </row>
    <row r="1327" spans="1:34" x14ac:dyDescent="0.25">
      <c r="A1327" s="69"/>
      <c r="B1327" s="67"/>
      <c r="C1327" s="67"/>
      <c r="D1327" s="68"/>
      <c r="E1327" s="68"/>
      <c r="F1327" s="68"/>
      <c r="G1327" s="67"/>
      <c r="H1327" s="67"/>
      <c r="I1327" s="67"/>
      <c r="J1327" s="68"/>
      <c r="K1327" s="68"/>
      <c r="S1327" s="32"/>
      <c r="T1327" s="32"/>
      <c r="U1327" s="61"/>
      <c r="V1327" s="32"/>
      <c r="W1327" s="32"/>
      <c r="X1327" s="32"/>
      <c r="Y1327" s="32"/>
      <c r="Z1327" s="32"/>
      <c r="AA1327" s="32"/>
      <c r="AB1327" s="32"/>
      <c r="AC1327" s="32"/>
      <c r="AD1327" s="32"/>
      <c r="AE1327" s="32"/>
      <c r="AF1327" s="23"/>
      <c r="AG1327" s="23"/>
      <c r="AH1327" s="27"/>
    </row>
    <row r="1328" spans="1:34" x14ac:dyDescent="0.25">
      <c r="A1328" s="69"/>
      <c r="B1328" s="67"/>
      <c r="C1328" s="67"/>
      <c r="D1328" s="68"/>
      <c r="E1328" s="68"/>
      <c r="F1328" s="68"/>
      <c r="G1328" s="67"/>
      <c r="H1328" s="67"/>
      <c r="I1328" s="67"/>
      <c r="J1328" s="68"/>
      <c r="K1328" s="68"/>
      <c r="S1328" s="32"/>
      <c r="T1328" s="32"/>
      <c r="U1328" s="61"/>
      <c r="V1328" s="32"/>
      <c r="W1328" s="32"/>
      <c r="X1328" s="32"/>
      <c r="Y1328" s="32"/>
      <c r="Z1328" s="32"/>
      <c r="AA1328" s="32"/>
      <c r="AB1328" s="32"/>
      <c r="AC1328" s="32"/>
      <c r="AD1328" s="32"/>
      <c r="AE1328" s="32"/>
      <c r="AF1328" s="23"/>
      <c r="AG1328" s="23"/>
      <c r="AH1328" s="27"/>
    </row>
    <row r="1329" spans="1:34" x14ac:dyDescent="0.25">
      <c r="A1329" s="69"/>
      <c r="B1329" s="67"/>
      <c r="C1329" s="67"/>
      <c r="D1329" s="68"/>
      <c r="E1329" s="68"/>
      <c r="F1329" s="68"/>
      <c r="G1329" s="67"/>
      <c r="H1329" s="67"/>
      <c r="I1329" s="67"/>
      <c r="J1329" s="68"/>
      <c r="K1329" s="68"/>
      <c r="S1329" s="32"/>
      <c r="T1329" s="32"/>
      <c r="U1329" s="61"/>
      <c r="V1329" s="32"/>
      <c r="W1329" s="32"/>
      <c r="X1329" s="32"/>
      <c r="Y1329" s="32"/>
      <c r="Z1329" s="32"/>
      <c r="AA1329" s="32"/>
      <c r="AB1329" s="32"/>
      <c r="AC1329" s="32"/>
      <c r="AD1329" s="32"/>
      <c r="AE1329" s="32"/>
      <c r="AF1329" s="23"/>
      <c r="AG1329" s="23"/>
      <c r="AH1329" s="27"/>
    </row>
    <row r="1330" spans="1:34" x14ac:dyDescent="0.25">
      <c r="A1330" s="69"/>
      <c r="B1330" s="67"/>
      <c r="C1330" s="67"/>
      <c r="D1330" s="68"/>
      <c r="E1330" s="68"/>
      <c r="F1330" s="68"/>
      <c r="G1330" s="67"/>
      <c r="H1330" s="67"/>
      <c r="I1330" s="67"/>
      <c r="J1330" s="68"/>
      <c r="K1330" s="68"/>
      <c r="S1330" s="32"/>
      <c r="T1330" s="32"/>
      <c r="U1330" s="61"/>
      <c r="V1330" s="32"/>
      <c r="W1330" s="32"/>
      <c r="X1330" s="32"/>
      <c r="Y1330" s="32"/>
      <c r="Z1330" s="32"/>
      <c r="AA1330" s="32"/>
      <c r="AB1330" s="32"/>
      <c r="AC1330" s="32"/>
      <c r="AD1330" s="32"/>
      <c r="AE1330" s="32"/>
      <c r="AF1330" s="23"/>
      <c r="AG1330" s="23"/>
      <c r="AH1330" s="27"/>
    </row>
    <row r="1331" spans="1:34" x14ac:dyDescent="0.25">
      <c r="A1331" s="69"/>
      <c r="B1331" s="67"/>
      <c r="C1331" s="67"/>
      <c r="D1331" s="68"/>
      <c r="E1331" s="68"/>
      <c r="F1331" s="68"/>
      <c r="G1331" s="67"/>
      <c r="H1331" s="67"/>
      <c r="I1331" s="67"/>
      <c r="J1331" s="68"/>
      <c r="K1331" s="68"/>
      <c r="S1331" s="32"/>
      <c r="T1331" s="32"/>
      <c r="U1331" s="61"/>
      <c r="V1331" s="32"/>
      <c r="W1331" s="32"/>
      <c r="X1331" s="32"/>
      <c r="Y1331" s="32"/>
      <c r="Z1331" s="32"/>
      <c r="AA1331" s="32"/>
      <c r="AB1331" s="32"/>
      <c r="AC1331" s="32"/>
      <c r="AD1331" s="32"/>
      <c r="AE1331" s="32"/>
      <c r="AF1331" s="23"/>
      <c r="AG1331" s="23"/>
      <c r="AH1331" s="27"/>
    </row>
    <row r="1332" spans="1:34" x14ac:dyDescent="0.25">
      <c r="A1332" s="69"/>
      <c r="B1332" s="67"/>
      <c r="C1332" s="67"/>
      <c r="D1332" s="68"/>
      <c r="E1332" s="68"/>
      <c r="F1332" s="68"/>
      <c r="G1332" s="67"/>
      <c r="H1332" s="67"/>
      <c r="I1332" s="67"/>
      <c r="J1332" s="68"/>
      <c r="K1332" s="68"/>
      <c r="S1332" s="32"/>
      <c r="T1332" s="32"/>
      <c r="U1332" s="61"/>
      <c r="V1332" s="32"/>
      <c r="W1332" s="32"/>
      <c r="X1332" s="32"/>
      <c r="Y1332" s="32"/>
      <c r="Z1332" s="32"/>
      <c r="AA1332" s="32"/>
      <c r="AB1332" s="32"/>
      <c r="AC1332" s="32"/>
      <c r="AD1332" s="32"/>
      <c r="AE1332" s="32"/>
      <c r="AF1332" s="23"/>
      <c r="AG1332" s="23"/>
      <c r="AH1332" s="27"/>
    </row>
    <row r="1333" spans="1:34" x14ac:dyDescent="0.25">
      <c r="A1333" s="69"/>
      <c r="B1333" s="67"/>
      <c r="C1333" s="67"/>
      <c r="D1333" s="68"/>
      <c r="E1333" s="68"/>
      <c r="F1333" s="68"/>
      <c r="G1333" s="67"/>
      <c r="H1333" s="67"/>
      <c r="I1333" s="67"/>
      <c r="J1333" s="68"/>
      <c r="K1333" s="68"/>
      <c r="S1333" s="32"/>
      <c r="T1333" s="32"/>
      <c r="U1333" s="61"/>
      <c r="V1333" s="32"/>
      <c r="W1333" s="32"/>
      <c r="X1333" s="32"/>
      <c r="Y1333" s="32"/>
      <c r="Z1333" s="32"/>
      <c r="AA1333" s="32"/>
      <c r="AB1333" s="32"/>
      <c r="AC1333" s="32"/>
      <c r="AD1333" s="32"/>
      <c r="AE1333" s="32"/>
      <c r="AF1333" s="23"/>
      <c r="AG1333" s="23"/>
      <c r="AH1333" s="27"/>
    </row>
    <row r="1334" spans="1:34" x14ac:dyDescent="0.25">
      <c r="A1334" s="69"/>
      <c r="B1334" s="67"/>
      <c r="C1334" s="67"/>
      <c r="D1334" s="68"/>
      <c r="E1334" s="68"/>
      <c r="F1334" s="68"/>
      <c r="G1334" s="67"/>
      <c r="H1334" s="67"/>
      <c r="I1334" s="67"/>
      <c r="J1334" s="68"/>
      <c r="K1334" s="68"/>
      <c r="S1334" s="32"/>
      <c r="T1334" s="32"/>
      <c r="U1334" s="61"/>
      <c r="V1334" s="32"/>
      <c r="W1334" s="32"/>
      <c r="X1334" s="32"/>
      <c r="Y1334" s="32"/>
      <c r="Z1334" s="32"/>
      <c r="AA1334" s="32"/>
      <c r="AB1334" s="32"/>
      <c r="AC1334" s="32"/>
      <c r="AD1334" s="32"/>
      <c r="AE1334" s="32"/>
      <c r="AF1334" s="23"/>
      <c r="AG1334" s="23"/>
      <c r="AH1334" s="27"/>
    </row>
    <row r="1335" spans="1:34" x14ac:dyDescent="0.25">
      <c r="A1335" s="69"/>
      <c r="B1335" s="67"/>
      <c r="C1335" s="67"/>
      <c r="D1335" s="68"/>
      <c r="E1335" s="68"/>
      <c r="F1335" s="68"/>
      <c r="G1335" s="67"/>
      <c r="H1335" s="67"/>
      <c r="I1335" s="67"/>
      <c r="J1335" s="68"/>
      <c r="K1335" s="68"/>
      <c r="S1335" s="32"/>
      <c r="T1335" s="32"/>
      <c r="U1335" s="61"/>
      <c r="V1335" s="32"/>
      <c r="W1335" s="32"/>
      <c r="X1335" s="32"/>
      <c r="Y1335" s="32"/>
      <c r="Z1335" s="32"/>
      <c r="AA1335" s="32"/>
      <c r="AB1335" s="32"/>
      <c r="AC1335" s="32"/>
      <c r="AD1335" s="32"/>
      <c r="AE1335" s="32"/>
      <c r="AF1335" s="23"/>
      <c r="AG1335" s="23"/>
      <c r="AH1335" s="27"/>
    </row>
    <row r="1336" spans="1:34" x14ac:dyDescent="0.25">
      <c r="A1336" s="69"/>
      <c r="B1336" s="67"/>
      <c r="C1336" s="67"/>
      <c r="D1336" s="68"/>
      <c r="E1336" s="68"/>
      <c r="F1336" s="68"/>
      <c r="G1336" s="67"/>
      <c r="H1336" s="67"/>
      <c r="I1336" s="67"/>
      <c r="J1336" s="68"/>
      <c r="K1336" s="68"/>
      <c r="S1336" s="32"/>
      <c r="T1336" s="32"/>
      <c r="U1336" s="61"/>
      <c r="V1336" s="32"/>
      <c r="W1336" s="32"/>
      <c r="X1336" s="32"/>
      <c r="Y1336" s="32"/>
      <c r="Z1336" s="32"/>
      <c r="AA1336" s="32"/>
      <c r="AB1336" s="32"/>
      <c r="AC1336" s="32"/>
      <c r="AD1336" s="32"/>
      <c r="AE1336" s="32"/>
      <c r="AF1336" s="23"/>
      <c r="AG1336" s="23"/>
      <c r="AH1336" s="27"/>
    </row>
    <row r="1337" spans="1:34" x14ac:dyDescent="0.25">
      <c r="A1337" s="69"/>
      <c r="B1337" s="67"/>
      <c r="C1337" s="67"/>
      <c r="D1337" s="68"/>
      <c r="E1337" s="68"/>
      <c r="F1337" s="68"/>
      <c r="G1337" s="67"/>
      <c r="H1337" s="67"/>
      <c r="I1337" s="67"/>
      <c r="J1337" s="68"/>
      <c r="K1337" s="68"/>
      <c r="S1337" s="32"/>
      <c r="T1337" s="32"/>
      <c r="U1337" s="61"/>
      <c r="V1337" s="32"/>
      <c r="W1337" s="32"/>
      <c r="X1337" s="32"/>
      <c r="Y1337" s="32"/>
      <c r="Z1337" s="32"/>
      <c r="AA1337" s="32"/>
      <c r="AB1337" s="32"/>
      <c r="AC1337" s="32"/>
      <c r="AD1337" s="32"/>
      <c r="AE1337" s="32"/>
      <c r="AF1337" s="23"/>
      <c r="AG1337" s="23"/>
      <c r="AH1337" s="27"/>
    </row>
    <row r="1338" spans="1:34" x14ac:dyDescent="0.25">
      <c r="A1338" s="69"/>
      <c r="B1338" s="67"/>
      <c r="C1338" s="67"/>
      <c r="D1338" s="68"/>
      <c r="E1338" s="68"/>
      <c r="F1338" s="68"/>
      <c r="G1338" s="67"/>
      <c r="H1338" s="67"/>
      <c r="I1338" s="67"/>
      <c r="J1338" s="68"/>
      <c r="K1338" s="68"/>
      <c r="S1338" s="32"/>
      <c r="T1338" s="32"/>
      <c r="U1338" s="61"/>
      <c r="V1338" s="32"/>
      <c r="W1338" s="32"/>
      <c r="X1338" s="32"/>
      <c r="Y1338" s="32"/>
      <c r="Z1338" s="32"/>
      <c r="AA1338" s="32"/>
      <c r="AB1338" s="32"/>
      <c r="AC1338" s="32"/>
      <c r="AD1338" s="32"/>
      <c r="AE1338" s="32"/>
      <c r="AF1338" s="23"/>
      <c r="AG1338" s="23"/>
      <c r="AH1338" s="27"/>
    </row>
    <row r="1339" spans="1:34" x14ac:dyDescent="0.25">
      <c r="A1339" s="69"/>
      <c r="B1339" s="67"/>
      <c r="C1339" s="67"/>
      <c r="D1339" s="68"/>
      <c r="E1339" s="68"/>
      <c r="F1339" s="68"/>
      <c r="G1339" s="67"/>
      <c r="H1339" s="67"/>
      <c r="I1339" s="67"/>
      <c r="J1339" s="68"/>
      <c r="K1339" s="68"/>
      <c r="S1339" s="32"/>
      <c r="T1339" s="32"/>
      <c r="U1339" s="61"/>
      <c r="V1339" s="32"/>
      <c r="W1339" s="32"/>
      <c r="X1339" s="32"/>
      <c r="Y1339" s="32"/>
      <c r="Z1339" s="32"/>
      <c r="AA1339" s="32"/>
      <c r="AB1339" s="32"/>
      <c r="AC1339" s="32"/>
      <c r="AD1339" s="32"/>
      <c r="AE1339" s="32"/>
      <c r="AF1339" s="23"/>
      <c r="AG1339" s="23"/>
      <c r="AH1339" s="27"/>
    </row>
    <row r="1340" spans="1:34" x14ac:dyDescent="0.25">
      <c r="A1340" s="69"/>
      <c r="B1340" s="67"/>
      <c r="C1340" s="67"/>
      <c r="D1340" s="68"/>
      <c r="E1340" s="68"/>
      <c r="F1340" s="68"/>
      <c r="G1340" s="67"/>
      <c r="H1340" s="67"/>
      <c r="I1340" s="67"/>
      <c r="J1340" s="68"/>
      <c r="K1340" s="68"/>
      <c r="S1340" s="32"/>
      <c r="T1340" s="32"/>
      <c r="U1340" s="61"/>
      <c r="V1340" s="32"/>
      <c r="W1340" s="32"/>
      <c r="X1340" s="32"/>
      <c r="Y1340" s="32"/>
      <c r="Z1340" s="32"/>
      <c r="AA1340" s="32"/>
      <c r="AB1340" s="32"/>
      <c r="AC1340" s="32"/>
      <c r="AD1340" s="32"/>
      <c r="AE1340" s="32"/>
      <c r="AF1340" s="23"/>
      <c r="AG1340" s="23"/>
      <c r="AH1340" s="27"/>
    </row>
    <row r="1341" spans="1:34" x14ac:dyDescent="0.25">
      <c r="A1341" s="69"/>
      <c r="B1341" s="67"/>
      <c r="C1341" s="67"/>
      <c r="D1341" s="68"/>
      <c r="E1341" s="68"/>
      <c r="F1341" s="68"/>
      <c r="G1341" s="67"/>
      <c r="H1341" s="67"/>
      <c r="I1341" s="67"/>
      <c r="J1341" s="68"/>
      <c r="K1341" s="68"/>
      <c r="S1341" s="32"/>
      <c r="T1341" s="32"/>
      <c r="U1341" s="61"/>
      <c r="V1341" s="32"/>
      <c r="W1341" s="32"/>
      <c r="X1341" s="32"/>
      <c r="Y1341" s="32"/>
      <c r="Z1341" s="32"/>
      <c r="AA1341" s="32"/>
      <c r="AB1341" s="32"/>
      <c r="AC1341" s="32"/>
      <c r="AD1341" s="32"/>
      <c r="AE1341" s="32"/>
      <c r="AF1341" s="23"/>
      <c r="AG1341" s="23"/>
      <c r="AH1341" s="27"/>
    </row>
    <row r="1342" spans="1:34" x14ac:dyDescent="0.25">
      <c r="A1342" s="69"/>
      <c r="B1342" s="67"/>
      <c r="C1342" s="67"/>
      <c r="D1342" s="68"/>
      <c r="E1342" s="68"/>
      <c r="F1342" s="68"/>
      <c r="G1342" s="67"/>
      <c r="H1342" s="67"/>
      <c r="I1342" s="67"/>
      <c r="J1342" s="68"/>
      <c r="K1342" s="68"/>
      <c r="S1342" s="32"/>
      <c r="T1342" s="32"/>
      <c r="U1342" s="61"/>
      <c r="V1342" s="32"/>
      <c r="W1342" s="32"/>
      <c r="X1342" s="32"/>
      <c r="Y1342" s="32"/>
      <c r="Z1342" s="32"/>
      <c r="AA1342" s="32"/>
      <c r="AB1342" s="32"/>
      <c r="AC1342" s="32"/>
      <c r="AD1342" s="32"/>
      <c r="AE1342" s="32"/>
      <c r="AF1342" s="23"/>
      <c r="AG1342" s="23"/>
      <c r="AH1342" s="27"/>
    </row>
    <row r="1343" spans="1:34" x14ac:dyDescent="0.25">
      <c r="A1343" s="69"/>
      <c r="B1343" s="67"/>
      <c r="C1343" s="67"/>
      <c r="D1343" s="68"/>
      <c r="E1343" s="68"/>
      <c r="F1343" s="68"/>
      <c r="G1343" s="67"/>
      <c r="H1343" s="67"/>
      <c r="I1343" s="67"/>
      <c r="J1343" s="68"/>
      <c r="K1343" s="68"/>
      <c r="S1343" s="32"/>
      <c r="T1343" s="32"/>
      <c r="U1343" s="61"/>
      <c r="V1343" s="32"/>
      <c r="W1343" s="32"/>
      <c r="X1343" s="32"/>
      <c r="Y1343" s="32"/>
      <c r="Z1343" s="32"/>
      <c r="AA1343" s="32"/>
      <c r="AB1343" s="32"/>
      <c r="AC1343" s="32"/>
      <c r="AD1343" s="32"/>
      <c r="AE1343" s="32"/>
      <c r="AF1343" s="23"/>
      <c r="AG1343" s="23"/>
      <c r="AH1343" s="27"/>
    </row>
    <row r="1344" spans="1:34" x14ac:dyDescent="0.25">
      <c r="A1344" s="69"/>
      <c r="B1344" s="67"/>
      <c r="C1344" s="67"/>
      <c r="D1344" s="70"/>
      <c r="E1344" s="70"/>
      <c r="F1344" s="70"/>
      <c r="G1344" s="67"/>
      <c r="H1344" s="67"/>
      <c r="I1344" s="67"/>
      <c r="J1344" s="68"/>
      <c r="K1344" s="68"/>
      <c r="S1344" s="32"/>
      <c r="T1344" s="32"/>
      <c r="U1344" s="61"/>
      <c r="V1344" s="32"/>
      <c r="W1344" s="32"/>
      <c r="X1344" s="32"/>
      <c r="Y1344" s="32"/>
      <c r="Z1344" s="32"/>
      <c r="AA1344" s="32"/>
      <c r="AB1344" s="32"/>
      <c r="AC1344" s="32"/>
      <c r="AD1344" s="32"/>
      <c r="AE1344" s="32"/>
      <c r="AF1344" s="23"/>
      <c r="AG1344" s="23"/>
      <c r="AH1344" s="27"/>
    </row>
    <row r="1345" spans="1:34" x14ac:dyDescent="0.25">
      <c r="A1345" s="69"/>
      <c r="B1345" s="67"/>
      <c r="C1345" s="67"/>
      <c r="D1345" s="70"/>
      <c r="E1345" s="70"/>
      <c r="F1345" s="70"/>
      <c r="G1345" s="67"/>
      <c r="H1345" s="67"/>
      <c r="I1345" s="67"/>
      <c r="J1345" s="68"/>
      <c r="K1345" s="68"/>
      <c r="S1345" s="32"/>
      <c r="T1345" s="32"/>
      <c r="U1345" s="61"/>
      <c r="V1345" s="32"/>
      <c r="W1345" s="32"/>
      <c r="X1345" s="32"/>
      <c r="Y1345" s="32"/>
      <c r="Z1345" s="32"/>
      <c r="AA1345" s="32"/>
      <c r="AB1345" s="32"/>
      <c r="AC1345" s="32"/>
      <c r="AD1345" s="32"/>
      <c r="AE1345" s="32"/>
      <c r="AF1345" s="23"/>
      <c r="AG1345" s="23"/>
      <c r="AH1345" s="27"/>
    </row>
    <row r="1346" spans="1:34" x14ac:dyDescent="0.25">
      <c r="A1346" s="69"/>
      <c r="B1346" s="67"/>
      <c r="C1346" s="67"/>
      <c r="D1346" s="70"/>
      <c r="E1346" s="70"/>
      <c r="F1346" s="70"/>
      <c r="G1346" s="67"/>
      <c r="H1346" s="67"/>
      <c r="I1346" s="67"/>
      <c r="J1346" s="68"/>
      <c r="K1346" s="68"/>
      <c r="S1346" s="32"/>
      <c r="T1346" s="32"/>
      <c r="U1346" s="61"/>
      <c r="V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23"/>
      <c r="AG1346" s="23"/>
      <c r="AH1346" s="27"/>
    </row>
    <row r="1347" spans="1:34" x14ac:dyDescent="0.25">
      <c r="A1347" s="69"/>
      <c r="B1347" s="67"/>
      <c r="C1347" s="67"/>
      <c r="D1347" s="68"/>
      <c r="E1347" s="68"/>
      <c r="F1347" s="68"/>
      <c r="G1347" s="67"/>
      <c r="H1347" s="67"/>
      <c r="I1347" s="67"/>
      <c r="J1347" s="68"/>
      <c r="K1347" s="68"/>
      <c r="S1347" s="32"/>
      <c r="T1347" s="32"/>
      <c r="U1347" s="61"/>
      <c r="V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23"/>
      <c r="AG1347" s="23"/>
      <c r="AH1347" s="27"/>
    </row>
    <row r="1348" spans="1:34" x14ac:dyDescent="0.25">
      <c r="A1348" s="69"/>
      <c r="B1348" s="67"/>
      <c r="C1348" s="67"/>
      <c r="D1348" s="68"/>
      <c r="E1348" s="68"/>
      <c r="F1348" s="68"/>
      <c r="G1348" s="67"/>
      <c r="H1348" s="67"/>
      <c r="I1348" s="67"/>
      <c r="J1348" s="68"/>
      <c r="K1348" s="68"/>
      <c r="S1348" s="32"/>
      <c r="T1348" s="32"/>
      <c r="U1348" s="61"/>
      <c r="V1348" s="32"/>
      <c r="W1348" s="32"/>
      <c r="X1348" s="32"/>
      <c r="Y1348" s="32"/>
      <c r="Z1348" s="32"/>
      <c r="AA1348" s="32"/>
      <c r="AB1348" s="32"/>
      <c r="AC1348" s="32"/>
      <c r="AD1348" s="32"/>
      <c r="AE1348" s="32"/>
      <c r="AF1348" s="23"/>
      <c r="AG1348" s="23"/>
      <c r="AH1348" s="27"/>
    </row>
    <row r="1349" spans="1:34" x14ac:dyDescent="0.25">
      <c r="A1349" s="69"/>
      <c r="B1349" s="67"/>
      <c r="C1349" s="67"/>
      <c r="D1349" s="68"/>
      <c r="E1349" s="68"/>
      <c r="F1349" s="68"/>
      <c r="G1349" s="67"/>
      <c r="H1349" s="67"/>
      <c r="I1349" s="67"/>
      <c r="J1349" s="68"/>
      <c r="K1349" s="68"/>
      <c r="S1349" s="32"/>
      <c r="T1349" s="32"/>
      <c r="U1349" s="61"/>
      <c r="V1349" s="32"/>
      <c r="W1349" s="32"/>
      <c r="X1349" s="32"/>
      <c r="Y1349" s="32"/>
      <c r="Z1349" s="32"/>
      <c r="AA1349" s="32"/>
      <c r="AB1349" s="32"/>
      <c r="AC1349" s="32"/>
      <c r="AD1349" s="32"/>
      <c r="AE1349" s="32"/>
      <c r="AF1349" s="23"/>
      <c r="AG1349" s="23"/>
      <c r="AH1349" s="27"/>
    </row>
    <row r="1350" spans="1:34" x14ac:dyDescent="0.25">
      <c r="A1350" s="69"/>
      <c r="B1350" s="67"/>
      <c r="C1350" s="67"/>
      <c r="D1350" s="68"/>
      <c r="E1350" s="68"/>
      <c r="F1350" s="68"/>
      <c r="G1350" s="67"/>
      <c r="H1350" s="67"/>
      <c r="I1350" s="67"/>
      <c r="J1350" s="68"/>
      <c r="K1350" s="68"/>
      <c r="S1350" s="32"/>
      <c r="T1350" s="32"/>
      <c r="U1350" s="61"/>
      <c r="V1350" s="32"/>
      <c r="W1350" s="32"/>
      <c r="X1350" s="32"/>
      <c r="Y1350" s="32"/>
      <c r="Z1350" s="32"/>
      <c r="AA1350" s="32"/>
      <c r="AB1350" s="32"/>
      <c r="AC1350" s="32"/>
      <c r="AD1350" s="32"/>
      <c r="AE1350" s="32"/>
      <c r="AF1350" s="23"/>
      <c r="AG1350" s="23"/>
      <c r="AH1350" s="27"/>
    </row>
    <row r="1351" spans="1:34" x14ac:dyDescent="0.25">
      <c r="A1351" s="69"/>
      <c r="B1351" s="67"/>
      <c r="C1351" s="67"/>
      <c r="D1351" s="68"/>
      <c r="E1351" s="68"/>
      <c r="F1351" s="68"/>
      <c r="G1351" s="67"/>
      <c r="H1351" s="67"/>
      <c r="I1351" s="67"/>
      <c r="J1351" s="68"/>
      <c r="K1351" s="68"/>
      <c r="S1351" s="32"/>
      <c r="T1351" s="32"/>
      <c r="U1351" s="61"/>
      <c r="V1351" s="32"/>
      <c r="W1351" s="32"/>
      <c r="X1351" s="32"/>
      <c r="Y1351" s="32"/>
      <c r="Z1351" s="32"/>
      <c r="AA1351" s="32"/>
      <c r="AB1351" s="32"/>
      <c r="AC1351" s="32"/>
      <c r="AD1351" s="32"/>
      <c r="AE1351" s="32"/>
      <c r="AF1351" s="23"/>
      <c r="AG1351" s="23"/>
      <c r="AH1351" s="27"/>
    </row>
    <row r="1352" spans="1:34" x14ac:dyDescent="0.25">
      <c r="A1352" s="69"/>
      <c r="B1352" s="67"/>
      <c r="C1352" s="67"/>
      <c r="D1352" s="68"/>
      <c r="E1352" s="68"/>
      <c r="F1352" s="68"/>
      <c r="G1352" s="67"/>
      <c r="H1352" s="67"/>
      <c r="I1352" s="67"/>
      <c r="J1352" s="68"/>
      <c r="K1352" s="68"/>
      <c r="S1352" s="32"/>
      <c r="T1352" s="32"/>
      <c r="U1352" s="61"/>
      <c r="V1352" s="32"/>
      <c r="W1352" s="32"/>
      <c r="X1352" s="32"/>
      <c r="Y1352" s="32"/>
      <c r="Z1352" s="32"/>
      <c r="AA1352" s="32"/>
      <c r="AB1352" s="32"/>
      <c r="AC1352" s="32"/>
      <c r="AD1352" s="32"/>
      <c r="AE1352" s="32"/>
      <c r="AF1352" s="23"/>
      <c r="AG1352" s="23"/>
      <c r="AH1352" s="27"/>
    </row>
    <row r="1353" spans="1:34" x14ac:dyDescent="0.25">
      <c r="A1353" s="69"/>
      <c r="B1353" s="67"/>
      <c r="C1353" s="67"/>
      <c r="D1353" s="68"/>
      <c r="E1353" s="68"/>
      <c r="F1353" s="68"/>
      <c r="G1353" s="67"/>
      <c r="H1353" s="67"/>
      <c r="I1353" s="67"/>
      <c r="J1353" s="68"/>
      <c r="K1353" s="68"/>
      <c r="S1353" s="32"/>
      <c r="T1353" s="32"/>
      <c r="U1353" s="61"/>
      <c r="V1353" s="32"/>
      <c r="W1353" s="32"/>
      <c r="X1353" s="32"/>
      <c r="Y1353" s="32"/>
      <c r="Z1353" s="32"/>
      <c r="AA1353" s="32"/>
      <c r="AB1353" s="32"/>
      <c r="AC1353" s="32"/>
      <c r="AD1353" s="32"/>
      <c r="AE1353" s="32"/>
      <c r="AF1353" s="23"/>
      <c r="AG1353" s="23"/>
      <c r="AH1353" s="27"/>
    </row>
    <row r="1354" spans="1:34" x14ac:dyDescent="0.25">
      <c r="A1354" s="69"/>
      <c r="B1354" s="67"/>
      <c r="C1354" s="67"/>
      <c r="D1354" s="68"/>
      <c r="E1354" s="68"/>
      <c r="F1354" s="68"/>
      <c r="G1354" s="67"/>
      <c r="H1354" s="67"/>
      <c r="I1354" s="67"/>
      <c r="J1354" s="68"/>
      <c r="K1354" s="68"/>
      <c r="S1354" s="32"/>
      <c r="T1354" s="32"/>
      <c r="U1354" s="61"/>
      <c r="V1354" s="32"/>
      <c r="W1354" s="32"/>
      <c r="X1354" s="32"/>
      <c r="Y1354" s="32"/>
      <c r="Z1354" s="32"/>
      <c r="AA1354" s="32"/>
      <c r="AB1354" s="32"/>
      <c r="AC1354" s="32"/>
      <c r="AD1354" s="32"/>
      <c r="AE1354" s="32"/>
      <c r="AF1354" s="23"/>
      <c r="AG1354" s="23"/>
      <c r="AH1354" s="27"/>
    </row>
    <row r="1355" spans="1:34" x14ac:dyDescent="0.25">
      <c r="A1355" s="69"/>
      <c r="B1355" s="67"/>
      <c r="C1355" s="67"/>
      <c r="D1355" s="68"/>
      <c r="E1355" s="68"/>
      <c r="F1355" s="68"/>
      <c r="G1355" s="67"/>
      <c r="H1355" s="67"/>
      <c r="I1355" s="67"/>
      <c r="J1355" s="68"/>
      <c r="K1355" s="68"/>
      <c r="S1355" s="32"/>
      <c r="T1355" s="32"/>
      <c r="U1355" s="61"/>
      <c r="V1355" s="32"/>
      <c r="W1355" s="32"/>
      <c r="X1355" s="32"/>
      <c r="Y1355" s="32"/>
      <c r="Z1355" s="32"/>
      <c r="AA1355" s="32"/>
      <c r="AB1355" s="32"/>
      <c r="AC1355" s="32"/>
      <c r="AD1355" s="32"/>
      <c r="AE1355" s="32"/>
      <c r="AF1355" s="23"/>
      <c r="AG1355" s="23"/>
      <c r="AH1355" s="27"/>
    </row>
    <row r="1356" spans="1:34" x14ac:dyDescent="0.25">
      <c r="A1356" s="69"/>
      <c r="B1356" s="67"/>
      <c r="C1356" s="67"/>
      <c r="D1356" s="68"/>
      <c r="E1356" s="68"/>
      <c r="F1356" s="68"/>
      <c r="G1356" s="67"/>
      <c r="H1356" s="67"/>
      <c r="I1356" s="67"/>
      <c r="J1356" s="68"/>
      <c r="K1356" s="68"/>
      <c r="S1356" s="32"/>
      <c r="T1356" s="32"/>
      <c r="U1356" s="61"/>
      <c r="V1356" s="32"/>
      <c r="W1356" s="32"/>
      <c r="X1356" s="32"/>
      <c r="Y1356" s="32"/>
      <c r="Z1356" s="32"/>
      <c r="AA1356" s="32"/>
      <c r="AB1356" s="32"/>
      <c r="AC1356" s="32"/>
      <c r="AD1356" s="32"/>
      <c r="AE1356" s="32"/>
      <c r="AF1356" s="23"/>
      <c r="AG1356" s="23"/>
      <c r="AH1356" s="27"/>
    </row>
    <row r="1357" spans="1:34" x14ac:dyDescent="0.25">
      <c r="A1357" s="69"/>
      <c r="B1357" s="67"/>
      <c r="C1357" s="67"/>
      <c r="D1357" s="68"/>
      <c r="E1357" s="68"/>
      <c r="F1357" s="68"/>
      <c r="G1357" s="67"/>
      <c r="H1357" s="67"/>
      <c r="I1357" s="67"/>
      <c r="J1357" s="68"/>
      <c r="K1357" s="68"/>
      <c r="S1357" s="32"/>
      <c r="T1357" s="32"/>
      <c r="U1357" s="61"/>
      <c r="V1357" s="32"/>
      <c r="W1357" s="32"/>
      <c r="X1357" s="32"/>
      <c r="Y1357" s="32"/>
      <c r="Z1357" s="32"/>
      <c r="AA1357" s="32"/>
      <c r="AB1357" s="32"/>
      <c r="AC1357" s="32"/>
      <c r="AD1357" s="32"/>
      <c r="AE1357" s="32"/>
      <c r="AF1357" s="23"/>
      <c r="AG1357" s="23"/>
      <c r="AH1357" s="27"/>
    </row>
    <row r="1358" spans="1:34" x14ac:dyDescent="0.25">
      <c r="A1358" s="69"/>
      <c r="B1358" s="67"/>
      <c r="C1358" s="67"/>
      <c r="D1358" s="68"/>
      <c r="E1358" s="68"/>
      <c r="F1358" s="68"/>
      <c r="G1358" s="67"/>
      <c r="H1358" s="67"/>
      <c r="I1358" s="67"/>
      <c r="J1358" s="68"/>
      <c r="K1358" s="68"/>
      <c r="S1358" s="32"/>
      <c r="T1358" s="32"/>
      <c r="U1358" s="61"/>
      <c r="V1358" s="32"/>
      <c r="W1358" s="32"/>
      <c r="X1358" s="32"/>
      <c r="Y1358" s="32"/>
      <c r="Z1358" s="32"/>
      <c r="AA1358" s="32"/>
      <c r="AB1358" s="32"/>
      <c r="AC1358" s="32"/>
      <c r="AD1358" s="32"/>
      <c r="AE1358" s="32"/>
      <c r="AF1358" s="23"/>
      <c r="AG1358" s="23"/>
      <c r="AH1358" s="27"/>
    </row>
    <row r="1359" spans="1:34" x14ac:dyDescent="0.25">
      <c r="A1359" s="69"/>
      <c r="B1359" s="67"/>
      <c r="C1359" s="67"/>
      <c r="D1359" s="68"/>
      <c r="E1359" s="68"/>
      <c r="F1359" s="68"/>
      <c r="G1359" s="67"/>
      <c r="H1359" s="67"/>
      <c r="I1359" s="67"/>
      <c r="J1359" s="68"/>
      <c r="K1359" s="68"/>
      <c r="S1359" s="32"/>
      <c r="T1359" s="32"/>
      <c r="U1359" s="61"/>
      <c r="V1359" s="32"/>
      <c r="W1359" s="32"/>
      <c r="X1359" s="32"/>
      <c r="Y1359" s="32"/>
      <c r="Z1359" s="32"/>
      <c r="AA1359" s="32"/>
      <c r="AB1359" s="32"/>
      <c r="AC1359" s="32"/>
      <c r="AD1359" s="32"/>
      <c r="AE1359" s="32"/>
      <c r="AF1359" s="23"/>
      <c r="AG1359" s="23"/>
      <c r="AH1359" s="27"/>
    </row>
    <row r="1360" spans="1:34" x14ac:dyDescent="0.25">
      <c r="A1360" s="69"/>
      <c r="B1360" s="67"/>
      <c r="C1360" s="67"/>
      <c r="D1360" s="68"/>
      <c r="E1360" s="68"/>
      <c r="F1360" s="68"/>
      <c r="G1360" s="67"/>
      <c r="H1360" s="67"/>
      <c r="I1360" s="67"/>
      <c r="J1360" s="68"/>
      <c r="K1360" s="68"/>
      <c r="S1360" s="32"/>
      <c r="T1360" s="32"/>
      <c r="U1360" s="61"/>
      <c r="V1360" s="32"/>
      <c r="W1360" s="32"/>
      <c r="X1360" s="32"/>
      <c r="Y1360" s="32"/>
      <c r="Z1360" s="32"/>
      <c r="AA1360" s="32"/>
      <c r="AB1360" s="32"/>
      <c r="AC1360" s="32"/>
      <c r="AD1360" s="32"/>
      <c r="AE1360" s="32"/>
      <c r="AF1360" s="23"/>
      <c r="AG1360" s="23"/>
      <c r="AH1360" s="27"/>
    </row>
    <row r="1361" spans="1:34" x14ac:dyDescent="0.25">
      <c r="A1361" s="69"/>
      <c r="B1361" s="67"/>
      <c r="C1361" s="67"/>
      <c r="D1361" s="68"/>
      <c r="E1361" s="68"/>
      <c r="F1361" s="68"/>
      <c r="G1361" s="67"/>
      <c r="H1361" s="67"/>
      <c r="I1361" s="67"/>
      <c r="J1361" s="68"/>
      <c r="K1361" s="68"/>
      <c r="S1361" s="32"/>
      <c r="T1361" s="32"/>
      <c r="U1361" s="61"/>
      <c r="V1361" s="32"/>
      <c r="W1361" s="32"/>
      <c r="X1361" s="32"/>
      <c r="Y1361" s="32"/>
      <c r="Z1361" s="32"/>
      <c r="AA1361" s="32"/>
      <c r="AB1361" s="32"/>
      <c r="AC1361" s="32"/>
      <c r="AD1361" s="32"/>
      <c r="AE1361" s="32"/>
      <c r="AF1361" s="23"/>
      <c r="AG1361" s="23"/>
      <c r="AH1361" s="27"/>
    </row>
    <row r="1362" spans="1:34" x14ac:dyDescent="0.25">
      <c r="A1362" s="69"/>
      <c r="B1362" s="67"/>
      <c r="C1362" s="67"/>
      <c r="D1362" s="68"/>
      <c r="E1362" s="68"/>
      <c r="F1362" s="68"/>
      <c r="G1362" s="67"/>
      <c r="H1362" s="67"/>
      <c r="I1362" s="67"/>
      <c r="J1362" s="68"/>
      <c r="K1362" s="68"/>
      <c r="S1362" s="32"/>
      <c r="T1362" s="32"/>
      <c r="U1362" s="61"/>
      <c r="V1362" s="32"/>
      <c r="W1362" s="32"/>
      <c r="X1362" s="32"/>
      <c r="Y1362" s="32"/>
      <c r="Z1362" s="32"/>
      <c r="AA1362" s="32"/>
      <c r="AB1362" s="32"/>
      <c r="AC1362" s="32"/>
      <c r="AD1362" s="32"/>
      <c r="AE1362" s="32"/>
      <c r="AF1362" s="23"/>
      <c r="AG1362" s="23"/>
      <c r="AH1362" s="27"/>
    </row>
    <row r="1363" spans="1:34" x14ac:dyDescent="0.25">
      <c r="A1363" s="69"/>
      <c r="B1363" s="67"/>
      <c r="C1363" s="67"/>
      <c r="D1363" s="68"/>
      <c r="E1363" s="68"/>
      <c r="F1363" s="68"/>
      <c r="G1363" s="67"/>
      <c r="H1363" s="67"/>
      <c r="I1363" s="67"/>
      <c r="J1363" s="68"/>
      <c r="K1363" s="68"/>
      <c r="S1363" s="32"/>
      <c r="T1363" s="32"/>
      <c r="U1363" s="61"/>
      <c r="V1363" s="32"/>
      <c r="W1363" s="32"/>
      <c r="X1363" s="32"/>
      <c r="Y1363" s="32"/>
      <c r="Z1363" s="32"/>
      <c r="AA1363" s="32"/>
      <c r="AB1363" s="32"/>
      <c r="AC1363" s="32"/>
      <c r="AD1363" s="32"/>
      <c r="AE1363" s="32"/>
      <c r="AF1363" s="23"/>
      <c r="AG1363" s="23"/>
      <c r="AH1363" s="27"/>
    </row>
    <row r="1364" spans="1:34" x14ac:dyDescent="0.25">
      <c r="A1364" s="69"/>
      <c r="B1364" s="67"/>
      <c r="C1364" s="67"/>
      <c r="D1364" s="68"/>
      <c r="E1364" s="68"/>
      <c r="F1364" s="68"/>
      <c r="G1364" s="67"/>
      <c r="H1364" s="67"/>
      <c r="I1364" s="67"/>
      <c r="J1364" s="68"/>
      <c r="K1364" s="68"/>
      <c r="S1364" s="32"/>
      <c r="T1364" s="32"/>
      <c r="U1364" s="61"/>
      <c r="V1364" s="32"/>
      <c r="W1364" s="32"/>
      <c r="X1364" s="32"/>
      <c r="Y1364" s="32"/>
      <c r="Z1364" s="32"/>
      <c r="AA1364" s="32"/>
      <c r="AB1364" s="32"/>
      <c r="AC1364" s="32"/>
      <c r="AD1364" s="32"/>
      <c r="AE1364" s="32"/>
      <c r="AF1364" s="23"/>
      <c r="AG1364" s="23"/>
      <c r="AH1364" s="27"/>
    </row>
    <row r="1365" spans="1:34" x14ac:dyDescent="0.25">
      <c r="A1365" s="69"/>
      <c r="B1365" s="67"/>
      <c r="C1365" s="67"/>
      <c r="D1365" s="68"/>
      <c r="E1365" s="68"/>
      <c r="F1365" s="68"/>
      <c r="G1365" s="67"/>
      <c r="H1365" s="67"/>
      <c r="I1365" s="67"/>
      <c r="J1365" s="68"/>
      <c r="K1365" s="68"/>
      <c r="S1365" s="32"/>
      <c r="T1365" s="32"/>
      <c r="U1365" s="61"/>
      <c r="V1365" s="32"/>
      <c r="W1365" s="32"/>
      <c r="X1365" s="32"/>
      <c r="Y1365" s="32"/>
      <c r="Z1365" s="32"/>
      <c r="AA1365" s="32"/>
      <c r="AB1365" s="32"/>
      <c r="AC1365" s="32"/>
      <c r="AD1365" s="32"/>
      <c r="AE1365" s="32"/>
      <c r="AF1365" s="23"/>
      <c r="AG1365" s="23"/>
      <c r="AH1365" s="27"/>
    </row>
    <row r="1366" spans="1:34" x14ac:dyDescent="0.25">
      <c r="A1366" s="69"/>
      <c r="B1366" s="67"/>
      <c r="C1366" s="67"/>
      <c r="D1366" s="68"/>
      <c r="E1366" s="68"/>
      <c r="F1366" s="68"/>
      <c r="G1366" s="67"/>
      <c r="H1366" s="67"/>
      <c r="I1366" s="67"/>
      <c r="J1366" s="68"/>
      <c r="K1366" s="68"/>
      <c r="S1366" s="32"/>
      <c r="T1366" s="32"/>
      <c r="U1366" s="61"/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23"/>
      <c r="AG1366" s="23"/>
      <c r="AH1366" s="27"/>
    </row>
    <row r="1367" spans="1:34" x14ac:dyDescent="0.25">
      <c r="A1367" s="69"/>
      <c r="B1367" s="67"/>
      <c r="C1367" s="67"/>
      <c r="D1367" s="68"/>
      <c r="E1367" s="68"/>
      <c r="F1367" s="68"/>
      <c r="G1367" s="67"/>
      <c r="H1367" s="67"/>
      <c r="I1367" s="67"/>
      <c r="J1367" s="68"/>
      <c r="K1367" s="68"/>
      <c r="S1367" s="32"/>
      <c r="T1367" s="32"/>
      <c r="U1367" s="61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23"/>
      <c r="AG1367" s="23"/>
      <c r="AH1367" s="27"/>
    </row>
    <row r="1368" spans="1:34" x14ac:dyDescent="0.25">
      <c r="A1368" s="69"/>
      <c r="B1368" s="67"/>
      <c r="C1368" s="67"/>
      <c r="D1368" s="70"/>
      <c r="E1368" s="70"/>
      <c r="F1368" s="70"/>
      <c r="G1368" s="67"/>
      <c r="H1368" s="67"/>
      <c r="I1368" s="67"/>
      <c r="J1368" s="68"/>
      <c r="K1368" s="68"/>
      <c r="S1368" s="32"/>
      <c r="T1368" s="32"/>
      <c r="U1368" s="61"/>
      <c r="V1368" s="32"/>
      <c r="W1368" s="32"/>
      <c r="X1368" s="32"/>
      <c r="Y1368" s="32"/>
      <c r="Z1368" s="32"/>
      <c r="AA1368" s="32"/>
      <c r="AB1368" s="32"/>
      <c r="AC1368" s="32"/>
      <c r="AD1368" s="32"/>
      <c r="AE1368" s="32"/>
      <c r="AF1368" s="23"/>
      <c r="AG1368" s="23"/>
      <c r="AH1368" s="27"/>
    </row>
    <row r="1369" spans="1:34" x14ac:dyDescent="0.25">
      <c r="A1369" s="69"/>
      <c r="B1369" s="67"/>
      <c r="C1369" s="67"/>
      <c r="D1369" s="70"/>
      <c r="E1369" s="70"/>
      <c r="F1369" s="70"/>
      <c r="G1369" s="67"/>
      <c r="H1369" s="67"/>
      <c r="I1369" s="67"/>
      <c r="J1369" s="68"/>
      <c r="K1369" s="68"/>
      <c r="S1369" s="32"/>
      <c r="T1369" s="32"/>
      <c r="U1369" s="61"/>
      <c r="V1369" s="32"/>
      <c r="W1369" s="32"/>
      <c r="X1369" s="32"/>
      <c r="Y1369" s="32"/>
      <c r="Z1369" s="32"/>
      <c r="AA1369" s="32"/>
      <c r="AB1369" s="32"/>
      <c r="AC1369" s="32"/>
      <c r="AD1369" s="32"/>
      <c r="AE1369" s="32"/>
      <c r="AF1369" s="23"/>
      <c r="AG1369" s="23"/>
      <c r="AH1369" s="27"/>
    </row>
    <row r="1370" spans="1:34" x14ac:dyDescent="0.25">
      <c r="A1370" s="69"/>
      <c r="B1370" s="67"/>
      <c r="C1370" s="67"/>
      <c r="D1370" s="70"/>
      <c r="E1370" s="70"/>
      <c r="F1370" s="70"/>
      <c r="G1370" s="67"/>
      <c r="H1370" s="67"/>
      <c r="I1370" s="67"/>
      <c r="J1370" s="68"/>
      <c r="K1370" s="68"/>
      <c r="S1370" s="32"/>
      <c r="T1370" s="32"/>
      <c r="U1370" s="61"/>
      <c r="V1370" s="32"/>
      <c r="W1370" s="32"/>
      <c r="X1370" s="32"/>
      <c r="Y1370" s="32"/>
      <c r="Z1370" s="32"/>
      <c r="AA1370" s="32"/>
      <c r="AB1370" s="32"/>
      <c r="AC1370" s="32"/>
      <c r="AD1370" s="32"/>
      <c r="AE1370" s="32"/>
      <c r="AF1370" s="23"/>
      <c r="AG1370" s="23"/>
      <c r="AH1370" s="27"/>
    </row>
    <row r="1371" spans="1:34" x14ac:dyDescent="0.25">
      <c r="A1371" s="69"/>
      <c r="B1371" s="67"/>
      <c r="C1371" s="67"/>
      <c r="D1371" s="68"/>
      <c r="E1371" s="68"/>
      <c r="F1371" s="68"/>
      <c r="G1371" s="67"/>
      <c r="H1371" s="67"/>
      <c r="I1371" s="67"/>
      <c r="J1371" s="68"/>
      <c r="K1371" s="68"/>
      <c r="S1371" s="32"/>
      <c r="T1371" s="32"/>
      <c r="U1371" s="61"/>
      <c r="V1371" s="32"/>
      <c r="W1371" s="32"/>
      <c r="X1371" s="32"/>
      <c r="Y1371" s="32"/>
      <c r="Z1371" s="32"/>
      <c r="AA1371" s="32"/>
      <c r="AB1371" s="32"/>
      <c r="AC1371" s="32"/>
      <c r="AD1371" s="32"/>
      <c r="AE1371" s="32"/>
      <c r="AF1371" s="23"/>
      <c r="AG1371" s="23"/>
      <c r="AH1371" s="27"/>
    </row>
    <row r="1372" spans="1:34" x14ac:dyDescent="0.25">
      <c r="A1372" s="69"/>
      <c r="B1372" s="67"/>
      <c r="C1372" s="67"/>
      <c r="D1372" s="68"/>
      <c r="E1372" s="68"/>
      <c r="F1372" s="68"/>
      <c r="G1372" s="67"/>
      <c r="H1372" s="67"/>
      <c r="I1372" s="67"/>
      <c r="J1372" s="68"/>
      <c r="K1372" s="68"/>
      <c r="S1372" s="32"/>
      <c r="T1372" s="32"/>
      <c r="U1372" s="61"/>
      <c r="V1372" s="32"/>
      <c r="W1372" s="32"/>
      <c r="X1372" s="32"/>
      <c r="Y1372" s="32"/>
      <c r="Z1372" s="32"/>
      <c r="AA1372" s="32"/>
      <c r="AB1372" s="32"/>
      <c r="AC1372" s="32"/>
      <c r="AD1372" s="32"/>
      <c r="AE1372" s="32"/>
      <c r="AF1372" s="23"/>
      <c r="AG1372" s="23"/>
      <c r="AH1372" s="27"/>
    </row>
    <row r="1373" spans="1:34" x14ac:dyDescent="0.25">
      <c r="A1373" s="69"/>
      <c r="B1373" s="67"/>
      <c r="C1373" s="67"/>
      <c r="D1373" s="68"/>
      <c r="E1373" s="68"/>
      <c r="F1373" s="68"/>
      <c r="G1373" s="67"/>
      <c r="H1373" s="67"/>
      <c r="I1373" s="67"/>
      <c r="J1373" s="68"/>
      <c r="K1373" s="68"/>
      <c r="S1373" s="32"/>
      <c r="T1373" s="32"/>
      <c r="U1373" s="61"/>
      <c r="V1373" s="32"/>
      <c r="W1373" s="32"/>
      <c r="X1373" s="32"/>
      <c r="Y1373" s="32"/>
      <c r="Z1373" s="32"/>
      <c r="AA1373" s="32"/>
      <c r="AB1373" s="32"/>
      <c r="AC1373" s="32"/>
      <c r="AD1373" s="32"/>
      <c r="AE1373" s="32"/>
      <c r="AF1373" s="23"/>
      <c r="AG1373" s="23"/>
      <c r="AH1373" s="27"/>
    </row>
    <row r="1374" spans="1:34" x14ac:dyDescent="0.25">
      <c r="A1374" s="69"/>
      <c r="B1374" s="67"/>
      <c r="C1374" s="67"/>
      <c r="D1374" s="68"/>
      <c r="E1374" s="68"/>
      <c r="F1374" s="68"/>
      <c r="G1374" s="67"/>
      <c r="H1374" s="67"/>
      <c r="I1374" s="67"/>
      <c r="J1374" s="68"/>
      <c r="K1374" s="68"/>
      <c r="S1374" s="32"/>
      <c r="T1374" s="32"/>
      <c r="U1374" s="61"/>
      <c r="V1374" s="32"/>
      <c r="W1374" s="32"/>
      <c r="X1374" s="32"/>
      <c r="Y1374" s="32"/>
      <c r="Z1374" s="32"/>
      <c r="AA1374" s="32"/>
      <c r="AB1374" s="32"/>
      <c r="AC1374" s="32"/>
      <c r="AD1374" s="32"/>
      <c r="AE1374" s="32"/>
      <c r="AF1374" s="23"/>
      <c r="AG1374" s="23"/>
      <c r="AH1374" s="27"/>
    </row>
    <row r="1375" spans="1:34" x14ac:dyDescent="0.25">
      <c r="A1375" s="69"/>
      <c r="B1375" s="67"/>
      <c r="C1375" s="67"/>
      <c r="D1375" s="68"/>
      <c r="E1375" s="68"/>
      <c r="F1375" s="68"/>
      <c r="G1375" s="67"/>
      <c r="H1375" s="67"/>
      <c r="I1375" s="67"/>
      <c r="J1375" s="68"/>
      <c r="K1375" s="68"/>
      <c r="S1375" s="32"/>
      <c r="T1375" s="32"/>
      <c r="U1375" s="61"/>
      <c r="V1375" s="32"/>
      <c r="W1375" s="32"/>
      <c r="X1375" s="32"/>
      <c r="Y1375" s="32"/>
      <c r="Z1375" s="32"/>
      <c r="AA1375" s="32"/>
      <c r="AB1375" s="32"/>
      <c r="AC1375" s="32"/>
      <c r="AD1375" s="32"/>
      <c r="AE1375" s="32"/>
      <c r="AF1375" s="23"/>
      <c r="AG1375" s="23"/>
      <c r="AH1375" s="27"/>
    </row>
    <row r="1376" spans="1:34" x14ac:dyDescent="0.25">
      <c r="A1376" s="69"/>
      <c r="B1376" s="67"/>
      <c r="C1376" s="67"/>
      <c r="D1376" s="68"/>
      <c r="E1376" s="68"/>
      <c r="F1376" s="68"/>
      <c r="G1376" s="67"/>
      <c r="H1376" s="67"/>
      <c r="I1376" s="67"/>
      <c r="J1376" s="68"/>
      <c r="K1376" s="68"/>
      <c r="S1376" s="32"/>
      <c r="T1376" s="32"/>
      <c r="U1376" s="61"/>
      <c r="V1376" s="32"/>
      <c r="W1376" s="32"/>
      <c r="X1376" s="32"/>
      <c r="Y1376" s="32"/>
      <c r="Z1376" s="32"/>
      <c r="AA1376" s="32"/>
      <c r="AB1376" s="32"/>
      <c r="AC1376" s="32"/>
      <c r="AD1376" s="32"/>
      <c r="AE1376" s="32"/>
      <c r="AF1376" s="23"/>
      <c r="AG1376" s="23"/>
      <c r="AH1376" s="27"/>
    </row>
    <row r="1377" spans="1:34" x14ac:dyDescent="0.25">
      <c r="A1377" s="69"/>
      <c r="B1377" s="67"/>
      <c r="C1377" s="67"/>
      <c r="D1377" s="68"/>
      <c r="E1377" s="68"/>
      <c r="F1377" s="68"/>
      <c r="G1377" s="67"/>
      <c r="H1377" s="67"/>
      <c r="I1377" s="67"/>
      <c r="J1377" s="68"/>
      <c r="K1377" s="68"/>
      <c r="S1377" s="32"/>
      <c r="T1377" s="32"/>
      <c r="U1377" s="61"/>
      <c r="V1377" s="32"/>
      <c r="W1377" s="32"/>
      <c r="X1377" s="32"/>
      <c r="Y1377" s="32"/>
      <c r="Z1377" s="32"/>
      <c r="AA1377" s="32"/>
      <c r="AB1377" s="32"/>
      <c r="AC1377" s="32"/>
      <c r="AD1377" s="32"/>
      <c r="AE1377" s="32"/>
      <c r="AF1377" s="23"/>
      <c r="AG1377" s="23"/>
      <c r="AH1377" s="27"/>
    </row>
    <row r="1378" spans="1:34" x14ac:dyDescent="0.25">
      <c r="A1378" s="69"/>
      <c r="B1378" s="67"/>
      <c r="C1378" s="67"/>
      <c r="D1378" s="68"/>
      <c r="E1378" s="68"/>
      <c r="F1378" s="68"/>
      <c r="G1378" s="67"/>
      <c r="H1378" s="67"/>
      <c r="I1378" s="67"/>
      <c r="J1378" s="68"/>
      <c r="K1378" s="68"/>
      <c r="S1378" s="32"/>
      <c r="T1378" s="32"/>
      <c r="U1378" s="61"/>
      <c r="V1378" s="32"/>
      <c r="W1378" s="32"/>
      <c r="X1378" s="32"/>
      <c r="Y1378" s="32"/>
      <c r="Z1378" s="32"/>
      <c r="AA1378" s="32"/>
      <c r="AB1378" s="32"/>
      <c r="AC1378" s="32"/>
      <c r="AD1378" s="32"/>
      <c r="AE1378" s="32"/>
      <c r="AF1378" s="23"/>
      <c r="AG1378" s="23"/>
      <c r="AH1378" s="27"/>
    </row>
    <row r="1379" spans="1:34" x14ac:dyDescent="0.25">
      <c r="A1379" s="69"/>
      <c r="B1379" s="67"/>
      <c r="C1379" s="67"/>
      <c r="D1379" s="68"/>
      <c r="E1379" s="68"/>
      <c r="F1379" s="68"/>
      <c r="G1379" s="67"/>
      <c r="H1379" s="67"/>
      <c r="I1379" s="67"/>
      <c r="J1379" s="68"/>
      <c r="K1379" s="68"/>
      <c r="S1379" s="32"/>
      <c r="T1379" s="32"/>
      <c r="U1379" s="61"/>
      <c r="V1379" s="32"/>
      <c r="W1379" s="32"/>
      <c r="X1379" s="32"/>
      <c r="Y1379" s="32"/>
      <c r="Z1379" s="32"/>
      <c r="AA1379" s="32"/>
      <c r="AB1379" s="32"/>
      <c r="AC1379" s="32"/>
      <c r="AD1379" s="32"/>
      <c r="AE1379" s="32"/>
      <c r="AF1379" s="23"/>
      <c r="AG1379" s="23"/>
      <c r="AH1379" s="27"/>
    </row>
    <row r="1380" spans="1:34" x14ac:dyDescent="0.25">
      <c r="A1380" s="69"/>
      <c r="B1380" s="67"/>
      <c r="C1380" s="67"/>
      <c r="D1380" s="68"/>
      <c r="E1380" s="68"/>
      <c r="F1380" s="68"/>
      <c r="G1380" s="67"/>
      <c r="H1380" s="67"/>
      <c r="I1380" s="67"/>
      <c r="J1380" s="68"/>
      <c r="K1380" s="68"/>
      <c r="S1380" s="32"/>
      <c r="T1380" s="32"/>
      <c r="U1380" s="61"/>
      <c r="V1380" s="32"/>
      <c r="W1380" s="32"/>
      <c r="X1380" s="32"/>
      <c r="Y1380" s="32"/>
      <c r="Z1380" s="32"/>
      <c r="AA1380" s="32"/>
      <c r="AB1380" s="32"/>
      <c r="AC1380" s="32"/>
      <c r="AD1380" s="32"/>
      <c r="AE1380" s="32"/>
      <c r="AF1380" s="23"/>
      <c r="AG1380" s="23"/>
      <c r="AH1380" s="27"/>
    </row>
    <row r="1381" spans="1:34" x14ac:dyDescent="0.25">
      <c r="A1381" s="69"/>
      <c r="B1381" s="67"/>
      <c r="C1381" s="67"/>
      <c r="D1381" s="68"/>
      <c r="E1381" s="68"/>
      <c r="F1381" s="68"/>
      <c r="G1381" s="67"/>
      <c r="H1381" s="67"/>
      <c r="I1381" s="67"/>
      <c r="J1381" s="68"/>
      <c r="K1381" s="68"/>
      <c r="S1381" s="32"/>
      <c r="T1381" s="32"/>
      <c r="U1381" s="61"/>
      <c r="V1381" s="32"/>
      <c r="W1381" s="32"/>
      <c r="X1381" s="32"/>
      <c r="Y1381" s="32"/>
      <c r="Z1381" s="32"/>
      <c r="AA1381" s="32"/>
      <c r="AB1381" s="32"/>
      <c r="AC1381" s="32"/>
      <c r="AD1381" s="32"/>
      <c r="AE1381" s="32"/>
      <c r="AF1381" s="23"/>
      <c r="AG1381" s="23"/>
      <c r="AH1381" s="27"/>
    </row>
    <row r="1382" spans="1:34" x14ac:dyDescent="0.25">
      <c r="A1382" s="69"/>
      <c r="B1382" s="67"/>
      <c r="C1382" s="67"/>
      <c r="D1382" s="68"/>
      <c r="E1382" s="68"/>
      <c r="F1382" s="68"/>
      <c r="G1382" s="67"/>
      <c r="H1382" s="67"/>
      <c r="I1382" s="67"/>
      <c r="J1382" s="68"/>
      <c r="K1382" s="68"/>
      <c r="S1382" s="32"/>
      <c r="T1382" s="32"/>
      <c r="U1382" s="61"/>
      <c r="V1382" s="32"/>
      <c r="W1382" s="32"/>
      <c r="X1382" s="32"/>
      <c r="Y1382" s="32"/>
      <c r="Z1382" s="32"/>
      <c r="AA1382" s="32"/>
      <c r="AB1382" s="32"/>
      <c r="AC1382" s="32"/>
      <c r="AD1382" s="32"/>
      <c r="AE1382" s="32"/>
      <c r="AF1382" s="23"/>
      <c r="AG1382" s="23"/>
      <c r="AH1382" s="27"/>
    </row>
    <row r="1383" spans="1:34" x14ac:dyDescent="0.25">
      <c r="A1383" s="69"/>
      <c r="B1383" s="67"/>
      <c r="C1383" s="67"/>
      <c r="D1383" s="68"/>
      <c r="E1383" s="68"/>
      <c r="F1383" s="68"/>
      <c r="G1383" s="67"/>
      <c r="H1383" s="67"/>
      <c r="I1383" s="67"/>
      <c r="J1383" s="68"/>
      <c r="K1383" s="68"/>
      <c r="S1383" s="32"/>
      <c r="T1383" s="32"/>
      <c r="U1383" s="61"/>
      <c r="V1383" s="32"/>
      <c r="W1383" s="32"/>
      <c r="X1383" s="32"/>
      <c r="Y1383" s="32"/>
      <c r="Z1383" s="32"/>
      <c r="AA1383" s="32"/>
      <c r="AB1383" s="32"/>
      <c r="AC1383" s="32"/>
      <c r="AD1383" s="32"/>
      <c r="AE1383" s="32"/>
      <c r="AF1383" s="23"/>
      <c r="AG1383" s="23"/>
      <c r="AH1383" s="27"/>
    </row>
    <row r="1384" spans="1:34" x14ac:dyDescent="0.25">
      <c r="A1384" s="69"/>
      <c r="B1384" s="67"/>
      <c r="C1384" s="67"/>
      <c r="D1384" s="68"/>
      <c r="E1384" s="68"/>
      <c r="F1384" s="68"/>
      <c r="G1384" s="67"/>
      <c r="H1384" s="67"/>
      <c r="I1384" s="67"/>
      <c r="J1384" s="68"/>
      <c r="K1384" s="68"/>
      <c r="S1384" s="32"/>
      <c r="T1384" s="32"/>
      <c r="U1384" s="61"/>
      <c r="V1384" s="32"/>
      <c r="W1384" s="32"/>
      <c r="X1384" s="32"/>
      <c r="Y1384" s="32"/>
      <c r="Z1384" s="32"/>
      <c r="AA1384" s="32"/>
      <c r="AB1384" s="32"/>
      <c r="AC1384" s="32"/>
      <c r="AD1384" s="32"/>
      <c r="AE1384" s="32"/>
      <c r="AF1384" s="23"/>
      <c r="AG1384" s="23"/>
      <c r="AH1384" s="27"/>
    </row>
    <row r="1385" spans="1:34" x14ac:dyDescent="0.25">
      <c r="A1385" s="69"/>
      <c r="B1385" s="67"/>
      <c r="C1385" s="67"/>
      <c r="D1385" s="68"/>
      <c r="E1385" s="68"/>
      <c r="F1385" s="68"/>
      <c r="G1385" s="67"/>
      <c r="H1385" s="67"/>
      <c r="I1385" s="67"/>
      <c r="J1385" s="68"/>
      <c r="K1385" s="68"/>
      <c r="S1385" s="32"/>
      <c r="T1385" s="32"/>
      <c r="U1385" s="61"/>
      <c r="V1385" s="32"/>
      <c r="W1385" s="32"/>
      <c r="X1385" s="32"/>
      <c r="Y1385" s="32"/>
      <c r="Z1385" s="32"/>
      <c r="AA1385" s="32"/>
      <c r="AB1385" s="32"/>
      <c r="AC1385" s="32"/>
      <c r="AD1385" s="32"/>
      <c r="AE1385" s="32"/>
      <c r="AF1385" s="23"/>
      <c r="AG1385" s="23"/>
      <c r="AH1385" s="27"/>
    </row>
    <row r="1386" spans="1:34" x14ac:dyDescent="0.25">
      <c r="A1386" s="69"/>
      <c r="B1386" s="67"/>
      <c r="C1386" s="67"/>
      <c r="D1386" s="68"/>
      <c r="E1386" s="68"/>
      <c r="F1386" s="68"/>
      <c r="G1386" s="67"/>
      <c r="H1386" s="67"/>
      <c r="I1386" s="67"/>
      <c r="J1386" s="68"/>
      <c r="K1386" s="68"/>
      <c r="S1386" s="32"/>
      <c r="T1386" s="32"/>
      <c r="U1386" s="61"/>
      <c r="V1386" s="32"/>
      <c r="W1386" s="32"/>
      <c r="X1386" s="32"/>
      <c r="Y1386" s="32"/>
      <c r="Z1386" s="32"/>
      <c r="AA1386" s="32"/>
      <c r="AB1386" s="32"/>
      <c r="AC1386" s="32"/>
      <c r="AD1386" s="32"/>
      <c r="AE1386" s="32"/>
      <c r="AF1386" s="23"/>
      <c r="AG1386" s="23"/>
      <c r="AH1386" s="27"/>
    </row>
    <row r="1387" spans="1:34" x14ac:dyDescent="0.25">
      <c r="A1387" s="69"/>
      <c r="B1387" s="67"/>
      <c r="C1387" s="67"/>
      <c r="D1387" s="68"/>
      <c r="E1387" s="68"/>
      <c r="F1387" s="68"/>
      <c r="G1387" s="67"/>
      <c r="H1387" s="67"/>
      <c r="I1387" s="67"/>
      <c r="J1387" s="68"/>
      <c r="K1387" s="68"/>
      <c r="S1387" s="32"/>
      <c r="T1387" s="32"/>
      <c r="U1387" s="61"/>
      <c r="V1387" s="32"/>
      <c r="W1387" s="32"/>
      <c r="X1387" s="32"/>
      <c r="Y1387" s="32"/>
      <c r="Z1387" s="32"/>
      <c r="AA1387" s="32"/>
      <c r="AB1387" s="32"/>
      <c r="AC1387" s="32"/>
      <c r="AD1387" s="32"/>
      <c r="AE1387" s="32"/>
      <c r="AF1387" s="23"/>
      <c r="AG1387" s="23"/>
      <c r="AH1387" s="27"/>
    </row>
    <row r="1388" spans="1:34" x14ac:dyDescent="0.25">
      <c r="A1388" s="69"/>
      <c r="B1388" s="67"/>
      <c r="C1388" s="67"/>
      <c r="D1388" s="68"/>
      <c r="E1388" s="68"/>
      <c r="F1388" s="68"/>
      <c r="G1388" s="67"/>
      <c r="H1388" s="67"/>
      <c r="I1388" s="67"/>
      <c r="J1388" s="68"/>
      <c r="K1388" s="68"/>
      <c r="S1388" s="32"/>
      <c r="T1388" s="32"/>
      <c r="U1388" s="61"/>
      <c r="V1388" s="32"/>
      <c r="W1388" s="32"/>
      <c r="X1388" s="32"/>
      <c r="Y1388" s="32"/>
      <c r="Z1388" s="32"/>
      <c r="AA1388" s="32"/>
      <c r="AB1388" s="32"/>
      <c r="AC1388" s="32"/>
      <c r="AD1388" s="32"/>
      <c r="AE1388" s="32"/>
      <c r="AF1388" s="23"/>
      <c r="AG1388" s="23"/>
      <c r="AH1388" s="27"/>
    </row>
    <row r="1389" spans="1:34" x14ac:dyDescent="0.25">
      <c r="A1389" s="69"/>
      <c r="B1389" s="67"/>
      <c r="C1389" s="67"/>
      <c r="D1389" s="68"/>
      <c r="E1389" s="68"/>
      <c r="F1389" s="68"/>
      <c r="G1389" s="67"/>
      <c r="H1389" s="67"/>
      <c r="I1389" s="67"/>
      <c r="J1389" s="68"/>
      <c r="K1389" s="68"/>
      <c r="S1389" s="32"/>
      <c r="T1389" s="32"/>
      <c r="U1389" s="61"/>
      <c r="V1389" s="32"/>
      <c r="W1389" s="32"/>
      <c r="X1389" s="32"/>
      <c r="Y1389" s="32"/>
      <c r="Z1389" s="32"/>
      <c r="AA1389" s="32"/>
      <c r="AB1389" s="32"/>
      <c r="AC1389" s="32"/>
      <c r="AD1389" s="32"/>
      <c r="AE1389" s="32"/>
      <c r="AF1389" s="23"/>
      <c r="AG1389" s="23"/>
      <c r="AH1389" s="27"/>
    </row>
    <row r="1390" spans="1:34" x14ac:dyDescent="0.25">
      <c r="A1390" s="69"/>
      <c r="B1390" s="67"/>
      <c r="C1390" s="67"/>
      <c r="D1390" s="68"/>
      <c r="E1390" s="68"/>
      <c r="F1390" s="68"/>
      <c r="G1390" s="67"/>
      <c r="H1390" s="67"/>
      <c r="I1390" s="67"/>
      <c r="J1390" s="68"/>
      <c r="K1390" s="68"/>
      <c r="S1390" s="32"/>
      <c r="T1390" s="32"/>
      <c r="U1390" s="61"/>
      <c r="V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23"/>
      <c r="AG1390" s="23"/>
      <c r="AH1390" s="27"/>
    </row>
    <row r="1391" spans="1:34" x14ac:dyDescent="0.25">
      <c r="A1391" s="69"/>
      <c r="B1391" s="67"/>
      <c r="C1391" s="67"/>
      <c r="D1391" s="68"/>
      <c r="E1391" s="68"/>
      <c r="F1391" s="68"/>
      <c r="G1391" s="67"/>
      <c r="H1391" s="67"/>
      <c r="I1391" s="67"/>
      <c r="J1391" s="68"/>
      <c r="K1391" s="68"/>
      <c r="S1391" s="32"/>
      <c r="T1391" s="32"/>
      <c r="U1391" s="61"/>
      <c r="V1391" s="32"/>
      <c r="W1391" s="32"/>
      <c r="X1391" s="32"/>
      <c r="Y1391" s="32"/>
      <c r="Z1391" s="32"/>
      <c r="AA1391" s="32"/>
      <c r="AB1391" s="32"/>
      <c r="AC1391" s="32"/>
      <c r="AD1391" s="32"/>
      <c r="AE1391" s="32"/>
      <c r="AF1391" s="23"/>
      <c r="AG1391" s="23"/>
      <c r="AH1391" s="27"/>
    </row>
    <row r="1392" spans="1:34" x14ac:dyDescent="0.25">
      <c r="A1392" s="69"/>
      <c r="B1392" s="67"/>
      <c r="C1392" s="67"/>
      <c r="D1392" s="70"/>
      <c r="E1392" s="70"/>
      <c r="F1392" s="70"/>
      <c r="G1392" s="67"/>
      <c r="H1392" s="67"/>
      <c r="I1392" s="67"/>
      <c r="J1392" s="68"/>
      <c r="K1392" s="68"/>
      <c r="S1392" s="32"/>
      <c r="T1392" s="32"/>
      <c r="U1392" s="61"/>
      <c r="V1392" s="32"/>
      <c r="W1392" s="32"/>
      <c r="X1392" s="32"/>
      <c r="Y1392" s="32"/>
      <c r="Z1392" s="32"/>
      <c r="AA1392" s="32"/>
      <c r="AB1392" s="32"/>
      <c r="AC1392" s="32"/>
      <c r="AD1392" s="32"/>
      <c r="AE1392" s="32"/>
      <c r="AF1392" s="23"/>
      <c r="AG1392" s="23"/>
      <c r="AH1392" s="27"/>
    </row>
    <row r="1393" spans="1:34" x14ac:dyDescent="0.25">
      <c r="A1393" s="69"/>
      <c r="B1393" s="67"/>
      <c r="C1393" s="67"/>
      <c r="D1393" s="70"/>
      <c r="E1393" s="70"/>
      <c r="F1393" s="70"/>
      <c r="G1393" s="67"/>
      <c r="H1393" s="67"/>
      <c r="I1393" s="67"/>
      <c r="J1393" s="68"/>
      <c r="K1393" s="68"/>
      <c r="S1393" s="32"/>
      <c r="T1393" s="32"/>
      <c r="U1393" s="61"/>
      <c r="V1393" s="32"/>
      <c r="W1393" s="32"/>
      <c r="X1393" s="32"/>
      <c r="Y1393" s="32"/>
      <c r="Z1393" s="32"/>
      <c r="AA1393" s="32"/>
      <c r="AB1393" s="32"/>
      <c r="AC1393" s="32"/>
      <c r="AD1393" s="32"/>
      <c r="AE1393" s="32"/>
      <c r="AF1393" s="23"/>
      <c r="AG1393" s="23"/>
      <c r="AH1393" s="27"/>
    </row>
    <row r="1394" spans="1:34" x14ac:dyDescent="0.25">
      <c r="A1394" s="69"/>
      <c r="B1394" s="67"/>
      <c r="C1394" s="67"/>
      <c r="D1394" s="70"/>
      <c r="E1394" s="70"/>
      <c r="F1394" s="70"/>
      <c r="G1394" s="67"/>
      <c r="H1394" s="67"/>
      <c r="I1394" s="67"/>
      <c r="J1394" s="68"/>
      <c r="K1394" s="68"/>
      <c r="S1394" s="32"/>
      <c r="T1394" s="32"/>
      <c r="U1394" s="61"/>
      <c r="V1394" s="32"/>
      <c r="W1394" s="32"/>
      <c r="X1394" s="32"/>
      <c r="Y1394" s="32"/>
      <c r="Z1394" s="32"/>
      <c r="AA1394" s="32"/>
      <c r="AB1394" s="32"/>
      <c r="AC1394" s="32"/>
      <c r="AD1394" s="32"/>
      <c r="AE1394" s="32"/>
      <c r="AF1394" s="23"/>
      <c r="AG1394" s="23"/>
      <c r="AH1394" s="27"/>
    </row>
    <row r="1395" spans="1:34" x14ac:dyDescent="0.25">
      <c r="A1395" s="69"/>
      <c r="B1395" s="67"/>
      <c r="C1395" s="67"/>
      <c r="D1395" s="68"/>
      <c r="E1395" s="68"/>
      <c r="F1395" s="68"/>
      <c r="G1395" s="67"/>
      <c r="H1395" s="67"/>
      <c r="I1395" s="67"/>
      <c r="J1395" s="68"/>
      <c r="K1395" s="68"/>
      <c r="S1395" s="32"/>
      <c r="T1395" s="32"/>
      <c r="U1395" s="61"/>
      <c r="V1395" s="32"/>
      <c r="W1395" s="32"/>
      <c r="X1395" s="32"/>
      <c r="Y1395" s="32"/>
      <c r="Z1395" s="32"/>
      <c r="AA1395" s="32"/>
      <c r="AB1395" s="32"/>
      <c r="AC1395" s="32"/>
      <c r="AD1395" s="32"/>
      <c r="AE1395" s="32"/>
      <c r="AF1395" s="23"/>
      <c r="AG1395" s="23"/>
      <c r="AH1395" s="27"/>
    </row>
    <row r="1396" spans="1:34" x14ac:dyDescent="0.25">
      <c r="A1396" s="69"/>
      <c r="B1396" s="67"/>
      <c r="C1396" s="67"/>
      <c r="D1396" s="68"/>
      <c r="E1396" s="68"/>
      <c r="F1396" s="68"/>
      <c r="G1396" s="67"/>
      <c r="H1396" s="67"/>
      <c r="I1396" s="67"/>
      <c r="J1396" s="68"/>
      <c r="K1396" s="68"/>
      <c r="S1396" s="32"/>
      <c r="T1396" s="32"/>
      <c r="U1396" s="61"/>
      <c r="V1396" s="32"/>
      <c r="W1396" s="32"/>
      <c r="X1396" s="32"/>
      <c r="Y1396" s="32"/>
      <c r="Z1396" s="32"/>
      <c r="AA1396" s="32"/>
      <c r="AB1396" s="32"/>
      <c r="AC1396" s="32"/>
      <c r="AD1396" s="32"/>
      <c r="AE1396" s="32"/>
      <c r="AF1396" s="23"/>
      <c r="AG1396" s="23"/>
      <c r="AH1396" s="27"/>
    </row>
    <row r="1397" spans="1:34" x14ac:dyDescent="0.25">
      <c r="A1397" s="69"/>
      <c r="B1397" s="67"/>
      <c r="C1397" s="67"/>
      <c r="D1397" s="68"/>
      <c r="E1397" s="68"/>
      <c r="F1397" s="68"/>
      <c r="G1397" s="67"/>
      <c r="H1397" s="67"/>
      <c r="I1397" s="67"/>
      <c r="J1397" s="68"/>
      <c r="K1397" s="68"/>
      <c r="S1397" s="32"/>
      <c r="T1397" s="32"/>
      <c r="U1397" s="61"/>
      <c r="V1397" s="32"/>
      <c r="W1397" s="32"/>
      <c r="X1397" s="32"/>
      <c r="Y1397" s="32"/>
      <c r="Z1397" s="32"/>
      <c r="AA1397" s="32"/>
      <c r="AB1397" s="32"/>
      <c r="AC1397" s="32"/>
      <c r="AD1397" s="32"/>
      <c r="AE1397" s="32"/>
      <c r="AF1397" s="23"/>
      <c r="AG1397" s="23"/>
      <c r="AH1397" s="27"/>
    </row>
    <row r="1398" spans="1:34" x14ac:dyDescent="0.25">
      <c r="A1398" s="69"/>
      <c r="B1398" s="67"/>
      <c r="C1398" s="67"/>
      <c r="D1398" s="68"/>
      <c r="E1398" s="68"/>
      <c r="F1398" s="68"/>
      <c r="G1398" s="67"/>
      <c r="H1398" s="67"/>
      <c r="I1398" s="67"/>
      <c r="J1398" s="68"/>
      <c r="K1398" s="68"/>
      <c r="S1398" s="32"/>
      <c r="T1398" s="32"/>
      <c r="U1398" s="61"/>
      <c r="V1398" s="32"/>
      <c r="W1398" s="32"/>
      <c r="X1398" s="32"/>
      <c r="Y1398" s="32"/>
      <c r="Z1398" s="32"/>
      <c r="AA1398" s="32"/>
      <c r="AB1398" s="32"/>
      <c r="AC1398" s="32"/>
      <c r="AD1398" s="32"/>
      <c r="AE1398" s="32"/>
      <c r="AF1398" s="23"/>
      <c r="AG1398" s="23"/>
      <c r="AH1398" s="27"/>
    </row>
    <row r="1399" spans="1:34" x14ac:dyDescent="0.25">
      <c r="A1399" s="69"/>
      <c r="B1399" s="67"/>
      <c r="C1399" s="67"/>
      <c r="D1399" s="68"/>
      <c r="E1399" s="68"/>
      <c r="F1399" s="68"/>
      <c r="G1399" s="67"/>
      <c r="H1399" s="67"/>
      <c r="I1399" s="67"/>
      <c r="J1399" s="68"/>
      <c r="K1399" s="68"/>
      <c r="S1399" s="32"/>
      <c r="T1399" s="32"/>
      <c r="U1399" s="61"/>
      <c r="V1399" s="32"/>
      <c r="W1399" s="32"/>
      <c r="X1399" s="32"/>
      <c r="Y1399" s="32"/>
      <c r="Z1399" s="32"/>
      <c r="AA1399" s="32"/>
      <c r="AB1399" s="32"/>
      <c r="AC1399" s="32"/>
      <c r="AD1399" s="32"/>
      <c r="AE1399" s="32"/>
      <c r="AF1399" s="23"/>
      <c r="AG1399" s="23"/>
      <c r="AH1399" s="27"/>
    </row>
    <row r="1400" spans="1:34" x14ac:dyDescent="0.25">
      <c r="A1400" s="69"/>
      <c r="B1400" s="67"/>
      <c r="C1400" s="67"/>
      <c r="D1400" s="68"/>
      <c r="E1400" s="68"/>
      <c r="F1400" s="68"/>
      <c r="G1400" s="67"/>
      <c r="H1400" s="67"/>
      <c r="I1400" s="67"/>
      <c r="J1400" s="68"/>
      <c r="K1400" s="68"/>
      <c r="S1400" s="32"/>
      <c r="T1400" s="32"/>
      <c r="U1400" s="61"/>
      <c r="V1400" s="32"/>
      <c r="W1400" s="32"/>
      <c r="X1400" s="32"/>
      <c r="Y1400" s="32"/>
      <c r="Z1400" s="32"/>
      <c r="AA1400" s="32"/>
      <c r="AB1400" s="32"/>
      <c r="AC1400" s="32"/>
      <c r="AD1400" s="32"/>
      <c r="AE1400" s="32"/>
      <c r="AF1400" s="23"/>
      <c r="AG1400" s="23"/>
      <c r="AH1400" s="27"/>
    </row>
    <row r="1401" spans="1:34" x14ac:dyDescent="0.25">
      <c r="A1401" s="69"/>
      <c r="B1401" s="67"/>
      <c r="C1401" s="67"/>
      <c r="D1401" s="68"/>
      <c r="E1401" s="68"/>
      <c r="F1401" s="68"/>
      <c r="G1401" s="67"/>
      <c r="H1401" s="67"/>
      <c r="I1401" s="67"/>
      <c r="J1401" s="68"/>
      <c r="K1401" s="68"/>
      <c r="S1401" s="32"/>
      <c r="T1401" s="32"/>
      <c r="U1401" s="61"/>
      <c r="V1401" s="32"/>
      <c r="W1401" s="32"/>
      <c r="X1401" s="32"/>
      <c r="Y1401" s="32"/>
      <c r="Z1401" s="32"/>
      <c r="AA1401" s="32"/>
      <c r="AB1401" s="32"/>
      <c r="AC1401" s="32"/>
      <c r="AD1401" s="32"/>
      <c r="AE1401" s="32"/>
      <c r="AF1401" s="23"/>
      <c r="AG1401" s="23"/>
      <c r="AH1401" s="27"/>
    </row>
    <row r="1402" spans="1:34" x14ac:dyDescent="0.25">
      <c r="A1402" s="69"/>
      <c r="B1402" s="67"/>
      <c r="C1402" s="67"/>
      <c r="D1402" s="68"/>
      <c r="E1402" s="68"/>
      <c r="F1402" s="68"/>
      <c r="G1402" s="67"/>
      <c r="H1402" s="67"/>
      <c r="I1402" s="67"/>
      <c r="J1402" s="68"/>
      <c r="K1402" s="68"/>
      <c r="S1402" s="32"/>
      <c r="T1402" s="32"/>
      <c r="U1402" s="61"/>
      <c r="V1402" s="32"/>
      <c r="W1402" s="32"/>
      <c r="X1402" s="32"/>
      <c r="Y1402" s="32"/>
      <c r="Z1402" s="32"/>
      <c r="AA1402" s="32"/>
      <c r="AB1402" s="32"/>
      <c r="AC1402" s="32"/>
      <c r="AD1402" s="32"/>
      <c r="AE1402" s="32"/>
      <c r="AF1402" s="23"/>
      <c r="AG1402" s="23"/>
      <c r="AH1402" s="27"/>
    </row>
    <row r="1403" spans="1:34" x14ac:dyDescent="0.25">
      <c r="A1403" s="69"/>
      <c r="B1403" s="67"/>
      <c r="C1403" s="67"/>
      <c r="D1403" s="68"/>
      <c r="E1403" s="68"/>
      <c r="F1403" s="68"/>
      <c r="G1403" s="67"/>
      <c r="H1403" s="67"/>
      <c r="I1403" s="67"/>
      <c r="J1403" s="68"/>
      <c r="K1403" s="68"/>
      <c r="S1403" s="32"/>
      <c r="T1403" s="32"/>
      <c r="U1403" s="61"/>
      <c r="V1403" s="32"/>
      <c r="W1403" s="32"/>
      <c r="X1403" s="32"/>
      <c r="Y1403" s="32"/>
      <c r="Z1403" s="32"/>
      <c r="AA1403" s="32"/>
      <c r="AB1403" s="32"/>
      <c r="AC1403" s="32"/>
      <c r="AD1403" s="32"/>
      <c r="AE1403" s="32"/>
      <c r="AF1403" s="23"/>
      <c r="AG1403" s="23"/>
      <c r="AH1403" s="27"/>
    </row>
    <row r="1404" spans="1:34" x14ac:dyDescent="0.25">
      <c r="A1404" s="69"/>
      <c r="B1404" s="67"/>
      <c r="C1404" s="67"/>
      <c r="D1404" s="68"/>
      <c r="E1404" s="68"/>
      <c r="F1404" s="68"/>
      <c r="G1404" s="67"/>
      <c r="H1404" s="67"/>
      <c r="I1404" s="67"/>
      <c r="J1404" s="68"/>
      <c r="K1404" s="68"/>
      <c r="S1404" s="32"/>
      <c r="T1404" s="32"/>
      <c r="U1404" s="61"/>
      <c r="V1404" s="32"/>
      <c r="W1404" s="32"/>
      <c r="X1404" s="32"/>
      <c r="Y1404" s="32"/>
      <c r="Z1404" s="32"/>
      <c r="AA1404" s="32"/>
      <c r="AB1404" s="32"/>
      <c r="AC1404" s="32"/>
      <c r="AD1404" s="32"/>
      <c r="AE1404" s="32"/>
      <c r="AF1404" s="23"/>
      <c r="AG1404" s="23"/>
      <c r="AH1404" s="27"/>
    </row>
    <row r="1405" spans="1:34" x14ac:dyDescent="0.25">
      <c r="A1405" s="69"/>
      <c r="B1405" s="67"/>
      <c r="C1405" s="67"/>
      <c r="D1405" s="68"/>
      <c r="E1405" s="68"/>
      <c r="F1405" s="68"/>
      <c r="G1405" s="67"/>
      <c r="H1405" s="67"/>
      <c r="I1405" s="67"/>
      <c r="J1405" s="68"/>
      <c r="K1405" s="68"/>
      <c r="S1405" s="32"/>
      <c r="T1405" s="32"/>
      <c r="U1405" s="61"/>
      <c r="V1405" s="32"/>
      <c r="W1405" s="32"/>
      <c r="X1405" s="32"/>
      <c r="Y1405" s="32"/>
      <c r="Z1405" s="32"/>
      <c r="AA1405" s="32"/>
      <c r="AB1405" s="32"/>
      <c r="AC1405" s="32"/>
      <c r="AD1405" s="32"/>
      <c r="AE1405" s="32"/>
      <c r="AF1405" s="23"/>
      <c r="AG1405" s="23"/>
      <c r="AH1405" s="27"/>
    </row>
    <row r="1406" spans="1:34" x14ac:dyDescent="0.25">
      <c r="A1406" s="69"/>
      <c r="B1406" s="67"/>
      <c r="C1406" s="67"/>
      <c r="D1406" s="68"/>
      <c r="E1406" s="68"/>
      <c r="F1406" s="68"/>
      <c r="G1406" s="67"/>
      <c r="H1406" s="67"/>
      <c r="I1406" s="67"/>
      <c r="J1406" s="68"/>
      <c r="K1406" s="68"/>
      <c r="S1406" s="32"/>
      <c r="T1406" s="32"/>
      <c r="U1406" s="61"/>
      <c r="V1406" s="32"/>
      <c r="W1406" s="32"/>
      <c r="X1406" s="32"/>
      <c r="Y1406" s="32"/>
      <c r="Z1406" s="32"/>
      <c r="AA1406" s="32"/>
      <c r="AB1406" s="32"/>
      <c r="AC1406" s="32"/>
      <c r="AD1406" s="32"/>
      <c r="AE1406" s="32"/>
      <c r="AF1406" s="23"/>
      <c r="AG1406" s="23"/>
      <c r="AH1406" s="27"/>
    </row>
    <row r="1407" spans="1:34" x14ac:dyDescent="0.25">
      <c r="A1407" s="69"/>
      <c r="B1407" s="67"/>
      <c r="C1407" s="67"/>
      <c r="D1407" s="68"/>
      <c r="E1407" s="68"/>
      <c r="F1407" s="68"/>
      <c r="G1407" s="67"/>
      <c r="H1407" s="67"/>
      <c r="I1407" s="67"/>
      <c r="J1407" s="68"/>
      <c r="K1407" s="68"/>
      <c r="S1407" s="32"/>
      <c r="T1407" s="32"/>
      <c r="U1407" s="61"/>
      <c r="V1407" s="32"/>
      <c r="W1407" s="32"/>
      <c r="X1407" s="32"/>
      <c r="Y1407" s="32"/>
      <c r="Z1407" s="32"/>
      <c r="AA1407" s="32"/>
      <c r="AB1407" s="32"/>
      <c r="AC1407" s="32"/>
      <c r="AD1407" s="32"/>
      <c r="AE1407" s="32"/>
      <c r="AF1407" s="23"/>
      <c r="AG1407" s="23"/>
      <c r="AH1407" s="27"/>
    </row>
    <row r="1408" spans="1:34" x14ac:dyDescent="0.25">
      <c r="A1408" s="69"/>
      <c r="B1408" s="67"/>
      <c r="C1408" s="67"/>
      <c r="D1408" s="68"/>
      <c r="E1408" s="68"/>
      <c r="F1408" s="68"/>
      <c r="G1408" s="67"/>
      <c r="H1408" s="67"/>
      <c r="I1408" s="67"/>
      <c r="J1408" s="68"/>
      <c r="K1408" s="68"/>
      <c r="S1408" s="32"/>
      <c r="T1408" s="32"/>
      <c r="U1408" s="61"/>
      <c r="V1408" s="32"/>
      <c r="W1408" s="32"/>
      <c r="X1408" s="32"/>
      <c r="Y1408" s="32"/>
      <c r="Z1408" s="32"/>
      <c r="AA1408" s="32"/>
      <c r="AB1408" s="32"/>
      <c r="AC1408" s="32"/>
      <c r="AD1408" s="32"/>
      <c r="AE1408" s="32"/>
      <c r="AF1408" s="23"/>
      <c r="AG1408" s="23"/>
      <c r="AH1408" s="27"/>
    </row>
    <row r="1409" spans="1:34" x14ac:dyDescent="0.25">
      <c r="A1409" s="69"/>
      <c r="B1409" s="67"/>
      <c r="C1409" s="67"/>
      <c r="D1409" s="68"/>
      <c r="E1409" s="68"/>
      <c r="F1409" s="68"/>
      <c r="G1409" s="67"/>
      <c r="H1409" s="67"/>
      <c r="I1409" s="67"/>
      <c r="J1409" s="68"/>
      <c r="K1409" s="68"/>
      <c r="S1409" s="32"/>
      <c r="T1409" s="32"/>
      <c r="U1409" s="61"/>
      <c r="V1409" s="32"/>
      <c r="W1409" s="32"/>
      <c r="X1409" s="32"/>
      <c r="Y1409" s="32"/>
      <c r="Z1409" s="32"/>
      <c r="AA1409" s="32"/>
      <c r="AB1409" s="32"/>
      <c r="AC1409" s="32"/>
      <c r="AD1409" s="32"/>
      <c r="AE1409" s="32"/>
      <c r="AF1409" s="23"/>
      <c r="AG1409" s="23"/>
      <c r="AH1409" s="27"/>
    </row>
    <row r="1410" spans="1:34" x14ac:dyDescent="0.25">
      <c r="A1410" s="69"/>
      <c r="B1410" s="67"/>
      <c r="C1410" s="67"/>
      <c r="D1410" s="68"/>
      <c r="E1410" s="68"/>
      <c r="F1410" s="68"/>
      <c r="G1410" s="67"/>
      <c r="H1410" s="67"/>
      <c r="I1410" s="67"/>
      <c r="J1410" s="68"/>
      <c r="K1410" s="68"/>
      <c r="S1410" s="32"/>
      <c r="T1410" s="32"/>
      <c r="U1410" s="61"/>
      <c r="V1410" s="32"/>
      <c r="W1410" s="32"/>
      <c r="X1410" s="32"/>
      <c r="Y1410" s="32"/>
      <c r="Z1410" s="32"/>
      <c r="AA1410" s="32"/>
      <c r="AB1410" s="32"/>
      <c r="AC1410" s="32"/>
      <c r="AD1410" s="32"/>
      <c r="AE1410" s="32"/>
      <c r="AF1410" s="23"/>
      <c r="AG1410" s="23"/>
      <c r="AH1410" s="27"/>
    </row>
    <row r="1411" spans="1:34" x14ac:dyDescent="0.25">
      <c r="A1411" s="69"/>
      <c r="B1411" s="67"/>
      <c r="C1411" s="67"/>
      <c r="D1411" s="68"/>
      <c r="E1411" s="68"/>
      <c r="F1411" s="68"/>
      <c r="G1411" s="67"/>
      <c r="H1411" s="67"/>
      <c r="I1411" s="67"/>
      <c r="J1411" s="68"/>
      <c r="K1411" s="68"/>
      <c r="S1411" s="32"/>
      <c r="T1411" s="32"/>
      <c r="U1411" s="61"/>
      <c r="V1411" s="32"/>
      <c r="W1411" s="32"/>
      <c r="X1411" s="32"/>
      <c r="Y1411" s="32"/>
      <c r="Z1411" s="32"/>
      <c r="AA1411" s="32"/>
      <c r="AB1411" s="32"/>
      <c r="AC1411" s="32"/>
      <c r="AD1411" s="32"/>
      <c r="AE1411" s="32"/>
      <c r="AF1411" s="23"/>
      <c r="AG1411" s="23"/>
      <c r="AH1411" s="27"/>
    </row>
    <row r="1412" spans="1:34" x14ac:dyDescent="0.25">
      <c r="A1412" s="69"/>
      <c r="B1412" s="67"/>
      <c r="C1412" s="67"/>
      <c r="D1412" s="68"/>
      <c r="E1412" s="68"/>
      <c r="F1412" s="68"/>
      <c r="G1412" s="67"/>
      <c r="H1412" s="67"/>
      <c r="I1412" s="67"/>
      <c r="J1412" s="68"/>
      <c r="K1412" s="68"/>
      <c r="S1412" s="32"/>
      <c r="T1412" s="32"/>
      <c r="U1412" s="61"/>
      <c r="V1412" s="32"/>
      <c r="W1412" s="32"/>
      <c r="X1412" s="32"/>
      <c r="Y1412" s="32"/>
      <c r="Z1412" s="32"/>
      <c r="AA1412" s="32"/>
      <c r="AB1412" s="32"/>
      <c r="AC1412" s="32"/>
      <c r="AD1412" s="32"/>
      <c r="AE1412" s="32"/>
      <c r="AF1412" s="23"/>
      <c r="AG1412" s="23"/>
      <c r="AH1412" s="27"/>
    </row>
    <row r="1413" spans="1:34" x14ac:dyDescent="0.25">
      <c r="A1413" s="69"/>
      <c r="B1413" s="67"/>
      <c r="C1413" s="67"/>
      <c r="D1413" s="68"/>
      <c r="E1413" s="68"/>
      <c r="F1413" s="68"/>
      <c r="G1413" s="67"/>
      <c r="H1413" s="67"/>
      <c r="I1413" s="67"/>
      <c r="J1413" s="68"/>
      <c r="K1413" s="68"/>
      <c r="S1413" s="32"/>
      <c r="T1413" s="32"/>
      <c r="U1413" s="61"/>
      <c r="V1413" s="32"/>
      <c r="W1413" s="32"/>
      <c r="X1413" s="32"/>
      <c r="Y1413" s="32"/>
      <c r="Z1413" s="32"/>
      <c r="AA1413" s="32"/>
      <c r="AB1413" s="32"/>
      <c r="AC1413" s="32"/>
      <c r="AD1413" s="32"/>
      <c r="AE1413" s="32"/>
      <c r="AF1413" s="23"/>
      <c r="AG1413" s="23"/>
      <c r="AH1413" s="27"/>
    </row>
    <row r="1414" spans="1:34" x14ac:dyDescent="0.25">
      <c r="A1414" s="69"/>
      <c r="B1414" s="67"/>
      <c r="C1414" s="67"/>
      <c r="D1414" s="68"/>
      <c r="E1414" s="68"/>
      <c r="F1414" s="68"/>
      <c r="G1414" s="67"/>
      <c r="H1414" s="67"/>
      <c r="I1414" s="67"/>
      <c r="J1414" s="68"/>
      <c r="K1414" s="68"/>
      <c r="S1414" s="32"/>
      <c r="T1414" s="32"/>
      <c r="U1414" s="61"/>
      <c r="V1414" s="32"/>
      <c r="W1414" s="32"/>
      <c r="X1414" s="32"/>
      <c r="Y1414" s="32"/>
      <c r="Z1414" s="32"/>
      <c r="AA1414" s="32"/>
      <c r="AB1414" s="32"/>
      <c r="AC1414" s="32"/>
      <c r="AD1414" s="32"/>
      <c r="AE1414" s="32"/>
      <c r="AF1414" s="23"/>
      <c r="AG1414" s="23"/>
      <c r="AH1414" s="27"/>
    </row>
    <row r="1415" spans="1:34" x14ac:dyDescent="0.25">
      <c r="A1415" s="69"/>
      <c r="B1415" s="67"/>
      <c r="C1415" s="67"/>
      <c r="D1415" s="68"/>
      <c r="E1415" s="68"/>
      <c r="F1415" s="68"/>
      <c r="G1415" s="67"/>
      <c r="H1415" s="67"/>
      <c r="I1415" s="67"/>
      <c r="J1415" s="68"/>
      <c r="K1415" s="68"/>
      <c r="S1415" s="32"/>
      <c r="T1415" s="32"/>
      <c r="U1415" s="61"/>
      <c r="V1415" s="32"/>
      <c r="W1415" s="32"/>
      <c r="X1415" s="32"/>
      <c r="Y1415" s="32"/>
      <c r="Z1415" s="32"/>
      <c r="AA1415" s="32"/>
      <c r="AB1415" s="32"/>
      <c r="AC1415" s="32"/>
      <c r="AD1415" s="32"/>
      <c r="AE1415" s="32"/>
      <c r="AF1415" s="23"/>
      <c r="AG1415" s="23"/>
      <c r="AH1415" s="27"/>
    </row>
    <row r="1416" spans="1:34" x14ac:dyDescent="0.25">
      <c r="A1416" s="69"/>
      <c r="B1416" s="67"/>
      <c r="C1416" s="67"/>
      <c r="D1416" s="70"/>
      <c r="E1416" s="70"/>
      <c r="F1416" s="70"/>
      <c r="G1416" s="67"/>
      <c r="H1416" s="67"/>
      <c r="I1416" s="67"/>
      <c r="J1416" s="68"/>
      <c r="K1416" s="68"/>
      <c r="S1416" s="32"/>
      <c r="T1416" s="32"/>
      <c r="U1416" s="61"/>
      <c r="V1416" s="32"/>
      <c r="W1416" s="32"/>
      <c r="X1416" s="32"/>
      <c r="Y1416" s="32"/>
      <c r="Z1416" s="32"/>
      <c r="AA1416" s="32"/>
      <c r="AB1416" s="32"/>
      <c r="AC1416" s="32"/>
      <c r="AD1416" s="32"/>
      <c r="AE1416" s="32"/>
      <c r="AF1416" s="23"/>
      <c r="AG1416" s="23"/>
      <c r="AH1416" s="27"/>
    </row>
    <row r="1417" spans="1:34" x14ac:dyDescent="0.25">
      <c r="A1417" s="69"/>
      <c r="B1417" s="67"/>
      <c r="C1417" s="67"/>
      <c r="D1417" s="70"/>
      <c r="E1417" s="70"/>
      <c r="F1417" s="70"/>
      <c r="G1417" s="67"/>
      <c r="H1417" s="67"/>
      <c r="I1417" s="67"/>
      <c r="J1417" s="68"/>
      <c r="K1417" s="68"/>
      <c r="S1417" s="32"/>
      <c r="T1417" s="32"/>
      <c r="U1417" s="61"/>
      <c r="V1417" s="32"/>
      <c r="W1417" s="32"/>
      <c r="X1417" s="32"/>
      <c r="Y1417" s="32"/>
      <c r="Z1417" s="32"/>
      <c r="AA1417" s="32"/>
      <c r="AB1417" s="32"/>
      <c r="AC1417" s="32"/>
      <c r="AD1417" s="32"/>
      <c r="AE1417" s="32"/>
      <c r="AF1417" s="23"/>
      <c r="AG1417" s="23"/>
      <c r="AH1417" s="27"/>
    </row>
    <row r="1418" spans="1:34" x14ac:dyDescent="0.25">
      <c r="A1418" s="69"/>
      <c r="B1418" s="67"/>
      <c r="C1418" s="67"/>
      <c r="D1418" s="70"/>
      <c r="E1418" s="70"/>
      <c r="F1418" s="70"/>
      <c r="G1418" s="67"/>
      <c r="H1418" s="67"/>
      <c r="I1418" s="67"/>
      <c r="J1418" s="68"/>
      <c r="K1418" s="68"/>
      <c r="S1418" s="32"/>
      <c r="T1418" s="32"/>
      <c r="U1418" s="61"/>
      <c r="V1418" s="32"/>
      <c r="W1418" s="32"/>
      <c r="X1418" s="32"/>
      <c r="Y1418" s="32"/>
      <c r="Z1418" s="32"/>
      <c r="AA1418" s="32"/>
      <c r="AB1418" s="32"/>
      <c r="AC1418" s="32"/>
      <c r="AD1418" s="32"/>
      <c r="AE1418" s="32"/>
      <c r="AF1418" s="23"/>
      <c r="AG1418" s="23"/>
      <c r="AH1418" s="27"/>
    </row>
    <row r="1419" spans="1:34" x14ac:dyDescent="0.25">
      <c r="A1419" s="69"/>
      <c r="B1419" s="67"/>
      <c r="C1419" s="67"/>
      <c r="D1419" s="68"/>
      <c r="E1419" s="68"/>
      <c r="F1419" s="68"/>
      <c r="G1419" s="67"/>
      <c r="H1419" s="67"/>
      <c r="I1419" s="67"/>
      <c r="J1419" s="68"/>
      <c r="K1419" s="68"/>
      <c r="S1419" s="32"/>
      <c r="T1419" s="32"/>
      <c r="U1419" s="61"/>
      <c r="V1419" s="32"/>
      <c r="W1419" s="32"/>
      <c r="X1419" s="32"/>
      <c r="Y1419" s="32"/>
      <c r="Z1419" s="32"/>
      <c r="AA1419" s="32"/>
      <c r="AB1419" s="32"/>
      <c r="AC1419" s="32"/>
      <c r="AD1419" s="32"/>
      <c r="AE1419" s="32"/>
      <c r="AF1419" s="23"/>
      <c r="AG1419" s="23"/>
      <c r="AH1419" s="27"/>
    </row>
    <row r="1420" spans="1:34" x14ac:dyDescent="0.25">
      <c r="A1420" s="69"/>
      <c r="B1420" s="67"/>
      <c r="C1420" s="67"/>
      <c r="D1420" s="68"/>
      <c r="E1420" s="68"/>
      <c r="F1420" s="68"/>
      <c r="G1420" s="67"/>
      <c r="H1420" s="67"/>
      <c r="I1420" s="67"/>
      <c r="J1420" s="68"/>
      <c r="K1420" s="68"/>
      <c r="S1420" s="32"/>
      <c r="T1420" s="32"/>
      <c r="U1420" s="61"/>
      <c r="V1420" s="32"/>
      <c r="W1420" s="32"/>
      <c r="X1420" s="32"/>
      <c r="Y1420" s="32"/>
      <c r="Z1420" s="32"/>
      <c r="AA1420" s="32"/>
      <c r="AB1420" s="32"/>
      <c r="AC1420" s="32"/>
      <c r="AD1420" s="32"/>
      <c r="AE1420" s="32"/>
      <c r="AF1420" s="23"/>
      <c r="AG1420" s="23"/>
      <c r="AH1420" s="27"/>
    </row>
    <row r="1421" spans="1:34" x14ac:dyDescent="0.25">
      <c r="A1421" s="69"/>
      <c r="B1421" s="67"/>
      <c r="C1421" s="67"/>
      <c r="D1421" s="68"/>
      <c r="E1421" s="68"/>
      <c r="F1421" s="68"/>
      <c r="G1421" s="67"/>
      <c r="H1421" s="67"/>
      <c r="I1421" s="67"/>
      <c r="J1421" s="68"/>
      <c r="K1421" s="68"/>
      <c r="S1421" s="32"/>
      <c r="T1421" s="32"/>
      <c r="U1421" s="61"/>
      <c r="V1421" s="32"/>
      <c r="W1421" s="32"/>
      <c r="X1421" s="32"/>
      <c r="Y1421" s="32"/>
      <c r="Z1421" s="32"/>
      <c r="AA1421" s="32"/>
      <c r="AB1421" s="32"/>
      <c r="AC1421" s="32"/>
      <c r="AD1421" s="32"/>
      <c r="AE1421" s="32"/>
      <c r="AF1421" s="23"/>
      <c r="AG1421" s="23"/>
      <c r="AH1421" s="27"/>
    </row>
    <row r="1422" spans="1:34" x14ac:dyDescent="0.25">
      <c r="A1422" s="69"/>
      <c r="B1422" s="67"/>
      <c r="C1422" s="67"/>
      <c r="D1422" s="68"/>
      <c r="E1422" s="68"/>
      <c r="F1422" s="68"/>
      <c r="G1422" s="67"/>
      <c r="H1422" s="67"/>
      <c r="I1422" s="67"/>
      <c r="J1422" s="68"/>
      <c r="K1422" s="68"/>
      <c r="S1422" s="32"/>
      <c r="T1422" s="32"/>
      <c r="U1422" s="61"/>
      <c r="V1422" s="32"/>
      <c r="W1422" s="32"/>
      <c r="X1422" s="32"/>
      <c r="Y1422" s="32"/>
      <c r="Z1422" s="32"/>
      <c r="AA1422" s="32"/>
      <c r="AB1422" s="32"/>
      <c r="AC1422" s="32"/>
      <c r="AD1422" s="32"/>
      <c r="AE1422" s="32"/>
      <c r="AF1422" s="23"/>
      <c r="AG1422" s="23"/>
      <c r="AH1422" s="27"/>
    </row>
    <row r="1423" spans="1:34" x14ac:dyDescent="0.25">
      <c r="A1423" s="69"/>
      <c r="B1423" s="67"/>
      <c r="C1423" s="67"/>
      <c r="D1423" s="68"/>
      <c r="E1423" s="68"/>
      <c r="F1423" s="68"/>
      <c r="G1423" s="67"/>
      <c r="H1423" s="67"/>
      <c r="I1423" s="67"/>
      <c r="J1423" s="68"/>
      <c r="K1423" s="68"/>
      <c r="S1423" s="32"/>
      <c r="T1423" s="32"/>
      <c r="U1423" s="61"/>
      <c r="V1423" s="32"/>
      <c r="W1423" s="32"/>
      <c r="X1423" s="32"/>
      <c r="Y1423" s="32"/>
      <c r="Z1423" s="32"/>
      <c r="AA1423" s="32"/>
      <c r="AB1423" s="32"/>
      <c r="AC1423" s="32"/>
      <c r="AD1423" s="32"/>
      <c r="AE1423" s="32"/>
      <c r="AF1423" s="23"/>
      <c r="AG1423" s="23"/>
      <c r="AH1423" s="27"/>
    </row>
    <row r="1424" spans="1:34" x14ac:dyDescent="0.25">
      <c r="A1424" s="69"/>
      <c r="B1424" s="67"/>
      <c r="C1424" s="67"/>
      <c r="D1424" s="68"/>
      <c r="E1424" s="68"/>
      <c r="F1424" s="68"/>
      <c r="G1424" s="67"/>
      <c r="H1424" s="67"/>
      <c r="I1424" s="67"/>
      <c r="J1424" s="68"/>
      <c r="K1424" s="68"/>
      <c r="S1424" s="32"/>
      <c r="T1424" s="32"/>
      <c r="U1424" s="61"/>
      <c r="V1424" s="32"/>
      <c r="W1424" s="32"/>
      <c r="X1424" s="32"/>
      <c r="Y1424" s="32"/>
      <c r="Z1424" s="32"/>
      <c r="AA1424" s="32"/>
      <c r="AB1424" s="32"/>
      <c r="AC1424" s="32"/>
      <c r="AD1424" s="32"/>
      <c r="AE1424" s="32"/>
      <c r="AF1424" s="23"/>
      <c r="AG1424" s="23"/>
      <c r="AH1424" s="27"/>
    </row>
    <row r="1425" spans="1:34" x14ac:dyDescent="0.25">
      <c r="A1425" s="69"/>
      <c r="B1425" s="67"/>
      <c r="C1425" s="67"/>
      <c r="D1425" s="68"/>
      <c r="E1425" s="68"/>
      <c r="F1425" s="68"/>
      <c r="G1425" s="67"/>
      <c r="H1425" s="67"/>
      <c r="I1425" s="67"/>
      <c r="J1425" s="68"/>
      <c r="K1425" s="68"/>
      <c r="S1425" s="32"/>
      <c r="T1425" s="32"/>
      <c r="U1425" s="61"/>
      <c r="V1425" s="32"/>
      <c r="W1425" s="32"/>
      <c r="X1425" s="32"/>
      <c r="Y1425" s="32"/>
      <c r="Z1425" s="32"/>
      <c r="AA1425" s="32"/>
      <c r="AB1425" s="32"/>
      <c r="AC1425" s="32"/>
      <c r="AD1425" s="32"/>
      <c r="AE1425" s="32"/>
      <c r="AF1425" s="23"/>
      <c r="AG1425" s="23"/>
      <c r="AH1425" s="27"/>
    </row>
    <row r="1426" spans="1:34" x14ac:dyDescent="0.25">
      <c r="A1426" s="69"/>
      <c r="B1426" s="67"/>
      <c r="C1426" s="67"/>
      <c r="D1426" s="68"/>
      <c r="E1426" s="68"/>
      <c r="F1426" s="68"/>
      <c r="G1426" s="67"/>
      <c r="H1426" s="67"/>
      <c r="I1426" s="67"/>
      <c r="J1426" s="68"/>
      <c r="K1426" s="68"/>
      <c r="S1426" s="32"/>
      <c r="T1426" s="32"/>
      <c r="U1426" s="61"/>
      <c r="V1426" s="32"/>
      <c r="W1426" s="32"/>
      <c r="X1426" s="32"/>
      <c r="Y1426" s="32"/>
      <c r="Z1426" s="32"/>
      <c r="AA1426" s="32"/>
      <c r="AB1426" s="32"/>
      <c r="AC1426" s="32"/>
      <c r="AD1426" s="32"/>
      <c r="AE1426" s="32"/>
      <c r="AF1426" s="23"/>
      <c r="AG1426" s="23"/>
      <c r="AH1426" s="27"/>
    </row>
    <row r="1427" spans="1:34" x14ac:dyDescent="0.25">
      <c r="A1427" s="69"/>
      <c r="B1427" s="67"/>
      <c r="C1427" s="67"/>
      <c r="D1427" s="68"/>
      <c r="E1427" s="68"/>
      <c r="F1427" s="68"/>
      <c r="G1427" s="67"/>
      <c r="H1427" s="67"/>
      <c r="I1427" s="67"/>
      <c r="J1427" s="68"/>
      <c r="K1427" s="68"/>
      <c r="S1427" s="32"/>
      <c r="T1427" s="32"/>
      <c r="U1427" s="61"/>
      <c r="V1427" s="32"/>
      <c r="W1427" s="32"/>
      <c r="X1427" s="32"/>
      <c r="Y1427" s="32"/>
      <c r="Z1427" s="32"/>
      <c r="AA1427" s="32"/>
      <c r="AB1427" s="32"/>
      <c r="AC1427" s="32"/>
      <c r="AD1427" s="32"/>
      <c r="AE1427" s="32"/>
      <c r="AF1427" s="23"/>
      <c r="AG1427" s="23"/>
      <c r="AH1427" s="27"/>
    </row>
    <row r="1428" spans="1:34" x14ac:dyDescent="0.25">
      <c r="A1428" s="69"/>
      <c r="B1428" s="67"/>
      <c r="C1428" s="67"/>
      <c r="D1428" s="68"/>
      <c r="E1428" s="68"/>
      <c r="F1428" s="68"/>
      <c r="G1428" s="67"/>
      <c r="H1428" s="67"/>
      <c r="I1428" s="67"/>
      <c r="J1428" s="68"/>
      <c r="K1428" s="68"/>
      <c r="S1428" s="32"/>
      <c r="T1428" s="32"/>
      <c r="U1428" s="61"/>
      <c r="V1428" s="32"/>
      <c r="W1428" s="32"/>
      <c r="X1428" s="32"/>
      <c r="Y1428" s="32"/>
      <c r="Z1428" s="32"/>
      <c r="AA1428" s="32"/>
      <c r="AB1428" s="32"/>
      <c r="AC1428" s="32"/>
      <c r="AD1428" s="32"/>
      <c r="AE1428" s="32"/>
      <c r="AF1428" s="23"/>
      <c r="AG1428" s="23"/>
      <c r="AH1428" s="27"/>
    </row>
    <row r="1429" spans="1:34" x14ac:dyDescent="0.25">
      <c r="A1429" s="69"/>
      <c r="B1429" s="67"/>
      <c r="C1429" s="67"/>
      <c r="D1429" s="68"/>
      <c r="E1429" s="68"/>
      <c r="F1429" s="68"/>
      <c r="G1429" s="67"/>
      <c r="H1429" s="67"/>
      <c r="I1429" s="67"/>
      <c r="J1429" s="68"/>
      <c r="K1429" s="68"/>
      <c r="S1429" s="32"/>
      <c r="T1429" s="32"/>
      <c r="U1429" s="61"/>
      <c r="V1429" s="32"/>
      <c r="W1429" s="32"/>
      <c r="X1429" s="32"/>
      <c r="Y1429" s="32"/>
      <c r="Z1429" s="32"/>
      <c r="AA1429" s="32"/>
      <c r="AB1429" s="32"/>
      <c r="AC1429" s="32"/>
      <c r="AD1429" s="32"/>
      <c r="AE1429" s="32"/>
      <c r="AF1429" s="23"/>
      <c r="AG1429" s="23"/>
      <c r="AH1429" s="27"/>
    </row>
    <row r="1430" spans="1:34" x14ac:dyDescent="0.25">
      <c r="A1430" s="69"/>
      <c r="B1430" s="67"/>
      <c r="C1430" s="67"/>
      <c r="D1430" s="68"/>
      <c r="E1430" s="68"/>
      <c r="F1430" s="68"/>
      <c r="G1430" s="67"/>
      <c r="H1430" s="67"/>
      <c r="I1430" s="67"/>
      <c r="J1430" s="68"/>
      <c r="K1430" s="68"/>
      <c r="S1430" s="32"/>
      <c r="T1430" s="32"/>
      <c r="U1430" s="61"/>
      <c r="V1430" s="32"/>
      <c r="W1430" s="32"/>
      <c r="X1430" s="32"/>
      <c r="Y1430" s="32"/>
      <c r="Z1430" s="32"/>
      <c r="AA1430" s="32"/>
      <c r="AB1430" s="32"/>
      <c r="AC1430" s="32"/>
      <c r="AD1430" s="32"/>
      <c r="AE1430" s="32"/>
      <c r="AF1430" s="23"/>
      <c r="AG1430" s="23"/>
      <c r="AH1430" s="27"/>
    </row>
    <row r="1431" spans="1:34" x14ac:dyDescent="0.25">
      <c r="A1431" s="69"/>
      <c r="B1431" s="67"/>
      <c r="C1431" s="67"/>
      <c r="D1431" s="68"/>
      <c r="E1431" s="68"/>
      <c r="F1431" s="68"/>
      <c r="G1431" s="67"/>
      <c r="H1431" s="67"/>
      <c r="I1431" s="67"/>
      <c r="J1431" s="68"/>
      <c r="K1431" s="68"/>
      <c r="S1431" s="32"/>
      <c r="T1431" s="32"/>
      <c r="U1431" s="61"/>
      <c r="V1431" s="32"/>
      <c r="W1431" s="32"/>
      <c r="X1431" s="32"/>
      <c r="Y1431" s="32"/>
      <c r="Z1431" s="32"/>
      <c r="AA1431" s="32"/>
      <c r="AB1431" s="32"/>
      <c r="AC1431" s="32"/>
      <c r="AD1431" s="32"/>
      <c r="AE1431" s="32"/>
      <c r="AF1431" s="23"/>
      <c r="AG1431" s="23"/>
      <c r="AH1431" s="27"/>
    </row>
    <row r="1432" spans="1:34" x14ac:dyDescent="0.25">
      <c r="A1432" s="69"/>
      <c r="B1432" s="67"/>
      <c r="C1432" s="67"/>
      <c r="D1432" s="68"/>
      <c r="E1432" s="68"/>
      <c r="F1432" s="68"/>
      <c r="G1432" s="67"/>
      <c r="H1432" s="67"/>
      <c r="I1432" s="67"/>
      <c r="J1432" s="68"/>
      <c r="K1432" s="68"/>
      <c r="S1432" s="32"/>
      <c r="T1432" s="32"/>
      <c r="U1432" s="61"/>
      <c r="V1432" s="32"/>
      <c r="W1432" s="32"/>
      <c r="X1432" s="32"/>
      <c r="Y1432" s="32"/>
      <c r="Z1432" s="32"/>
      <c r="AA1432" s="32"/>
      <c r="AB1432" s="32"/>
      <c r="AC1432" s="32"/>
      <c r="AD1432" s="32"/>
      <c r="AE1432" s="32"/>
      <c r="AF1432" s="23"/>
      <c r="AG1432" s="23"/>
      <c r="AH1432" s="27"/>
    </row>
    <row r="1433" spans="1:34" x14ac:dyDescent="0.25">
      <c r="A1433" s="69"/>
      <c r="B1433" s="67"/>
      <c r="C1433" s="67"/>
      <c r="D1433" s="68"/>
      <c r="E1433" s="68"/>
      <c r="F1433" s="68"/>
      <c r="G1433" s="67"/>
      <c r="H1433" s="67"/>
      <c r="I1433" s="67"/>
      <c r="J1433" s="68"/>
      <c r="K1433" s="68"/>
      <c r="S1433" s="32"/>
      <c r="T1433" s="32"/>
      <c r="U1433" s="61"/>
      <c r="V1433" s="32"/>
      <c r="W1433" s="32"/>
      <c r="X1433" s="32"/>
      <c r="Y1433" s="32"/>
      <c r="Z1433" s="32"/>
      <c r="AA1433" s="32"/>
      <c r="AB1433" s="32"/>
      <c r="AC1433" s="32"/>
      <c r="AD1433" s="32"/>
      <c r="AE1433" s="32"/>
      <c r="AF1433" s="23"/>
      <c r="AG1433" s="23"/>
      <c r="AH1433" s="27"/>
    </row>
    <row r="1434" spans="1:34" x14ac:dyDescent="0.25">
      <c r="A1434" s="69"/>
      <c r="B1434" s="67"/>
      <c r="C1434" s="67"/>
      <c r="D1434" s="68"/>
      <c r="E1434" s="68"/>
      <c r="F1434" s="68"/>
      <c r="G1434" s="67"/>
      <c r="H1434" s="67"/>
      <c r="I1434" s="67"/>
      <c r="J1434" s="68"/>
      <c r="K1434" s="68"/>
      <c r="S1434" s="32"/>
      <c r="T1434" s="32"/>
      <c r="U1434" s="61"/>
      <c r="V1434" s="32"/>
      <c r="W1434" s="32"/>
      <c r="X1434" s="32"/>
      <c r="Y1434" s="32"/>
      <c r="Z1434" s="32"/>
      <c r="AA1434" s="32"/>
      <c r="AB1434" s="32"/>
      <c r="AC1434" s="32"/>
      <c r="AD1434" s="32"/>
      <c r="AE1434" s="32"/>
      <c r="AF1434" s="23"/>
      <c r="AG1434" s="23"/>
      <c r="AH1434" s="27"/>
    </row>
    <row r="1435" spans="1:34" x14ac:dyDescent="0.25">
      <c r="A1435" s="69"/>
      <c r="B1435" s="67"/>
      <c r="C1435" s="67"/>
      <c r="D1435" s="68"/>
      <c r="E1435" s="68"/>
      <c r="F1435" s="68"/>
      <c r="G1435" s="67"/>
      <c r="H1435" s="67"/>
      <c r="I1435" s="67"/>
      <c r="J1435" s="68"/>
      <c r="K1435" s="68"/>
      <c r="S1435" s="32"/>
      <c r="T1435" s="32"/>
      <c r="U1435" s="61"/>
      <c r="V1435" s="32"/>
      <c r="W1435" s="32"/>
      <c r="X1435" s="32"/>
      <c r="Y1435" s="32"/>
      <c r="Z1435" s="32"/>
      <c r="AA1435" s="32"/>
      <c r="AB1435" s="32"/>
      <c r="AC1435" s="32"/>
      <c r="AD1435" s="32"/>
      <c r="AE1435" s="32"/>
      <c r="AF1435" s="23"/>
      <c r="AG1435" s="23"/>
      <c r="AH1435" s="27"/>
    </row>
    <row r="1436" spans="1:34" x14ac:dyDescent="0.25">
      <c r="A1436" s="69"/>
      <c r="B1436" s="67"/>
      <c r="C1436" s="67"/>
      <c r="D1436" s="68"/>
      <c r="E1436" s="68"/>
      <c r="F1436" s="68"/>
      <c r="G1436" s="67"/>
      <c r="H1436" s="67"/>
      <c r="I1436" s="67"/>
      <c r="J1436" s="68"/>
      <c r="K1436" s="68"/>
      <c r="S1436" s="32"/>
      <c r="T1436" s="32"/>
      <c r="U1436" s="61"/>
      <c r="V1436" s="32"/>
      <c r="W1436" s="32"/>
      <c r="X1436" s="32"/>
      <c r="Y1436" s="32"/>
      <c r="Z1436" s="32"/>
      <c r="AA1436" s="32"/>
      <c r="AB1436" s="32"/>
      <c r="AC1436" s="32"/>
      <c r="AD1436" s="32"/>
      <c r="AE1436" s="32"/>
      <c r="AF1436" s="23"/>
      <c r="AG1436" s="23"/>
      <c r="AH1436" s="27"/>
    </row>
    <row r="1437" spans="1:34" x14ac:dyDescent="0.25">
      <c r="A1437" s="69"/>
      <c r="B1437" s="67"/>
      <c r="C1437" s="67"/>
      <c r="D1437" s="68"/>
      <c r="E1437" s="68"/>
      <c r="F1437" s="68"/>
      <c r="G1437" s="67"/>
      <c r="H1437" s="67"/>
      <c r="I1437" s="67"/>
      <c r="J1437" s="68"/>
      <c r="K1437" s="68"/>
      <c r="S1437" s="32"/>
      <c r="T1437" s="32"/>
      <c r="U1437" s="61"/>
      <c r="V1437" s="32"/>
      <c r="W1437" s="32"/>
      <c r="X1437" s="32"/>
      <c r="Y1437" s="32"/>
      <c r="Z1437" s="32"/>
      <c r="AA1437" s="32"/>
      <c r="AB1437" s="32"/>
      <c r="AC1437" s="32"/>
      <c r="AD1437" s="32"/>
      <c r="AE1437" s="32"/>
      <c r="AF1437" s="23"/>
      <c r="AG1437" s="23"/>
      <c r="AH1437" s="27"/>
    </row>
    <row r="1438" spans="1:34" x14ac:dyDescent="0.25">
      <c r="A1438" s="69"/>
      <c r="B1438" s="67"/>
      <c r="C1438" s="67"/>
      <c r="D1438" s="68"/>
      <c r="E1438" s="68"/>
      <c r="F1438" s="68"/>
      <c r="G1438" s="67"/>
      <c r="H1438" s="67"/>
      <c r="I1438" s="67"/>
      <c r="J1438" s="68"/>
      <c r="K1438" s="68"/>
      <c r="S1438" s="32"/>
      <c r="T1438" s="32"/>
      <c r="U1438" s="61"/>
      <c r="V1438" s="32"/>
      <c r="W1438" s="32"/>
      <c r="X1438" s="32"/>
      <c r="Y1438" s="32"/>
      <c r="Z1438" s="32"/>
      <c r="AA1438" s="32"/>
      <c r="AB1438" s="32"/>
      <c r="AC1438" s="32"/>
      <c r="AD1438" s="32"/>
      <c r="AE1438" s="32"/>
      <c r="AF1438" s="23"/>
      <c r="AG1438" s="23"/>
      <c r="AH1438" s="27"/>
    </row>
    <row r="1439" spans="1:34" x14ac:dyDescent="0.25">
      <c r="A1439" s="69"/>
      <c r="B1439" s="67"/>
      <c r="C1439" s="67"/>
      <c r="D1439" s="68"/>
      <c r="E1439" s="68"/>
      <c r="F1439" s="68"/>
      <c r="G1439" s="67"/>
      <c r="H1439" s="67"/>
      <c r="I1439" s="67"/>
      <c r="J1439" s="68"/>
      <c r="K1439" s="68"/>
      <c r="S1439" s="32"/>
      <c r="T1439" s="32"/>
      <c r="U1439" s="61"/>
      <c r="V1439" s="32"/>
      <c r="W1439" s="32"/>
      <c r="X1439" s="32"/>
      <c r="Y1439" s="32"/>
      <c r="Z1439" s="32"/>
      <c r="AA1439" s="32"/>
      <c r="AB1439" s="32"/>
      <c r="AC1439" s="32"/>
      <c r="AD1439" s="32"/>
      <c r="AE1439" s="32"/>
      <c r="AF1439" s="23"/>
      <c r="AG1439" s="23"/>
      <c r="AH1439" s="27"/>
    </row>
    <row r="1440" spans="1:34" x14ac:dyDescent="0.25">
      <c r="A1440" s="69"/>
      <c r="B1440" s="67"/>
      <c r="C1440" s="67"/>
      <c r="D1440" s="70"/>
      <c r="E1440" s="70"/>
      <c r="F1440" s="70"/>
      <c r="G1440" s="67"/>
      <c r="H1440" s="67"/>
      <c r="I1440" s="67"/>
      <c r="J1440" s="68"/>
      <c r="K1440" s="68"/>
      <c r="S1440" s="32"/>
      <c r="T1440" s="32"/>
      <c r="U1440" s="61"/>
      <c r="V1440" s="32"/>
      <c r="W1440" s="32"/>
      <c r="X1440" s="32"/>
      <c r="Y1440" s="32"/>
      <c r="Z1440" s="32"/>
      <c r="AA1440" s="32"/>
      <c r="AB1440" s="32"/>
      <c r="AC1440" s="32"/>
      <c r="AD1440" s="32"/>
      <c r="AE1440" s="32"/>
      <c r="AF1440" s="23"/>
      <c r="AG1440" s="23"/>
      <c r="AH1440" s="27"/>
    </row>
    <row r="1441" spans="1:34" x14ac:dyDescent="0.25">
      <c r="A1441" s="69"/>
      <c r="B1441" s="67"/>
      <c r="C1441" s="67"/>
      <c r="D1441" s="70"/>
      <c r="E1441" s="70"/>
      <c r="F1441" s="70"/>
      <c r="G1441" s="67"/>
      <c r="H1441" s="67"/>
      <c r="I1441" s="67"/>
      <c r="J1441" s="68"/>
      <c r="K1441" s="68"/>
      <c r="S1441" s="32"/>
      <c r="T1441" s="32"/>
      <c r="U1441" s="61"/>
      <c r="V1441" s="32"/>
      <c r="W1441" s="32"/>
      <c r="X1441" s="32"/>
      <c r="Y1441" s="32"/>
      <c r="Z1441" s="32"/>
      <c r="AA1441" s="32"/>
      <c r="AB1441" s="32"/>
      <c r="AC1441" s="32"/>
      <c r="AD1441" s="32"/>
      <c r="AE1441" s="32"/>
      <c r="AF1441" s="23"/>
      <c r="AG1441" s="23"/>
      <c r="AH1441" s="27"/>
    </row>
    <row r="1442" spans="1:34" x14ac:dyDescent="0.25">
      <c r="A1442" s="69"/>
      <c r="B1442" s="67"/>
      <c r="C1442" s="67"/>
      <c r="D1442" s="70"/>
      <c r="E1442" s="70"/>
      <c r="F1442" s="70"/>
      <c r="G1442" s="67"/>
      <c r="H1442" s="67"/>
      <c r="I1442" s="67"/>
      <c r="J1442" s="68"/>
      <c r="K1442" s="68"/>
      <c r="S1442" s="32"/>
      <c r="T1442" s="32"/>
      <c r="U1442" s="61"/>
      <c r="V1442" s="32"/>
      <c r="W1442" s="32"/>
      <c r="X1442" s="32"/>
      <c r="Y1442" s="32"/>
      <c r="Z1442" s="32"/>
      <c r="AA1442" s="32"/>
      <c r="AB1442" s="32"/>
      <c r="AC1442" s="32"/>
      <c r="AD1442" s="32"/>
      <c r="AE1442" s="32"/>
      <c r="AF1442" s="23"/>
      <c r="AG1442" s="23"/>
      <c r="AH1442" s="27"/>
    </row>
    <row r="1443" spans="1:34" x14ac:dyDescent="0.25">
      <c r="A1443" s="69"/>
      <c r="B1443" s="67"/>
      <c r="C1443" s="67"/>
      <c r="D1443" s="68"/>
      <c r="E1443" s="68"/>
      <c r="F1443" s="68"/>
      <c r="G1443" s="67"/>
      <c r="H1443" s="67"/>
      <c r="I1443" s="67"/>
      <c r="J1443" s="68"/>
      <c r="K1443" s="68"/>
      <c r="S1443" s="32"/>
      <c r="T1443" s="32"/>
      <c r="U1443" s="61"/>
      <c r="V1443" s="32"/>
      <c r="W1443" s="32"/>
      <c r="X1443" s="32"/>
      <c r="Y1443" s="32"/>
      <c r="Z1443" s="32"/>
      <c r="AA1443" s="32"/>
      <c r="AB1443" s="32"/>
      <c r="AC1443" s="32"/>
      <c r="AD1443" s="32"/>
      <c r="AE1443" s="32"/>
      <c r="AF1443" s="23"/>
      <c r="AG1443" s="23"/>
      <c r="AH1443" s="27"/>
    </row>
    <row r="1444" spans="1:34" x14ac:dyDescent="0.25">
      <c r="A1444" s="69"/>
      <c r="B1444" s="67"/>
      <c r="C1444" s="67"/>
      <c r="D1444" s="68"/>
      <c r="E1444" s="68"/>
      <c r="F1444" s="68"/>
      <c r="G1444" s="67"/>
      <c r="H1444" s="67"/>
      <c r="I1444" s="67"/>
      <c r="J1444" s="68"/>
      <c r="K1444" s="68"/>
      <c r="S1444" s="32"/>
      <c r="T1444" s="32"/>
      <c r="U1444" s="61"/>
      <c r="V1444" s="32"/>
      <c r="W1444" s="32"/>
      <c r="X1444" s="32"/>
      <c r="Y1444" s="32"/>
      <c r="Z1444" s="32"/>
      <c r="AA1444" s="32"/>
      <c r="AB1444" s="32"/>
      <c r="AC1444" s="32"/>
      <c r="AD1444" s="32"/>
      <c r="AE1444" s="32"/>
      <c r="AF1444" s="23"/>
      <c r="AG1444" s="23"/>
      <c r="AH1444" s="27"/>
    </row>
    <row r="1445" spans="1:34" x14ac:dyDescent="0.25">
      <c r="A1445" s="69"/>
      <c r="B1445" s="67"/>
      <c r="C1445" s="67"/>
      <c r="D1445" s="68"/>
      <c r="E1445" s="68"/>
      <c r="F1445" s="68"/>
      <c r="G1445" s="67"/>
      <c r="H1445" s="67"/>
      <c r="I1445" s="67"/>
      <c r="J1445" s="68"/>
      <c r="K1445" s="68"/>
    </row>
    <row r="1446" spans="1:34" x14ac:dyDescent="0.25">
      <c r="A1446" s="69"/>
      <c r="B1446" s="67"/>
      <c r="C1446" s="67"/>
      <c r="D1446" s="68"/>
      <c r="E1446" s="68"/>
      <c r="F1446" s="68"/>
      <c r="G1446" s="67"/>
      <c r="H1446" s="67"/>
      <c r="I1446" s="67"/>
      <c r="J1446" s="68"/>
      <c r="K1446" s="68"/>
    </row>
    <row r="1447" spans="1:34" x14ac:dyDescent="0.25">
      <c r="A1447" s="69"/>
      <c r="B1447" s="67"/>
      <c r="C1447" s="67"/>
      <c r="D1447" s="68"/>
      <c r="E1447" s="68"/>
      <c r="F1447" s="68"/>
      <c r="G1447" s="67"/>
      <c r="H1447" s="67"/>
      <c r="I1447" s="67"/>
      <c r="J1447" s="68"/>
      <c r="K1447" s="68"/>
    </row>
    <row r="1448" spans="1:34" x14ac:dyDescent="0.25">
      <c r="A1448" s="69"/>
      <c r="B1448" s="67"/>
      <c r="C1448" s="67"/>
      <c r="D1448" s="68"/>
      <c r="E1448" s="68"/>
      <c r="F1448" s="68"/>
      <c r="G1448" s="67"/>
      <c r="H1448" s="67"/>
      <c r="I1448" s="67"/>
      <c r="J1448" s="68"/>
      <c r="K1448" s="68"/>
    </row>
    <row r="1449" spans="1:34" x14ac:dyDescent="0.25">
      <c r="A1449" s="69"/>
      <c r="B1449" s="67"/>
      <c r="C1449" s="67"/>
      <c r="D1449" s="68"/>
      <c r="E1449" s="68"/>
      <c r="F1449" s="68"/>
      <c r="G1449" s="67"/>
      <c r="H1449" s="67"/>
      <c r="I1449" s="67"/>
      <c r="J1449" s="68"/>
      <c r="K1449" s="68"/>
    </row>
    <row r="1450" spans="1:34" x14ac:dyDescent="0.25">
      <c r="A1450" s="69"/>
      <c r="B1450" s="67"/>
      <c r="C1450" s="67"/>
      <c r="D1450" s="68"/>
      <c r="E1450" s="68"/>
      <c r="F1450" s="68"/>
      <c r="G1450" s="67"/>
      <c r="H1450" s="67"/>
      <c r="I1450" s="67"/>
      <c r="J1450" s="68"/>
      <c r="K1450" s="68"/>
    </row>
    <row r="1451" spans="1:34" x14ac:dyDescent="0.25">
      <c r="A1451" s="69"/>
      <c r="B1451" s="67"/>
      <c r="C1451" s="67"/>
      <c r="D1451" s="68"/>
      <c r="E1451" s="68"/>
      <c r="F1451" s="68"/>
      <c r="G1451" s="67"/>
      <c r="H1451" s="67"/>
      <c r="I1451" s="67"/>
      <c r="J1451" s="68"/>
      <c r="K1451" s="68"/>
    </row>
    <row r="1452" spans="1:34" x14ac:dyDescent="0.25">
      <c r="A1452" s="69"/>
      <c r="B1452" s="67"/>
      <c r="C1452" s="67"/>
      <c r="D1452" s="68"/>
      <c r="E1452" s="68"/>
      <c r="F1452" s="68"/>
      <c r="G1452" s="67"/>
      <c r="H1452" s="67"/>
      <c r="I1452" s="67"/>
      <c r="J1452" s="68"/>
      <c r="K1452" s="68"/>
    </row>
    <row r="1453" spans="1:34" x14ac:dyDescent="0.25">
      <c r="A1453" s="69"/>
      <c r="B1453" s="67"/>
      <c r="C1453" s="67"/>
      <c r="D1453" s="68"/>
      <c r="E1453" s="68"/>
      <c r="F1453" s="68"/>
      <c r="G1453" s="67"/>
      <c r="H1453" s="67"/>
      <c r="I1453" s="67"/>
      <c r="J1453" s="68"/>
      <c r="K1453" s="68"/>
    </row>
    <row r="1454" spans="1:34" x14ac:dyDescent="0.25">
      <c r="A1454" s="69"/>
      <c r="B1454" s="67"/>
      <c r="C1454" s="67"/>
      <c r="D1454" s="68"/>
      <c r="E1454" s="68"/>
      <c r="F1454" s="68"/>
      <c r="G1454" s="67"/>
      <c r="H1454" s="67"/>
      <c r="I1454" s="67"/>
      <c r="J1454" s="68"/>
      <c r="K1454" s="68"/>
    </row>
    <row r="1455" spans="1:34" x14ac:dyDescent="0.25">
      <c r="A1455" s="69"/>
      <c r="B1455" s="67"/>
      <c r="C1455" s="67"/>
      <c r="D1455" s="68"/>
      <c r="E1455" s="68"/>
      <c r="F1455" s="68"/>
      <c r="G1455" s="67"/>
      <c r="H1455" s="67"/>
      <c r="I1455" s="67"/>
      <c r="J1455" s="68"/>
      <c r="K1455" s="68"/>
    </row>
    <row r="1456" spans="1:34" x14ac:dyDescent="0.25">
      <c r="A1456" s="69"/>
      <c r="B1456" s="67"/>
      <c r="C1456" s="67"/>
      <c r="D1456" s="68"/>
      <c r="E1456" s="68"/>
      <c r="F1456" s="68"/>
      <c r="G1456" s="67"/>
      <c r="H1456" s="67"/>
      <c r="I1456" s="67"/>
      <c r="J1456" s="68"/>
      <c r="K1456" s="68"/>
    </row>
    <row r="1457" spans="1:11" x14ac:dyDescent="0.25">
      <c r="A1457" s="69"/>
      <c r="B1457" s="67"/>
      <c r="C1457" s="67"/>
      <c r="D1457" s="68"/>
      <c r="E1457" s="68"/>
      <c r="F1457" s="68"/>
      <c r="G1457" s="67"/>
      <c r="H1457" s="67"/>
      <c r="I1457" s="67"/>
      <c r="J1457" s="68"/>
      <c r="K1457" s="68"/>
    </row>
    <row r="1458" spans="1:11" x14ac:dyDescent="0.25">
      <c r="A1458" s="69"/>
      <c r="B1458" s="67"/>
      <c r="C1458" s="67"/>
      <c r="D1458" s="68"/>
      <c r="E1458" s="68"/>
      <c r="F1458" s="68"/>
      <c r="G1458" s="67"/>
      <c r="H1458" s="67"/>
      <c r="I1458" s="67"/>
      <c r="J1458" s="68"/>
      <c r="K1458" s="68"/>
    </row>
    <row r="1459" spans="1:11" x14ac:dyDescent="0.25">
      <c r="A1459" s="69"/>
      <c r="B1459" s="67"/>
      <c r="C1459" s="67"/>
      <c r="D1459" s="68"/>
      <c r="E1459" s="68"/>
      <c r="F1459" s="68"/>
      <c r="G1459" s="67"/>
      <c r="H1459" s="67"/>
      <c r="I1459" s="67"/>
      <c r="J1459" s="68"/>
      <c r="K1459" s="68"/>
    </row>
    <row r="1460" spans="1:11" x14ac:dyDescent="0.25">
      <c r="A1460" s="69"/>
      <c r="B1460" s="67"/>
      <c r="C1460" s="67"/>
      <c r="D1460" s="68"/>
      <c r="E1460" s="68"/>
      <c r="F1460" s="68"/>
      <c r="G1460" s="67"/>
      <c r="H1460" s="67"/>
      <c r="I1460" s="67"/>
      <c r="J1460" s="68"/>
      <c r="K1460" s="68"/>
    </row>
    <row r="1461" spans="1:11" x14ac:dyDescent="0.25">
      <c r="A1461" s="69"/>
      <c r="B1461" s="67"/>
      <c r="C1461" s="67"/>
      <c r="D1461" s="68"/>
      <c r="E1461" s="68"/>
      <c r="F1461" s="68"/>
      <c r="G1461" s="67"/>
      <c r="H1461" s="67"/>
      <c r="I1461" s="67"/>
      <c r="J1461" s="68"/>
      <c r="K1461" s="68"/>
    </row>
    <row r="1462" spans="1:11" x14ac:dyDescent="0.25">
      <c r="A1462" s="69"/>
      <c r="B1462" s="67"/>
      <c r="C1462" s="67"/>
      <c r="D1462" s="68"/>
      <c r="E1462" s="68"/>
      <c r="F1462" s="68"/>
      <c r="G1462" s="67"/>
      <c r="H1462" s="67"/>
      <c r="I1462" s="67"/>
      <c r="J1462" s="68"/>
      <c r="K1462" s="68"/>
    </row>
    <row r="1463" spans="1:11" x14ac:dyDescent="0.25">
      <c r="A1463" s="69"/>
      <c r="B1463" s="67"/>
      <c r="C1463" s="67"/>
      <c r="D1463" s="68"/>
      <c r="E1463" s="68"/>
      <c r="F1463" s="68"/>
      <c r="G1463" s="67"/>
      <c r="H1463" s="67"/>
      <c r="I1463" s="67"/>
      <c r="J1463" s="68"/>
      <c r="K1463" s="68"/>
    </row>
    <row r="1464" spans="1:11" x14ac:dyDescent="0.25">
      <c r="A1464" s="69"/>
      <c r="B1464" s="67"/>
      <c r="C1464" s="67"/>
      <c r="D1464" s="70"/>
      <c r="E1464" s="70"/>
      <c r="F1464" s="70"/>
      <c r="G1464" s="67"/>
      <c r="H1464" s="67"/>
      <c r="I1464" s="67"/>
      <c r="J1464" s="68"/>
      <c r="K1464" s="68"/>
    </row>
    <row r="1465" spans="1:11" x14ac:dyDescent="0.25">
      <c r="A1465" s="69"/>
      <c r="B1465" s="67"/>
      <c r="C1465" s="67"/>
      <c r="D1465" s="70"/>
      <c r="E1465" s="70"/>
      <c r="F1465" s="70"/>
      <c r="G1465" s="67"/>
      <c r="H1465" s="67"/>
      <c r="I1465" s="67"/>
      <c r="J1465" s="68"/>
      <c r="K1465" s="68"/>
    </row>
    <row r="1466" spans="1:11" x14ac:dyDescent="0.25">
      <c r="A1466" s="69"/>
      <c r="B1466" s="67"/>
      <c r="C1466" s="67"/>
      <c r="D1466" s="70"/>
      <c r="E1466" s="70"/>
      <c r="F1466" s="70"/>
      <c r="G1466" s="67"/>
      <c r="H1466" s="67"/>
      <c r="I1466" s="67"/>
      <c r="J1466" s="68"/>
      <c r="K1466" s="68"/>
    </row>
    <row r="1467" spans="1:11" x14ac:dyDescent="0.25">
      <c r="A1467" s="69"/>
      <c r="B1467" s="67"/>
      <c r="C1467" s="67"/>
      <c r="D1467" s="68"/>
      <c r="E1467" s="68"/>
      <c r="F1467" s="68"/>
      <c r="G1467" s="67"/>
      <c r="H1467" s="67"/>
      <c r="I1467" s="67"/>
      <c r="J1467" s="68"/>
      <c r="K1467" s="68"/>
    </row>
    <row r="1468" spans="1:11" x14ac:dyDescent="0.25">
      <c r="A1468" s="69"/>
      <c r="B1468" s="67"/>
      <c r="C1468" s="67"/>
      <c r="D1468" s="68"/>
      <c r="E1468" s="68"/>
      <c r="F1468" s="68"/>
      <c r="G1468" s="67"/>
      <c r="H1468" s="67"/>
      <c r="I1468" s="67"/>
      <c r="J1468" s="68"/>
      <c r="K1468" s="68"/>
    </row>
    <row r="1469" spans="1:11" x14ac:dyDescent="0.25">
      <c r="A1469" s="69"/>
      <c r="B1469" s="67"/>
      <c r="C1469" s="67"/>
      <c r="D1469" s="68"/>
      <c r="E1469" s="68"/>
      <c r="F1469" s="68"/>
      <c r="G1469" s="67"/>
      <c r="H1469" s="67"/>
      <c r="I1469" s="67"/>
      <c r="J1469" s="68"/>
      <c r="K1469" s="68"/>
    </row>
    <row r="1470" spans="1:11" x14ac:dyDescent="0.25">
      <c r="A1470" s="69"/>
      <c r="B1470" s="67"/>
      <c r="C1470" s="67"/>
      <c r="D1470" s="68"/>
      <c r="E1470" s="68"/>
      <c r="F1470" s="68"/>
      <c r="G1470" s="67"/>
      <c r="H1470" s="67"/>
      <c r="I1470" s="67"/>
      <c r="J1470" s="68"/>
      <c r="K1470" s="68"/>
    </row>
    <row r="1471" spans="1:11" x14ac:dyDescent="0.25">
      <c r="A1471" s="69"/>
      <c r="B1471" s="67"/>
      <c r="C1471" s="67"/>
      <c r="D1471" s="68"/>
      <c r="E1471" s="68"/>
      <c r="F1471" s="68"/>
      <c r="G1471" s="67"/>
      <c r="H1471" s="67"/>
      <c r="I1471" s="67"/>
      <c r="J1471" s="68"/>
      <c r="K1471" s="68"/>
    </row>
    <row r="1472" spans="1:11" x14ac:dyDescent="0.25">
      <c r="A1472" s="69"/>
      <c r="B1472" s="67"/>
      <c r="C1472" s="67"/>
      <c r="D1472" s="68"/>
      <c r="E1472" s="68"/>
      <c r="F1472" s="68"/>
      <c r="G1472" s="67"/>
      <c r="H1472" s="67"/>
      <c r="I1472" s="67"/>
      <c r="J1472" s="68"/>
      <c r="K1472" s="68"/>
    </row>
    <row r="1473" spans="1:11" x14ac:dyDescent="0.25">
      <c r="A1473" s="69"/>
      <c r="B1473" s="67"/>
      <c r="C1473" s="67"/>
      <c r="D1473" s="68"/>
      <c r="E1473" s="68"/>
      <c r="F1473" s="68"/>
      <c r="G1473" s="67"/>
      <c r="H1473" s="67"/>
      <c r="I1473" s="67"/>
      <c r="J1473" s="68"/>
      <c r="K1473" s="68"/>
    </row>
    <row r="1474" spans="1:11" x14ac:dyDescent="0.25">
      <c r="A1474" s="69"/>
      <c r="B1474" s="67"/>
      <c r="C1474" s="67"/>
      <c r="D1474" s="68"/>
      <c r="E1474" s="68"/>
      <c r="F1474" s="68"/>
      <c r="G1474" s="67"/>
      <c r="H1474" s="67"/>
      <c r="I1474" s="67"/>
      <c r="J1474" s="68"/>
      <c r="K1474" s="68"/>
    </row>
    <row r="1475" spans="1:11" x14ac:dyDescent="0.25">
      <c r="A1475" s="69"/>
      <c r="B1475" s="67"/>
      <c r="C1475" s="67"/>
      <c r="D1475" s="68"/>
      <c r="E1475" s="68"/>
      <c r="F1475" s="68"/>
      <c r="G1475" s="67"/>
      <c r="H1475" s="67"/>
      <c r="I1475" s="67"/>
      <c r="J1475" s="68"/>
      <c r="K1475" s="68"/>
    </row>
    <row r="1476" spans="1:11" x14ac:dyDescent="0.25">
      <c r="A1476" s="69"/>
      <c r="B1476" s="67"/>
      <c r="C1476" s="67"/>
      <c r="D1476" s="68"/>
      <c r="E1476" s="68"/>
      <c r="F1476" s="68"/>
      <c r="G1476" s="67"/>
      <c r="H1476" s="67"/>
      <c r="I1476" s="67"/>
      <c r="J1476" s="68"/>
      <c r="K1476" s="68"/>
    </row>
    <row r="1477" spans="1:11" x14ac:dyDescent="0.25">
      <c r="A1477" s="69"/>
      <c r="B1477" s="67"/>
      <c r="C1477" s="67"/>
      <c r="D1477" s="68"/>
      <c r="E1477" s="68"/>
      <c r="F1477" s="68"/>
      <c r="G1477" s="67"/>
      <c r="H1477" s="67"/>
      <c r="I1477" s="67"/>
      <c r="J1477" s="68"/>
      <c r="K1477" s="68"/>
    </row>
    <row r="1478" spans="1:11" x14ac:dyDescent="0.25">
      <c r="A1478" s="69"/>
      <c r="B1478" s="67"/>
      <c r="C1478" s="67"/>
      <c r="D1478" s="68"/>
      <c r="E1478" s="68"/>
      <c r="F1478" s="68"/>
      <c r="G1478" s="67"/>
      <c r="H1478" s="67"/>
      <c r="I1478" s="67"/>
      <c r="J1478" s="68"/>
      <c r="K1478" s="68"/>
    </row>
    <row r="1479" spans="1:11" x14ac:dyDescent="0.25">
      <c r="A1479" s="69"/>
      <c r="B1479" s="67"/>
      <c r="C1479" s="67"/>
      <c r="D1479" s="68"/>
      <c r="E1479" s="68"/>
      <c r="F1479" s="68"/>
      <c r="G1479" s="67"/>
      <c r="H1479" s="67"/>
      <c r="I1479" s="67"/>
      <c r="J1479" s="68"/>
      <c r="K1479" s="68"/>
    </row>
    <row r="1480" spans="1:11" x14ac:dyDescent="0.25">
      <c r="A1480" s="69"/>
      <c r="B1480" s="67"/>
      <c r="C1480" s="67"/>
      <c r="D1480" s="68"/>
      <c r="E1480" s="68"/>
      <c r="F1480" s="68"/>
      <c r="G1480" s="67"/>
      <c r="H1480" s="67"/>
      <c r="I1480" s="67"/>
      <c r="J1480" s="68"/>
      <c r="K1480" s="68"/>
    </row>
    <row r="1481" spans="1:11" x14ac:dyDescent="0.25">
      <c r="A1481" s="69"/>
      <c r="B1481" s="67"/>
      <c r="C1481" s="67"/>
      <c r="D1481" s="68"/>
      <c r="E1481" s="68"/>
      <c r="F1481" s="68"/>
      <c r="G1481" s="67"/>
      <c r="H1481" s="67"/>
      <c r="I1481" s="67"/>
      <c r="J1481" s="68"/>
      <c r="K1481" s="68"/>
    </row>
    <row r="1482" spans="1:11" x14ac:dyDescent="0.25">
      <c r="A1482" s="69"/>
      <c r="B1482" s="67"/>
      <c r="C1482" s="67"/>
      <c r="D1482" s="68"/>
      <c r="E1482" s="68"/>
      <c r="F1482" s="68"/>
      <c r="G1482" s="67"/>
      <c r="H1482" s="67"/>
      <c r="I1482" s="67"/>
      <c r="J1482" s="68"/>
      <c r="K1482" s="68"/>
    </row>
    <row r="1483" spans="1:11" x14ac:dyDescent="0.25">
      <c r="A1483" s="69"/>
      <c r="B1483" s="67"/>
      <c r="C1483" s="67"/>
      <c r="D1483" s="68"/>
      <c r="E1483" s="68"/>
      <c r="F1483" s="68"/>
      <c r="G1483" s="67"/>
      <c r="H1483" s="67"/>
      <c r="I1483" s="67"/>
      <c r="J1483" s="68"/>
      <c r="K1483" s="68"/>
    </row>
    <row r="1484" spans="1:11" x14ac:dyDescent="0.25">
      <c r="A1484" s="69"/>
      <c r="B1484" s="67"/>
      <c r="C1484" s="67"/>
      <c r="D1484" s="68"/>
      <c r="E1484" s="68"/>
      <c r="F1484" s="68"/>
      <c r="G1484" s="67"/>
      <c r="H1484" s="67"/>
      <c r="I1484" s="67"/>
      <c r="J1484" s="68"/>
      <c r="K1484" s="68"/>
    </row>
    <row r="1485" spans="1:11" x14ac:dyDescent="0.25">
      <c r="A1485" s="69"/>
      <c r="B1485" s="67"/>
      <c r="C1485" s="67"/>
      <c r="D1485" s="68"/>
      <c r="E1485" s="68"/>
      <c r="F1485" s="68"/>
      <c r="G1485" s="67"/>
      <c r="H1485" s="67"/>
      <c r="I1485" s="67"/>
      <c r="J1485" s="68"/>
      <c r="K1485" s="68"/>
    </row>
    <row r="1486" spans="1:11" x14ac:dyDescent="0.25">
      <c r="A1486" s="69"/>
      <c r="B1486" s="67"/>
      <c r="C1486" s="67"/>
      <c r="D1486" s="68"/>
      <c r="E1486" s="68"/>
      <c r="F1486" s="68"/>
      <c r="G1486" s="67"/>
      <c r="H1486" s="67"/>
      <c r="I1486" s="67"/>
      <c r="J1486" s="68"/>
      <c r="K1486" s="68"/>
    </row>
    <row r="1487" spans="1:11" x14ac:dyDescent="0.25">
      <c r="A1487" s="69"/>
      <c r="B1487" s="67"/>
      <c r="C1487" s="67"/>
      <c r="D1487" s="68"/>
      <c r="E1487" s="68"/>
      <c r="F1487" s="68"/>
      <c r="G1487" s="67"/>
      <c r="H1487" s="67"/>
      <c r="I1487" s="67"/>
      <c r="J1487" s="68"/>
      <c r="K1487" s="68"/>
    </row>
    <row r="1488" spans="1:11" x14ac:dyDescent="0.25">
      <c r="A1488" s="69"/>
      <c r="B1488" s="67"/>
      <c r="C1488" s="67"/>
      <c r="D1488" s="70"/>
      <c r="E1488" s="70"/>
      <c r="F1488" s="70"/>
      <c r="G1488" s="67"/>
      <c r="H1488" s="67"/>
      <c r="I1488" s="67"/>
      <c r="J1488" s="68"/>
      <c r="K1488" s="68"/>
    </row>
    <row r="1489" spans="1:11" x14ac:dyDescent="0.25">
      <c r="A1489" s="69"/>
      <c r="B1489" s="67"/>
      <c r="C1489" s="67"/>
      <c r="D1489" s="70"/>
      <c r="E1489" s="70"/>
      <c r="F1489" s="70"/>
      <c r="G1489" s="67"/>
      <c r="H1489" s="67"/>
      <c r="I1489" s="67"/>
      <c r="J1489" s="68"/>
      <c r="K1489" s="68"/>
    </row>
    <row r="1490" spans="1:11" x14ac:dyDescent="0.25">
      <c r="A1490" s="69"/>
      <c r="B1490" s="67"/>
      <c r="C1490" s="67"/>
      <c r="D1490" s="70"/>
      <c r="E1490" s="70"/>
      <c r="F1490" s="70"/>
      <c r="G1490" s="67"/>
      <c r="H1490" s="67"/>
      <c r="I1490" s="67"/>
      <c r="J1490" s="68"/>
      <c r="K1490" s="68"/>
    </row>
    <row r="1491" spans="1:11" x14ac:dyDescent="0.25">
      <c r="A1491" s="69"/>
      <c r="B1491" s="67"/>
      <c r="C1491" s="67"/>
      <c r="D1491" s="68"/>
      <c r="E1491" s="68"/>
      <c r="F1491" s="68"/>
      <c r="G1491" s="67"/>
      <c r="H1491" s="67"/>
      <c r="I1491" s="67"/>
      <c r="J1491" s="68"/>
      <c r="K1491" s="68"/>
    </row>
    <row r="1492" spans="1:11" x14ac:dyDescent="0.25">
      <c r="A1492" s="69"/>
      <c r="B1492" s="67"/>
      <c r="C1492" s="67"/>
      <c r="D1492" s="68"/>
      <c r="E1492" s="68"/>
      <c r="F1492" s="68"/>
      <c r="G1492" s="67"/>
      <c r="H1492" s="67"/>
      <c r="I1492" s="67"/>
      <c r="J1492" s="68"/>
      <c r="K1492" s="68"/>
    </row>
    <row r="1493" spans="1:11" x14ac:dyDescent="0.25">
      <c r="A1493" s="69"/>
      <c r="B1493" s="67"/>
      <c r="C1493" s="67"/>
      <c r="D1493" s="68"/>
      <c r="E1493" s="68"/>
      <c r="F1493" s="68"/>
      <c r="G1493" s="67"/>
      <c r="H1493" s="67"/>
      <c r="I1493" s="67"/>
      <c r="J1493" s="68"/>
      <c r="K1493" s="68"/>
    </row>
    <row r="1494" spans="1:11" x14ac:dyDescent="0.25">
      <c r="A1494" s="69"/>
      <c r="B1494" s="67"/>
      <c r="C1494" s="67"/>
      <c r="D1494" s="68"/>
      <c r="E1494" s="68"/>
      <c r="F1494" s="68"/>
      <c r="G1494" s="67"/>
      <c r="H1494" s="67"/>
      <c r="I1494" s="67"/>
      <c r="J1494" s="68"/>
      <c r="K1494" s="68"/>
    </row>
    <row r="1495" spans="1:11" x14ac:dyDescent="0.25">
      <c r="A1495" s="69"/>
      <c r="B1495" s="67"/>
      <c r="C1495" s="67"/>
      <c r="D1495" s="68"/>
      <c r="E1495" s="68"/>
      <c r="F1495" s="68"/>
      <c r="G1495" s="67"/>
      <c r="H1495" s="67"/>
      <c r="I1495" s="67"/>
      <c r="J1495" s="68"/>
      <c r="K1495" s="68"/>
    </row>
    <row r="1496" spans="1:11" x14ac:dyDescent="0.25">
      <c r="A1496" s="69"/>
      <c r="B1496" s="67"/>
      <c r="C1496" s="67"/>
      <c r="D1496" s="68"/>
      <c r="E1496" s="68"/>
      <c r="F1496" s="68"/>
      <c r="G1496" s="67"/>
      <c r="H1496" s="67"/>
      <c r="I1496" s="67"/>
      <c r="J1496" s="68"/>
      <c r="K1496" s="68"/>
    </row>
    <row r="1497" spans="1:11" x14ac:dyDescent="0.25">
      <c r="A1497" s="69"/>
      <c r="B1497" s="67"/>
      <c r="C1497" s="67"/>
      <c r="D1497" s="68"/>
      <c r="E1497" s="68"/>
      <c r="F1497" s="68"/>
      <c r="G1497" s="67"/>
      <c r="H1497" s="67"/>
      <c r="I1497" s="67"/>
      <c r="J1497" s="68"/>
      <c r="K1497" s="68"/>
    </row>
    <row r="1498" spans="1:11" x14ac:dyDescent="0.25">
      <c r="A1498" s="69"/>
      <c r="B1498" s="67"/>
      <c r="C1498" s="67"/>
      <c r="D1498" s="68"/>
      <c r="E1498" s="68"/>
      <c r="F1498" s="68"/>
      <c r="G1498" s="67"/>
      <c r="H1498" s="67"/>
      <c r="I1498" s="67"/>
      <c r="J1498" s="68"/>
      <c r="K1498" s="68"/>
    </row>
    <row r="1499" spans="1:11" x14ac:dyDescent="0.25">
      <c r="A1499" s="69"/>
      <c r="B1499" s="67"/>
      <c r="C1499" s="67"/>
      <c r="D1499" s="68"/>
      <c r="E1499" s="68"/>
      <c r="F1499" s="68"/>
      <c r="G1499" s="67"/>
      <c r="H1499" s="67"/>
      <c r="I1499" s="67"/>
      <c r="J1499" s="68"/>
      <c r="K1499" s="68"/>
    </row>
    <row r="1500" spans="1:11" x14ac:dyDescent="0.25">
      <c r="A1500" s="69"/>
      <c r="B1500" s="67"/>
      <c r="C1500" s="67"/>
      <c r="D1500" s="68"/>
      <c r="E1500" s="68"/>
      <c r="F1500" s="68"/>
      <c r="G1500" s="67"/>
      <c r="H1500" s="67"/>
      <c r="I1500" s="67"/>
      <c r="J1500" s="68"/>
      <c r="K1500" s="68"/>
    </row>
    <row r="1501" spans="1:11" x14ac:dyDescent="0.25">
      <c r="A1501" s="69"/>
      <c r="B1501" s="67"/>
      <c r="C1501" s="67"/>
      <c r="D1501" s="68"/>
      <c r="E1501" s="68"/>
      <c r="F1501" s="68"/>
      <c r="G1501" s="67"/>
      <c r="H1501" s="67"/>
      <c r="I1501" s="67"/>
      <c r="J1501" s="68"/>
      <c r="K1501" s="68"/>
    </row>
    <row r="1502" spans="1:11" x14ac:dyDescent="0.25">
      <c r="A1502" s="69"/>
      <c r="B1502" s="67"/>
      <c r="C1502" s="67"/>
      <c r="D1502" s="68"/>
      <c r="E1502" s="68"/>
      <c r="F1502" s="68"/>
      <c r="G1502" s="67"/>
      <c r="H1502" s="67"/>
      <c r="I1502" s="67"/>
      <c r="J1502" s="68"/>
      <c r="K1502" s="68"/>
    </row>
    <row r="1503" spans="1:11" x14ac:dyDescent="0.25">
      <c r="A1503" s="69"/>
      <c r="B1503" s="67"/>
      <c r="C1503" s="67"/>
      <c r="D1503" s="68"/>
      <c r="E1503" s="68"/>
      <c r="F1503" s="68"/>
      <c r="G1503" s="67"/>
      <c r="H1503" s="67"/>
      <c r="I1503" s="67"/>
      <c r="J1503" s="68"/>
      <c r="K1503" s="68"/>
    </row>
    <row r="1504" spans="1:11" x14ac:dyDescent="0.25">
      <c r="A1504" s="69"/>
      <c r="B1504" s="67"/>
      <c r="C1504" s="67"/>
      <c r="D1504" s="68"/>
      <c r="E1504" s="68"/>
      <c r="F1504" s="68"/>
      <c r="G1504" s="67"/>
      <c r="H1504" s="67"/>
      <c r="I1504" s="67"/>
      <c r="J1504" s="68"/>
      <c r="K1504" s="68"/>
    </row>
    <row r="1505" spans="1:11" x14ac:dyDescent="0.25">
      <c r="A1505" s="69"/>
      <c r="B1505" s="67"/>
      <c r="C1505" s="67"/>
      <c r="D1505" s="68"/>
      <c r="E1505" s="68"/>
      <c r="F1505" s="68"/>
      <c r="G1505" s="67"/>
      <c r="H1505" s="67"/>
      <c r="I1505" s="67"/>
      <c r="J1505" s="68"/>
      <c r="K1505" s="68"/>
    </row>
    <row r="1506" spans="1:11" x14ac:dyDescent="0.25">
      <c r="A1506" s="69"/>
      <c r="B1506" s="67"/>
      <c r="C1506" s="67"/>
      <c r="D1506" s="68"/>
      <c r="E1506" s="68"/>
      <c r="F1506" s="68"/>
      <c r="G1506" s="67"/>
      <c r="H1506" s="67"/>
      <c r="I1506" s="67"/>
      <c r="J1506" s="68"/>
      <c r="K1506" s="68"/>
    </row>
    <row r="1507" spans="1:11" x14ac:dyDescent="0.25">
      <c r="A1507" s="69"/>
      <c r="B1507" s="67"/>
      <c r="C1507" s="67"/>
      <c r="D1507" s="68"/>
      <c r="E1507" s="68"/>
      <c r="F1507" s="68"/>
      <c r="G1507" s="67"/>
      <c r="H1507" s="67"/>
      <c r="I1507" s="67"/>
      <c r="J1507" s="68"/>
      <c r="K1507" s="68"/>
    </row>
    <row r="1508" spans="1:11" x14ac:dyDescent="0.25">
      <c r="A1508" s="69"/>
      <c r="B1508" s="67"/>
      <c r="C1508" s="67"/>
      <c r="D1508" s="68"/>
      <c r="E1508" s="68"/>
      <c r="F1508" s="68"/>
      <c r="G1508" s="67"/>
      <c r="H1508" s="67"/>
      <c r="I1508" s="67"/>
      <c r="J1508" s="68"/>
      <c r="K1508" s="68"/>
    </row>
    <row r="1509" spans="1:11" x14ac:dyDescent="0.25">
      <c r="A1509" s="69"/>
      <c r="B1509" s="67"/>
      <c r="C1509" s="67"/>
      <c r="D1509" s="68"/>
      <c r="E1509" s="68"/>
      <c r="F1509" s="68"/>
      <c r="G1509" s="67"/>
      <c r="H1509" s="67"/>
      <c r="I1509" s="67"/>
      <c r="J1509" s="68"/>
      <c r="K1509" s="68"/>
    </row>
    <row r="1510" spans="1:11" x14ac:dyDescent="0.25">
      <c r="A1510" s="69"/>
      <c r="B1510" s="67"/>
      <c r="C1510" s="67"/>
      <c r="D1510" s="68"/>
      <c r="E1510" s="68"/>
      <c r="F1510" s="68"/>
      <c r="G1510" s="67"/>
      <c r="H1510" s="67"/>
      <c r="I1510" s="67"/>
      <c r="J1510" s="68"/>
      <c r="K1510" s="68"/>
    </row>
    <row r="1511" spans="1:11" x14ac:dyDescent="0.25">
      <c r="A1511" s="69"/>
      <c r="B1511" s="67"/>
      <c r="C1511" s="67"/>
      <c r="D1511" s="68"/>
      <c r="E1511" s="68"/>
      <c r="F1511" s="68"/>
      <c r="G1511" s="67"/>
      <c r="H1511" s="67"/>
      <c r="I1511" s="67"/>
      <c r="J1511" s="68"/>
      <c r="K1511" s="68"/>
    </row>
    <row r="1512" spans="1:11" x14ac:dyDescent="0.25">
      <c r="A1512" s="69"/>
      <c r="B1512" s="67"/>
      <c r="C1512" s="67"/>
      <c r="D1512" s="70"/>
      <c r="E1512" s="70"/>
      <c r="F1512" s="70"/>
      <c r="G1512" s="67"/>
      <c r="H1512" s="67"/>
      <c r="I1512" s="67"/>
      <c r="J1512" s="68"/>
      <c r="K1512" s="68"/>
    </row>
    <row r="1513" spans="1:11" x14ac:dyDescent="0.25">
      <c r="A1513" s="69"/>
      <c r="B1513" s="67"/>
      <c r="C1513" s="67"/>
      <c r="D1513" s="70"/>
      <c r="E1513" s="70"/>
      <c r="F1513" s="70"/>
      <c r="G1513" s="67"/>
      <c r="H1513" s="67"/>
      <c r="I1513" s="67"/>
      <c r="J1513" s="68"/>
      <c r="K1513" s="68"/>
    </row>
    <row r="1514" spans="1:11" x14ac:dyDescent="0.25">
      <c r="A1514" s="69"/>
      <c r="B1514" s="67"/>
      <c r="C1514" s="67"/>
      <c r="D1514" s="70"/>
      <c r="E1514" s="70"/>
      <c r="F1514" s="70"/>
      <c r="G1514" s="67"/>
      <c r="H1514" s="67"/>
      <c r="I1514" s="67"/>
      <c r="J1514" s="68"/>
      <c r="K1514" s="68"/>
    </row>
    <row r="1515" spans="1:11" x14ac:dyDescent="0.25">
      <c r="A1515" s="69"/>
      <c r="B1515" s="67"/>
      <c r="C1515" s="67"/>
      <c r="D1515" s="68"/>
      <c r="E1515" s="68"/>
      <c r="F1515" s="68"/>
      <c r="G1515" s="67"/>
      <c r="H1515" s="67"/>
      <c r="I1515" s="67"/>
      <c r="J1515" s="68"/>
      <c r="K1515" s="68"/>
    </row>
    <row r="1516" spans="1:11" x14ac:dyDescent="0.25">
      <c r="A1516" s="69"/>
      <c r="B1516" s="67"/>
      <c r="C1516" s="67"/>
      <c r="D1516" s="68"/>
      <c r="E1516" s="68"/>
      <c r="F1516" s="68"/>
      <c r="G1516" s="67"/>
      <c r="H1516" s="67"/>
      <c r="I1516" s="67"/>
      <c r="J1516" s="68"/>
      <c r="K1516" s="68"/>
    </row>
    <row r="1517" spans="1:11" x14ac:dyDescent="0.25">
      <c r="A1517" s="69"/>
      <c r="B1517" s="67"/>
      <c r="C1517" s="67"/>
      <c r="D1517" s="68"/>
      <c r="E1517" s="68"/>
      <c r="F1517" s="68"/>
      <c r="G1517" s="67"/>
      <c r="H1517" s="67"/>
      <c r="I1517" s="67"/>
      <c r="J1517" s="68"/>
      <c r="K1517" s="68"/>
    </row>
    <row r="1518" spans="1:11" x14ac:dyDescent="0.25">
      <c r="A1518" s="69"/>
      <c r="B1518" s="67"/>
      <c r="C1518" s="67"/>
      <c r="D1518" s="68"/>
      <c r="E1518" s="68"/>
      <c r="F1518" s="68"/>
      <c r="G1518" s="67"/>
      <c r="H1518" s="67"/>
      <c r="I1518" s="67"/>
      <c r="J1518" s="68"/>
      <c r="K1518" s="68"/>
    </row>
    <row r="1519" spans="1:11" x14ac:dyDescent="0.25">
      <c r="A1519" s="69"/>
      <c r="B1519" s="67"/>
      <c r="C1519" s="67"/>
      <c r="D1519" s="68"/>
      <c r="E1519" s="68"/>
      <c r="F1519" s="68"/>
      <c r="G1519" s="67"/>
      <c r="H1519" s="67"/>
      <c r="I1519" s="67"/>
      <c r="J1519" s="68"/>
      <c r="K1519" s="68"/>
    </row>
    <row r="1520" spans="1:11" x14ac:dyDescent="0.25">
      <c r="A1520" s="69"/>
      <c r="B1520" s="67"/>
      <c r="C1520" s="67"/>
      <c r="D1520" s="68"/>
      <c r="E1520" s="68"/>
      <c r="F1520" s="68"/>
      <c r="G1520" s="67"/>
      <c r="H1520" s="67"/>
      <c r="I1520" s="67"/>
      <c r="J1520" s="68"/>
      <c r="K1520" s="68"/>
    </row>
    <row r="1521" spans="1:11" x14ac:dyDescent="0.25">
      <c r="A1521" s="69"/>
      <c r="B1521" s="67"/>
      <c r="C1521" s="67"/>
      <c r="D1521" s="68"/>
      <c r="E1521" s="68"/>
      <c r="F1521" s="68"/>
      <c r="G1521" s="67"/>
      <c r="H1521" s="67"/>
      <c r="I1521" s="67"/>
      <c r="J1521" s="68"/>
      <c r="K1521" s="68"/>
    </row>
    <row r="1522" spans="1:11" x14ac:dyDescent="0.25">
      <c r="A1522" s="69"/>
      <c r="B1522" s="67"/>
      <c r="C1522" s="67"/>
      <c r="D1522" s="68"/>
      <c r="E1522" s="68"/>
      <c r="F1522" s="68"/>
      <c r="G1522" s="67"/>
      <c r="H1522" s="67"/>
      <c r="I1522" s="67"/>
      <c r="J1522" s="68"/>
      <c r="K1522" s="68"/>
    </row>
    <row r="1523" spans="1:11" x14ac:dyDescent="0.25">
      <c r="A1523" s="69"/>
      <c r="B1523" s="67"/>
      <c r="C1523" s="67"/>
      <c r="D1523" s="68"/>
      <c r="E1523" s="68"/>
      <c r="F1523" s="68"/>
      <c r="G1523" s="67"/>
      <c r="H1523" s="67"/>
      <c r="I1523" s="67"/>
      <c r="J1523" s="68"/>
      <c r="K1523" s="68"/>
    </row>
    <row r="1524" spans="1:11" x14ac:dyDescent="0.25">
      <c r="A1524" s="69"/>
      <c r="B1524" s="67"/>
      <c r="C1524" s="67"/>
      <c r="D1524" s="68"/>
      <c r="E1524" s="68"/>
      <c r="F1524" s="68"/>
      <c r="G1524" s="67"/>
      <c r="H1524" s="67"/>
      <c r="I1524" s="67"/>
      <c r="J1524" s="68"/>
      <c r="K1524" s="68"/>
    </row>
    <row r="1525" spans="1:11" x14ac:dyDescent="0.25">
      <c r="A1525" s="69"/>
      <c r="B1525" s="67"/>
      <c r="C1525" s="67"/>
      <c r="D1525" s="68"/>
      <c r="E1525" s="68"/>
      <c r="F1525" s="68"/>
      <c r="G1525" s="67"/>
      <c r="H1525" s="67"/>
      <c r="I1525" s="67"/>
      <c r="J1525" s="68"/>
      <c r="K1525" s="68"/>
    </row>
    <row r="1526" spans="1:11" x14ac:dyDescent="0.25">
      <c r="A1526" s="69"/>
      <c r="B1526" s="67"/>
      <c r="C1526" s="67"/>
      <c r="D1526" s="68"/>
      <c r="E1526" s="68"/>
      <c r="F1526" s="68"/>
      <c r="G1526" s="67"/>
      <c r="H1526" s="67"/>
      <c r="I1526" s="67"/>
      <c r="J1526" s="68"/>
      <c r="K1526" s="68"/>
    </row>
    <row r="1527" spans="1:11" x14ac:dyDescent="0.25">
      <c r="A1527" s="69"/>
      <c r="B1527" s="67"/>
      <c r="C1527" s="67"/>
      <c r="D1527" s="68"/>
      <c r="E1527" s="68"/>
      <c r="F1527" s="68"/>
      <c r="G1527" s="67"/>
      <c r="H1527" s="67"/>
      <c r="I1527" s="67"/>
      <c r="J1527" s="68"/>
      <c r="K1527" s="68"/>
    </row>
    <row r="1528" spans="1:11" x14ac:dyDescent="0.25">
      <c r="A1528" s="69"/>
      <c r="B1528" s="67"/>
      <c r="C1528" s="67"/>
      <c r="D1528" s="68"/>
      <c r="E1528" s="68"/>
      <c r="F1528" s="68"/>
      <c r="G1528" s="67"/>
      <c r="H1528" s="67"/>
      <c r="I1528" s="67"/>
      <c r="J1528" s="68"/>
      <c r="K1528" s="68"/>
    </row>
    <row r="1529" spans="1:11" x14ac:dyDescent="0.25">
      <c r="A1529" s="69"/>
      <c r="B1529" s="67"/>
      <c r="C1529" s="67"/>
      <c r="D1529" s="68"/>
      <c r="E1529" s="68"/>
      <c r="F1529" s="68"/>
      <c r="G1529" s="67"/>
      <c r="H1529" s="67"/>
      <c r="I1529" s="67"/>
      <c r="J1529" s="68"/>
      <c r="K1529" s="68"/>
    </row>
    <row r="1530" spans="1:11" x14ac:dyDescent="0.25">
      <c r="A1530" s="69"/>
      <c r="B1530" s="67"/>
      <c r="C1530" s="67"/>
      <c r="D1530" s="68"/>
      <c r="E1530" s="68"/>
      <c r="F1530" s="68"/>
      <c r="G1530" s="67"/>
      <c r="H1530" s="67"/>
      <c r="I1530" s="67"/>
      <c r="J1530" s="68"/>
      <c r="K1530" s="68"/>
    </row>
    <row r="1531" spans="1:11" x14ac:dyDescent="0.25">
      <c r="A1531" s="69"/>
      <c r="B1531" s="67"/>
      <c r="C1531" s="67"/>
      <c r="D1531" s="68"/>
      <c r="E1531" s="68"/>
      <c r="F1531" s="68"/>
      <c r="G1531" s="67"/>
      <c r="H1531" s="67"/>
      <c r="I1531" s="67"/>
      <c r="J1531" s="68"/>
      <c r="K1531" s="68"/>
    </row>
    <row r="1532" spans="1:11" x14ac:dyDescent="0.25">
      <c r="A1532" s="69"/>
      <c r="B1532" s="67"/>
      <c r="C1532" s="67"/>
      <c r="D1532" s="68"/>
      <c r="E1532" s="68"/>
      <c r="F1532" s="68"/>
      <c r="G1532" s="67"/>
      <c r="H1532" s="67"/>
      <c r="I1532" s="67"/>
      <c r="J1532" s="68"/>
      <c r="K1532" s="68"/>
    </row>
    <row r="1533" spans="1:11" x14ac:dyDescent="0.25">
      <c r="A1533" s="69"/>
      <c r="B1533" s="67"/>
      <c r="C1533" s="67"/>
      <c r="D1533" s="68"/>
      <c r="E1533" s="68"/>
      <c r="F1533" s="68"/>
      <c r="G1533" s="67"/>
      <c r="H1533" s="67"/>
      <c r="I1533" s="67"/>
      <c r="J1533" s="68"/>
      <c r="K1533" s="68"/>
    </row>
    <row r="1534" spans="1:11" x14ac:dyDescent="0.25">
      <c r="A1534" s="69"/>
      <c r="B1534" s="67"/>
      <c r="C1534" s="67"/>
      <c r="D1534" s="68"/>
      <c r="E1534" s="68"/>
      <c r="F1534" s="68"/>
      <c r="G1534" s="67"/>
      <c r="H1534" s="67"/>
      <c r="I1534" s="67"/>
      <c r="J1534" s="68"/>
      <c r="K1534" s="68"/>
    </row>
    <row r="1535" spans="1:11" x14ac:dyDescent="0.25">
      <c r="A1535" s="69"/>
      <c r="B1535" s="67"/>
      <c r="C1535" s="67"/>
      <c r="D1535" s="68"/>
      <c r="E1535" s="68"/>
      <c r="F1535" s="68"/>
      <c r="G1535" s="67"/>
      <c r="H1535" s="67"/>
      <c r="I1535" s="67"/>
      <c r="J1535" s="68"/>
      <c r="K1535" s="68"/>
    </row>
    <row r="1536" spans="1:11" x14ac:dyDescent="0.25">
      <c r="A1536" s="69"/>
      <c r="B1536" s="67"/>
      <c r="C1536" s="67"/>
      <c r="D1536" s="70"/>
      <c r="E1536" s="70"/>
      <c r="F1536" s="70"/>
      <c r="G1536" s="67"/>
      <c r="H1536" s="67"/>
      <c r="I1536" s="67"/>
      <c r="J1536" s="68"/>
      <c r="K1536" s="68"/>
    </row>
    <row r="1537" spans="1:11" x14ac:dyDescent="0.25">
      <c r="A1537" s="69"/>
      <c r="B1537" s="67"/>
      <c r="C1537" s="67"/>
      <c r="D1537" s="70"/>
      <c r="E1537" s="70"/>
      <c r="F1537" s="70"/>
      <c r="G1537" s="67"/>
      <c r="H1537" s="67"/>
      <c r="I1537" s="67"/>
      <c r="J1537" s="68"/>
      <c r="K1537" s="68"/>
    </row>
    <row r="1538" spans="1:11" x14ac:dyDescent="0.25">
      <c r="A1538" s="69"/>
      <c r="B1538" s="67"/>
      <c r="C1538" s="67"/>
      <c r="D1538" s="70"/>
      <c r="E1538" s="70"/>
      <c r="F1538" s="70"/>
      <c r="G1538" s="67"/>
      <c r="H1538" s="67"/>
      <c r="I1538" s="67"/>
      <c r="J1538" s="68"/>
      <c r="K1538" s="68"/>
    </row>
    <row r="1539" spans="1:11" x14ac:dyDescent="0.25">
      <c r="A1539" s="69"/>
      <c r="B1539" s="67"/>
      <c r="C1539" s="67"/>
      <c r="D1539" s="68"/>
      <c r="E1539" s="68"/>
      <c r="F1539" s="68"/>
      <c r="G1539" s="67"/>
      <c r="H1539" s="67"/>
      <c r="I1539" s="67"/>
      <c r="J1539" s="68"/>
      <c r="K1539" s="68"/>
    </row>
    <row r="1540" spans="1:11" x14ac:dyDescent="0.25">
      <c r="A1540" s="69"/>
      <c r="B1540" s="67"/>
      <c r="C1540" s="67"/>
      <c r="D1540" s="68"/>
      <c r="E1540" s="68"/>
      <c r="F1540" s="68"/>
      <c r="G1540" s="67"/>
      <c r="H1540" s="67"/>
      <c r="I1540" s="67"/>
      <c r="J1540" s="68"/>
      <c r="K1540" s="68"/>
    </row>
    <row r="1541" spans="1:11" x14ac:dyDescent="0.25">
      <c r="A1541" s="69"/>
      <c r="B1541" s="67"/>
      <c r="C1541" s="67"/>
      <c r="D1541" s="68"/>
      <c r="E1541" s="68"/>
      <c r="F1541" s="68"/>
      <c r="G1541" s="67"/>
      <c r="H1541" s="67"/>
      <c r="I1541" s="67"/>
      <c r="J1541" s="68"/>
      <c r="K1541" s="68"/>
    </row>
    <row r="1542" spans="1:11" x14ac:dyDescent="0.25">
      <c r="A1542" s="69"/>
      <c r="B1542" s="67"/>
      <c r="C1542" s="67"/>
      <c r="D1542" s="68"/>
      <c r="E1542" s="68"/>
      <c r="F1542" s="68"/>
      <c r="G1542" s="67"/>
      <c r="H1542" s="67"/>
      <c r="I1542" s="67"/>
      <c r="J1542" s="68"/>
      <c r="K1542" s="68"/>
    </row>
    <row r="1543" spans="1:11" x14ac:dyDescent="0.25">
      <c r="A1543" s="69"/>
      <c r="B1543" s="67"/>
      <c r="C1543" s="67"/>
      <c r="D1543" s="68"/>
      <c r="E1543" s="68"/>
      <c r="F1543" s="68"/>
      <c r="G1543" s="67"/>
      <c r="H1543" s="67"/>
      <c r="I1543" s="67"/>
      <c r="J1543" s="68"/>
      <c r="K1543" s="68"/>
    </row>
    <row r="1544" spans="1:11" x14ac:dyDescent="0.25">
      <c r="A1544" s="69"/>
      <c r="B1544" s="67"/>
      <c r="C1544" s="67"/>
      <c r="D1544" s="68"/>
      <c r="E1544" s="68"/>
      <c r="F1544" s="68"/>
      <c r="G1544" s="67"/>
      <c r="H1544" s="67"/>
      <c r="I1544" s="67"/>
      <c r="J1544" s="68"/>
      <c r="K1544" s="68"/>
    </row>
    <row r="1545" spans="1:11" x14ac:dyDescent="0.25">
      <c r="A1545" s="69"/>
      <c r="B1545" s="67"/>
      <c r="C1545" s="67"/>
      <c r="D1545" s="68"/>
      <c r="E1545" s="68"/>
      <c r="F1545" s="68"/>
      <c r="G1545" s="67"/>
      <c r="H1545" s="67"/>
      <c r="I1545" s="67"/>
      <c r="J1545" s="68"/>
      <c r="K1545" s="68"/>
    </row>
    <row r="1546" spans="1:11" x14ac:dyDescent="0.25">
      <c r="A1546" s="69"/>
      <c r="B1546" s="67"/>
      <c r="C1546" s="67"/>
      <c r="D1546" s="68"/>
      <c r="E1546" s="68"/>
      <c r="F1546" s="68"/>
      <c r="G1546" s="67"/>
      <c r="H1546" s="67"/>
      <c r="I1546" s="67"/>
      <c r="J1546" s="68"/>
      <c r="K1546" s="68"/>
    </row>
    <row r="1547" spans="1:11" x14ac:dyDescent="0.25">
      <c r="A1547" s="69"/>
      <c r="B1547" s="67"/>
      <c r="C1547" s="67"/>
      <c r="D1547" s="68"/>
      <c r="E1547" s="68"/>
      <c r="F1547" s="68"/>
      <c r="G1547" s="67"/>
      <c r="H1547" s="67"/>
      <c r="I1547" s="67"/>
      <c r="J1547" s="68"/>
      <c r="K1547" s="68"/>
    </row>
    <row r="1548" spans="1:11" x14ac:dyDescent="0.25">
      <c r="A1548" s="69"/>
      <c r="B1548" s="67"/>
      <c r="C1548" s="67"/>
      <c r="D1548" s="68"/>
      <c r="E1548" s="68"/>
      <c r="F1548" s="68"/>
      <c r="G1548" s="67"/>
      <c r="H1548" s="67"/>
      <c r="I1548" s="67"/>
      <c r="J1548" s="68"/>
      <c r="K1548" s="68"/>
    </row>
    <row r="1549" spans="1:11" x14ac:dyDescent="0.25">
      <c r="A1549" s="69"/>
      <c r="B1549" s="67"/>
      <c r="C1549" s="67"/>
      <c r="D1549" s="68"/>
      <c r="E1549" s="68"/>
      <c r="F1549" s="68"/>
      <c r="G1549" s="67"/>
      <c r="H1549" s="67"/>
      <c r="I1549" s="67"/>
      <c r="J1549" s="68"/>
      <c r="K1549" s="68"/>
    </row>
    <row r="1550" spans="1:11" x14ac:dyDescent="0.25">
      <c r="A1550" s="69"/>
      <c r="B1550" s="67"/>
      <c r="C1550" s="67"/>
      <c r="D1550" s="68"/>
      <c r="E1550" s="68"/>
      <c r="F1550" s="68"/>
      <c r="G1550" s="67"/>
      <c r="H1550" s="67"/>
      <c r="I1550" s="67"/>
      <c r="J1550" s="68"/>
      <c r="K1550" s="68"/>
    </row>
    <row r="1551" spans="1:11" x14ac:dyDescent="0.25">
      <c r="A1551" s="69"/>
      <c r="B1551" s="67"/>
      <c r="C1551" s="67"/>
      <c r="D1551" s="68"/>
      <c r="E1551" s="68"/>
      <c r="F1551" s="68"/>
      <c r="G1551" s="67"/>
      <c r="H1551" s="67"/>
      <c r="I1551" s="67"/>
      <c r="J1551" s="68"/>
      <c r="K1551" s="68"/>
    </row>
    <row r="1552" spans="1:11" x14ac:dyDescent="0.25">
      <c r="A1552" s="69"/>
      <c r="B1552" s="67"/>
      <c r="C1552" s="67"/>
      <c r="D1552" s="68"/>
      <c r="E1552" s="68"/>
      <c r="F1552" s="68"/>
      <c r="G1552" s="67"/>
      <c r="H1552" s="67"/>
      <c r="I1552" s="67"/>
      <c r="J1552" s="68"/>
      <c r="K1552" s="68"/>
    </row>
    <row r="1553" spans="1:11" x14ac:dyDescent="0.25">
      <c r="A1553" s="69"/>
      <c r="B1553" s="67"/>
      <c r="C1553" s="67"/>
      <c r="D1553" s="68"/>
      <c r="E1553" s="68"/>
      <c r="F1553" s="68"/>
      <c r="G1553" s="67"/>
      <c r="H1553" s="67"/>
      <c r="I1553" s="67"/>
      <c r="J1553" s="68"/>
      <c r="K1553" s="68"/>
    </row>
    <row r="1554" spans="1:11" x14ac:dyDescent="0.25">
      <c r="A1554" s="69"/>
      <c r="B1554" s="67"/>
      <c r="C1554" s="67"/>
      <c r="D1554" s="68"/>
      <c r="E1554" s="68"/>
      <c r="F1554" s="68"/>
      <c r="G1554" s="67"/>
      <c r="H1554" s="67"/>
      <c r="I1554" s="67"/>
      <c r="J1554" s="68"/>
      <c r="K1554" s="68"/>
    </row>
    <row r="1555" spans="1:11" x14ac:dyDescent="0.25">
      <c r="A1555" s="69"/>
      <c r="B1555" s="67"/>
      <c r="C1555" s="67"/>
      <c r="D1555" s="68"/>
      <c r="E1555" s="68"/>
      <c r="F1555" s="68"/>
      <c r="G1555" s="67"/>
      <c r="H1555" s="67"/>
      <c r="I1555" s="67"/>
      <c r="J1555" s="68"/>
      <c r="K1555" s="68"/>
    </row>
    <row r="1556" spans="1:11" x14ac:dyDescent="0.25">
      <c r="A1556" s="69"/>
      <c r="B1556" s="67"/>
      <c r="C1556" s="67"/>
      <c r="D1556" s="68"/>
      <c r="E1556" s="68"/>
      <c r="F1556" s="68"/>
      <c r="G1556" s="67"/>
      <c r="H1556" s="67"/>
      <c r="I1556" s="67"/>
      <c r="J1556" s="68"/>
      <c r="K1556" s="68"/>
    </row>
    <row r="1557" spans="1:11" x14ac:dyDescent="0.25">
      <c r="A1557" s="69"/>
      <c r="B1557" s="67"/>
      <c r="C1557" s="67"/>
      <c r="D1557" s="68"/>
      <c r="E1557" s="68"/>
      <c r="F1557" s="68"/>
      <c r="G1557" s="67"/>
      <c r="H1557" s="67"/>
      <c r="I1557" s="67"/>
      <c r="J1557" s="68"/>
      <c r="K1557" s="68"/>
    </row>
    <row r="1558" spans="1:11" x14ac:dyDescent="0.25">
      <c r="A1558" s="69"/>
      <c r="B1558" s="67"/>
      <c r="C1558" s="67"/>
      <c r="D1558" s="68"/>
      <c r="E1558" s="68"/>
      <c r="F1558" s="68"/>
      <c r="G1558" s="67"/>
      <c r="H1558" s="67"/>
      <c r="I1558" s="67"/>
      <c r="J1558" s="68"/>
      <c r="K1558" s="68"/>
    </row>
    <row r="1559" spans="1:11" x14ac:dyDescent="0.25">
      <c r="A1559" s="69"/>
      <c r="B1559" s="67"/>
      <c r="C1559" s="67"/>
      <c r="D1559" s="68"/>
      <c r="E1559" s="68"/>
      <c r="F1559" s="68"/>
      <c r="G1559" s="67"/>
      <c r="H1559" s="67"/>
      <c r="I1559" s="67"/>
      <c r="J1559" s="68"/>
      <c r="K1559" s="68"/>
    </row>
    <row r="1560" spans="1:11" x14ac:dyDescent="0.25">
      <c r="A1560" s="69"/>
      <c r="B1560" s="67"/>
      <c r="C1560" s="67"/>
      <c r="D1560" s="70"/>
      <c r="E1560" s="70"/>
      <c r="F1560" s="70"/>
      <c r="G1560" s="67"/>
      <c r="H1560" s="67"/>
      <c r="I1560" s="67"/>
      <c r="J1560" s="68"/>
      <c r="K1560" s="68"/>
    </row>
    <row r="1561" spans="1:11" x14ac:dyDescent="0.25">
      <c r="A1561" s="69"/>
      <c r="B1561" s="67"/>
      <c r="C1561" s="67"/>
      <c r="D1561" s="70"/>
      <c r="E1561" s="70"/>
      <c r="F1561" s="70"/>
      <c r="G1561" s="67"/>
      <c r="H1561" s="67"/>
      <c r="I1561" s="67"/>
      <c r="J1561" s="68"/>
      <c r="K1561" s="68"/>
    </row>
    <row r="1562" spans="1:11" x14ac:dyDescent="0.25">
      <c r="A1562" s="69"/>
      <c r="B1562" s="67"/>
      <c r="C1562" s="67"/>
      <c r="D1562" s="70"/>
      <c r="E1562" s="70"/>
      <c r="F1562" s="70"/>
      <c r="G1562" s="67"/>
      <c r="H1562" s="67"/>
      <c r="I1562" s="67"/>
      <c r="J1562" s="68"/>
      <c r="K1562" s="68"/>
    </row>
    <row r="1563" spans="1:11" x14ac:dyDescent="0.25">
      <c r="A1563" s="69"/>
      <c r="B1563" s="67"/>
      <c r="C1563" s="67"/>
      <c r="D1563" s="68"/>
      <c r="E1563" s="68"/>
      <c r="F1563" s="68"/>
      <c r="G1563" s="67"/>
      <c r="H1563" s="67"/>
      <c r="I1563" s="67"/>
      <c r="J1563" s="68"/>
      <c r="K1563" s="68"/>
    </row>
    <row r="1564" spans="1:11" x14ac:dyDescent="0.25">
      <c r="A1564" s="69"/>
      <c r="B1564" s="67"/>
      <c r="C1564" s="67"/>
      <c r="D1564" s="68"/>
      <c r="E1564" s="68"/>
      <c r="F1564" s="68"/>
      <c r="G1564" s="67"/>
      <c r="H1564" s="67"/>
      <c r="I1564" s="67"/>
      <c r="J1564" s="68"/>
      <c r="K1564" s="68"/>
    </row>
    <row r="1565" spans="1:11" x14ac:dyDescent="0.25">
      <c r="A1565" s="69"/>
      <c r="B1565" s="67"/>
      <c r="C1565" s="67"/>
      <c r="D1565" s="68"/>
      <c r="E1565" s="68"/>
      <c r="F1565" s="68"/>
      <c r="G1565" s="67"/>
      <c r="H1565" s="67"/>
      <c r="I1565" s="67"/>
      <c r="J1565" s="68"/>
      <c r="K1565" s="68"/>
    </row>
    <row r="1566" spans="1:11" x14ac:dyDescent="0.25">
      <c r="A1566" s="69"/>
      <c r="B1566" s="67"/>
      <c r="C1566" s="67"/>
      <c r="D1566" s="68"/>
      <c r="E1566" s="68"/>
      <c r="F1566" s="68"/>
      <c r="G1566" s="67"/>
      <c r="H1566" s="67"/>
      <c r="I1566" s="67"/>
      <c r="J1566" s="68"/>
      <c r="K1566" s="68"/>
    </row>
    <row r="1567" spans="1:11" x14ac:dyDescent="0.25">
      <c r="A1567" s="69"/>
      <c r="B1567" s="67"/>
      <c r="C1567" s="67"/>
      <c r="D1567" s="68"/>
      <c r="E1567" s="68"/>
      <c r="F1567" s="68"/>
      <c r="G1567" s="67"/>
      <c r="H1567" s="67"/>
      <c r="I1567" s="67"/>
      <c r="J1567" s="68"/>
      <c r="K1567" s="68"/>
    </row>
    <row r="1568" spans="1:11" x14ac:dyDescent="0.25">
      <c r="A1568" s="69"/>
      <c r="B1568" s="67"/>
      <c r="C1568" s="67"/>
      <c r="D1568" s="68"/>
      <c r="E1568" s="68"/>
      <c r="F1568" s="68"/>
      <c r="G1568" s="67"/>
      <c r="H1568" s="67"/>
      <c r="I1568" s="67"/>
      <c r="J1568" s="68"/>
      <c r="K1568" s="68"/>
    </row>
    <row r="1569" spans="1:11" x14ac:dyDescent="0.25">
      <c r="A1569" s="69"/>
      <c r="B1569" s="67"/>
      <c r="C1569" s="67"/>
      <c r="D1569" s="68"/>
      <c r="E1569" s="68"/>
      <c r="F1569" s="68"/>
      <c r="G1569" s="67"/>
      <c r="H1569" s="67"/>
      <c r="I1569" s="67"/>
      <c r="J1569" s="68"/>
      <c r="K1569" s="68"/>
    </row>
    <row r="1570" spans="1:11" x14ac:dyDescent="0.25">
      <c r="A1570" s="69"/>
      <c r="B1570" s="67"/>
      <c r="C1570" s="67"/>
      <c r="D1570" s="68"/>
      <c r="E1570" s="68"/>
      <c r="F1570" s="68"/>
      <c r="G1570" s="67"/>
      <c r="H1570" s="67"/>
      <c r="I1570" s="67"/>
      <c r="J1570" s="68"/>
      <c r="K1570" s="68"/>
    </row>
    <row r="1571" spans="1:11" x14ac:dyDescent="0.25">
      <c r="A1571" s="69"/>
      <c r="B1571" s="67"/>
      <c r="C1571" s="67"/>
      <c r="D1571" s="68"/>
      <c r="E1571" s="68"/>
      <c r="F1571" s="68"/>
      <c r="G1571" s="67"/>
      <c r="H1571" s="67"/>
      <c r="I1571" s="67"/>
      <c r="J1571" s="68"/>
      <c r="K1571" s="68"/>
    </row>
    <row r="1572" spans="1:11" x14ac:dyDescent="0.25">
      <c r="A1572" s="69"/>
      <c r="B1572" s="67"/>
      <c r="C1572" s="67"/>
      <c r="D1572" s="68"/>
      <c r="E1572" s="68"/>
      <c r="F1572" s="68"/>
      <c r="G1572" s="67"/>
      <c r="H1572" s="67"/>
      <c r="I1572" s="67"/>
      <c r="J1572" s="68"/>
      <c r="K1572" s="68"/>
    </row>
    <row r="1573" spans="1:11" x14ac:dyDescent="0.25">
      <c r="A1573" s="69"/>
      <c r="B1573" s="67"/>
      <c r="C1573" s="67"/>
      <c r="D1573" s="68"/>
      <c r="E1573" s="68"/>
      <c r="F1573" s="68"/>
      <c r="G1573" s="67"/>
      <c r="H1573" s="67"/>
      <c r="I1573" s="67"/>
      <c r="J1573" s="68"/>
      <c r="K1573" s="68"/>
    </row>
    <row r="1574" spans="1:11" x14ac:dyDescent="0.25">
      <c r="A1574" s="69"/>
      <c r="B1574" s="67"/>
      <c r="C1574" s="67"/>
      <c r="D1574" s="68"/>
      <c r="E1574" s="68"/>
      <c r="F1574" s="68"/>
      <c r="G1574" s="67"/>
      <c r="H1574" s="67"/>
      <c r="I1574" s="67"/>
      <c r="J1574" s="68"/>
      <c r="K1574" s="68"/>
    </row>
    <row r="1575" spans="1:11" x14ac:dyDescent="0.25">
      <c r="A1575" s="69"/>
      <c r="B1575" s="67"/>
      <c r="C1575" s="67"/>
      <c r="D1575" s="68"/>
      <c r="E1575" s="68"/>
      <c r="F1575" s="68"/>
      <c r="G1575" s="67"/>
      <c r="H1575" s="67"/>
      <c r="I1575" s="67"/>
      <c r="J1575" s="68"/>
      <c r="K1575" s="68"/>
    </row>
    <row r="1576" spans="1:11" x14ac:dyDescent="0.25">
      <c r="A1576" s="69"/>
      <c r="B1576" s="67"/>
      <c r="C1576" s="67"/>
      <c r="D1576" s="68"/>
      <c r="E1576" s="68"/>
      <c r="F1576" s="68"/>
      <c r="G1576" s="67"/>
      <c r="H1576" s="67"/>
      <c r="I1576" s="67"/>
      <c r="J1576" s="68"/>
      <c r="K1576" s="68"/>
    </row>
    <row r="1577" spans="1:11" x14ac:dyDescent="0.25">
      <c r="A1577" s="69"/>
      <c r="B1577" s="67"/>
      <c r="C1577" s="67"/>
      <c r="D1577" s="68"/>
      <c r="E1577" s="68"/>
      <c r="F1577" s="68"/>
      <c r="G1577" s="67"/>
      <c r="H1577" s="67"/>
      <c r="I1577" s="67"/>
      <c r="J1577" s="68"/>
      <c r="K1577" s="68"/>
    </row>
    <row r="1578" spans="1:11" x14ac:dyDescent="0.25">
      <c r="A1578" s="69"/>
      <c r="B1578" s="67"/>
      <c r="C1578" s="67"/>
      <c r="D1578" s="68"/>
      <c r="E1578" s="68"/>
      <c r="F1578" s="68"/>
      <c r="G1578" s="67"/>
      <c r="H1578" s="67"/>
      <c r="I1578" s="67"/>
      <c r="J1578" s="68"/>
      <c r="K1578" s="68"/>
    </row>
    <row r="1579" spans="1:11" x14ac:dyDescent="0.25">
      <c r="A1579" s="69"/>
      <c r="B1579" s="67"/>
      <c r="C1579" s="67"/>
      <c r="D1579" s="68"/>
      <c r="E1579" s="68"/>
      <c r="F1579" s="68"/>
      <c r="G1579" s="67"/>
      <c r="H1579" s="67"/>
      <c r="I1579" s="67"/>
      <c r="J1579" s="68"/>
      <c r="K1579" s="68"/>
    </row>
    <row r="1580" spans="1:11" x14ac:dyDescent="0.25">
      <c r="A1580" s="69"/>
      <c r="B1580" s="67"/>
      <c r="C1580" s="67"/>
      <c r="D1580" s="68"/>
      <c r="E1580" s="68"/>
      <c r="F1580" s="68"/>
      <c r="G1580" s="67"/>
      <c r="H1580" s="67"/>
      <c r="I1580" s="67"/>
      <c r="J1580" s="68"/>
      <c r="K1580" s="68"/>
    </row>
    <row r="1581" spans="1:11" x14ac:dyDescent="0.25">
      <c r="A1581" s="69"/>
      <c r="B1581" s="67"/>
      <c r="C1581" s="67"/>
      <c r="D1581" s="68"/>
      <c r="E1581" s="68"/>
      <c r="F1581" s="68"/>
      <c r="G1581" s="67"/>
      <c r="H1581" s="67"/>
      <c r="I1581" s="67"/>
      <c r="J1581" s="68"/>
      <c r="K1581" s="68"/>
    </row>
    <row r="1582" spans="1:11" x14ac:dyDescent="0.25">
      <c r="A1582" s="69"/>
      <c r="B1582" s="67"/>
      <c r="C1582" s="67"/>
      <c r="D1582" s="68"/>
      <c r="E1582" s="68"/>
      <c r="F1582" s="68"/>
      <c r="G1582" s="67"/>
      <c r="H1582" s="67"/>
      <c r="I1582" s="67"/>
      <c r="J1582" s="68"/>
      <c r="K1582" s="68"/>
    </row>
    <row r="1583" spans="1:11" x14ac:dyDescent="0.25">
      <c r="A1583" s="69"/>
      <c r="B1583" s="67"/>
      <c r="C1583" s="67"/>
      <c r="D1583" s="68"/>
      <c r="E1583" s="68"/>
      <c r="F1583" s="68"/>
      <c r="G1583" s="67"/>
      <c r="H1583" s="67"/>
      <c r="I1583" s="67"/>
      <c r="J1583" s="68"/>
      <c r="K1583" s="68"/>
    </row>
    <row r="1584" spans="1:11" x14ac:dyDescent="0.25">
      <c r="A1584" s="69"/>
      <c r="B1584" s="67"/>
      <c r="C1584" s="67"/>
      <c r="D1584" s="70"/>
      <c r="E1584" s="70"/>
      <c r="F1584" s="70"/>
      <c r="G1584" s="67"/>
      <c r="H1584" s="67"/>
      <c r="I1584" s="67"/>
      <c r="J1584" s="68"/>
      <c r="K1584" s="68"/>
    </row>
    <row r="1585" spans="1:11" x14ac:dyDescent="0.25">
      <c r="A1585" s="69"/>
      <c r="B1585" s="67"/>
      <c r="C1585" s="67"/>
      <c r="D1585" s="70"/>
      <c r="E1585" s="70"/>
      <c r="F1585" s="70"/>
      <c r="G1585" s="67"/>
      <c r="H1585" s="67"/>
      <c r="I1585" s="67"/>
      <c r="J1585" s="68"/>
      <c r="K1585" s="68"/>
    </row>
    <row r="1586" spans="1:11" x14ac:dyDescent="0.25">
      <c r="A1586" s="69"/>
      <c r="B1586" s="67"/>
      <c r="C1586" s="67"/>
      <c r="D1586" s="70"/>
      <c r="E1586" s="70"/>
      <c r="F1586" s="70"/>
      <c r="G1586" s="67"/>
      <c r="H1586" s="67"/>
      <c r="I1586" s="67"/>
      <c r="J1586" s="68"/>
      <c r="K1586" s="68"/>
    </row>
    <row r="1587" spans="1:11" x14ac:dyDescent="0.25">
      <c r="A1587" s="69"/>
      <c r="B1587" s="67"/>
      <c r="C1587" s="67"/>
      <c r="D1587" s="68"/>
      <c r="E1587" s="68"/>
      <c r="F1587" s="68"/>
      <c r="G1587" s="67"/>
      <c r="H1587" s="67"/>
      <c r="I1587" s="67"/>
      <c r="J1587" s="68"/>
      <c r="K1587" s="68"/>
    </row>
    <row r="1588" spans="1:11" x14ac:dyDescent="0.25">
      <c r="A1588" s="69"/>
      <c r="B1588" s="67"/>
      <c r="C1588" s="67"/>
      <c r="D1588" s="68"/>
      <c r="E1588" s="68"/>
      <c r="F1588" s="68"/>
      <c r="G1588" s="67"/>
      <c r="H1588" s="67"/>
      <c r="I1588" s="67"/>
      <c r="J1588" s="68"/>
      <c r="K1588" s="68"/>
    </row>
    <row r="1589" spans="1:11" x14ac:dyDescent="0.25">
      <c r="A1589" s="69"/>
      <c r="B1589" s="67"/>
      <c r="C1589" s="67"/>
      <c r="D1589" s="68"/>
      <c r="E1589" s="68"/>
      <c r="F1589" s="68"/>
      <c r="G1589" s="67"/>
      <c r="H1589" s="67"/>
      <c r="I1589" s="67"/>
      <c r="J1589" s="68"/>
      <c r="K1589" s="68"/>
    </row>
    <row r="1590" spans="1:11" x14ac:dyDescent="0.25">
      <c r="A1590" s="69"/>
      <c r="B1590" s="67"/>
      <c r="C1590" s="67"/>
      <c r="D1590" s="68"/>
      <c r="E1590" s="68"/>
      <c r="F1590" s="68"/>
      <c r="G1590" s="67"/>
      <c r="H1590" s="67"/>
      <c r="I1590" s="67"/>
      <c r="J1590" s="68"/>
      <c r="K1590" s="68"/>
    </row>
    <row r="1591" spans="1:11" x14ac:dyDescent="0.25">
      <c r="A1591" s="69"/>
      <c r="B1591" s="67"/>
      <c r="C1591" s="67"/>
      <c r="D1591" s="68"/>
      <c r="E1591" s="68"/>
      <c r="F1591" s="68"/>
      <c r="G1591" s="67"/>
      <c r="H1591" s="67"/>
      <c r="I1591" s="67"/>
      <c r="J1591" s="68"/>
      <c r="K1591" s="68"/>
    </row>
    <row r="1592" spans="1:11" x14ac:dyDescent="0.25">
      <c r="A1592" s="69"/>
      <c r="B1592" s="67"/>
      <c r="C1592" s="67"/>
      <c r="D1592" s="68"/>
      <c r="E1592" s="68"/>
      <c r="F1592" s="68"/>
      <c r="G1592" s="67"/>
      <c r="H1592" s="67"/>
      <c r="I1592" s="67"/>
      <c r="J1592" s="68"/>
      <c r="K1592" s="68"/>
    </row>
    <row r="1593" spans="1:11" x14ac:dyDescent="0.25">
      <c r="A1593" s="69"/>
      <c r="B1593" s="67"/>
      <c r="C1593" s="67"/>
      <c r="D1593" s="68"/>
      <c r="E1593" s="68"/>
      <c r="F1593" s="68"/>
      <c r="G1593" s="67"/>
      <c r="H1593" s="67"/>
      <c r="I1593" s="67"/>
      <c r="J1593" s="68"/>
      <c r="K1593" s="68"/>
    </row>
    <row r="1594" spans="1:11" x14ac:dyDescent="0.25">
      <c r="A1594" s="69"/>
      <c r="B1594" s="67"/>
      <c r="C1594" s="67"/>
      <c r="D1594" s="68"/>
      <c r="E1594" s="68"/>
      <c r="F1594" s="68"/>
      <c r="G1594" s="67"/>
      <c r="H1594" s="67"/>
      <c r="I1594" s="67"/>
      <c r="J1594" s="68"/>
      <c r="K1594" s="68"/>
    </row>
    <row r="1595" spans="1:11" x14ac:dyDescent="0.25">
      <c r="A1595" s="69"/>
      <c r="B1595" s="67"/>
      <c r="C1595" s="67"/>
      <c r="D1595" s="68"/>
      <c r="E1595" s="68"/>
      <c r="F1595" s="68"/>
      <c r="G1595" s="67"/>
      <c r="H1595" s="67"/>
      <c r="I1595" s="67"/>
      <c r="J1595" s="68"/>
      <c r="K1595" s="68"/>
    </row>
    <row r="1596" spans="1:11" x14ac:dyDescent="0.25">
      <c r="A1596" s="69"/>
      <c r="B1596" s="67"/>
      <c r="C1596" s="67"/>
      <c r="D1596" s="68"/>
      <c r="E1596" s="68"/>
      <c r="F1596" s="68"/>
      <c r="G1596" s="67"/>
      <c r="H1596" s="67"/>
      <c r="I1596" s="67"/>
      <c r="J1596" s="68"/>
      <c r="K1596" s="68"/>
    </row>
    <row r="1597" spans="1:11" x14ac:dyDescent="0.25">
      <c r="A1597" s="69"/>
      <c r="B1597" s="67"/>
      <c r="C1597" s="67"/>
      <c r="D1597" s="68"/>
      <c r="E1597" s="68"/>
      <c r="F1597" s="68"/>
      <c r="G1597" s="67"/>
      <c r="H1597" s="67"/>
      <c r="I1597" s="67"/>
      <c r="J1597" s="68"/>
      <c r="K1597" s="68"/>
    </row>
    <row r="1598" spans="1:11" x14ac:dyDescent="0.25">
      <c r="A1598" s="69"/>
      <c r="B1598" s="67"/>
      <c r="C1598" s="67"/>
      <c r="D1598" s="68"/>
      <c r="E1598" s="68"/>
      <c r="F1598" s="68"/>
      <c r="G1598" s="67"/>
      <c r="H1598" s="67"/>
      <c r="I1598" s="67"/>
      <c r="J1598" s="68"/>
      <c r="K1598" s="68"/>
    </row>
    <row r="1599" spans="1:11" x14ac:dyDescent="0.25">
      <c r="A1599" s="69"/>
      <c r="B1599" s="67"/>
      <c r="C1599" s="67"/>
      <c r="D1599" s="68"/>
      <c r="E1599" s="68"/>
      <c r="F1599" s="68"/>
      <c r="G1599" s="67"/>
      <c r="H1599" s="67"/>
      <c r="I1599" s="67"/>
      <c r="J1599" s="68"/>
      <c r="K1599" s="68"/>
    </row>
    <row r="1600" spans="1:11" x14ac:dyDescent="0.25">
      <c r="A1600" s="69"/>
      <c r="B1600" s="67"/>
      <c r="C1600" s="67"/>
      <c r="D1600" s="68"/>
      <c r="E1600" s="68"/>
      <c r="F1600" s="68"/>
      <c r="G1600" s="67"/>
      <c r="H1600" s="67"/>
      <c r="I1600" s="67"/>
      <c r="J1600" s="68"/>
      <c r="K1600" s="68"/>
    </row>
    <row r="1601" spans="1:11" x14ac:dyDescent="0.25">
      <c r="A1601" s="69"/>
      <c r="B1601" s="67"/>
      <c r="C1601" s="67"/>
      <c r="D1601" s="68"/>
      <c r="E1601" s="68"/>
      <c r="F1601" s="68"/>
      <c r="G1601" s="67"/>
      <c r="H1601" s="67"/>
      <c r="I1601" s="67"/>
      <c r="J1601" s="68"/>
      <c r="K1601" s="68"/>
    </row>
    <row r="1602" spans="1:11" x14ac:dyDescent="0.25">
      <c r="A1602" s="69"/>
      <c r="B1602" s="67"/>
      <c r="C1602" s="67"/>
      <c r="D1602" s="68"/>
      <c r="E1602" s="68"/>
      <c r="F1602" s="68"/>
      <c r="G1602" s="67"/>
      <c r="H1602" s="67"/>
      <c r="I1602" s="67"/>
      <c r="J1602" s="68"/>
      <c r="K1602" s="68"/>
    </row>
    <row r="1603" spans="1:11" x14ac:dyDescent="0.25">
      <c r="A1603" s="69"/>
      <c r="B1603" s="67"/>
      <c r="C1603" s="67"/>
      <c r="D1603" s="68"/>
      <c r="E1603" s="68"/>
      <c r="F1603" s="68"/>
      <c r="G1603" s="67"/>
      <c r="H1603" s="67"/>
      <c r="I1603" s="67"/>
      <c r="J1603" s="68"/>
      <c r="K1603" s="68"/>
    </row>
    <row r="1604" spans="1:11" x14ac:dyDescent="0.25">
      <c r="A1604" s="69"/>
      <c r="B1604" s="67"/>
      <c r="C1604" s="67"/>
      <c r="D1604" s="68"/>
      <c r="E1604" s="68"/>
      <c r="F1604" s="68"/>
      <c r="G1604" s="67"/>
      <c r="H1604" s="67"/>
      <c r="I1604" s="67"/>
      <c r="J1604" s="68"/>
      <c r="K1604" s="68"/>
    </row>
    <row r="1605" spans="1:11" x14ac:dyDescent="0.25">
      <c r="A1605" s="69"/>
      <c r="B1605" s="67"/>
      <c r="C1605" s="67"/>
      <c r="D1605" s="68"/>
      <c r="E1605" s="68"/>
      <c r="F1605" s="68"/>
      <c r="G1605" s="67"/>
      <c r="H1605" s="67"/>
      <c r="I1605" s="67"/>
      <c r="J1605" s="68"/>
      <c r="K1605" s="68"/>
    </row>
    <row r="1606" spans="1:11" x14ac:dyDescent="0.25">
      <c r="A1606" s="69"/>
      <c r="B1606" s="67"/>
      <c r="C1606" s="67"/>
      <c r="D1606" s="68"/>
      <c r="E1606" s="68"/>
      <c r="F1606" s="68"/>
      <c r="G1606" s="67"/>
      <c r="H1606" s="67"/>
      <c r="I1606" s="67"/>
      <c r="J1606" s="68"/>
      <c r="K1606" s="68"/>
    </row>
    <row r="1607" spans="1:11" x14ac:dyDescent="0.25">
      <c r="A1607" s="69"/>
      <c r="B1607" s="67"/>
      <c r="C1607" s="67"/>
      <c r="D1607" s="68"/>
      <c r="E1607" s="68"/>
      <c r="F1607" s="68"/>
      <c r="G1607" s="67"/>
      <c r="H1607" s="67"/>
      <c r="I1607" s="67"/>
      <c r="J1607" s="68"/>
      <c r="K1607" s="68"/>
    </row>
    <row r="1608" spans="1:11" x14ac:dyDescent="0.25">
      <c r="A1608" s="69"/>
      <c r="B1608" s="67"/>
      <c r="C1608" s="67"/>
      <c r="D1608" s="70"/>
      <c r="E1608" s="70"/>
      <c r="F1608" s="70"/>
      <c r="G1608" s="67"/>
      <c r="H1608" s="67"/>
      <c r="I1608" s="67"/>
      <c r="J1608" s="68"/>
      <c r="K1608" s="68"/>
    </row>
    <row r="1609" spans="1:11" x14ac:dyDescent="0.25">
      <c r="A1609" s="69"/>
      <c r="B1609" s="67"/>
      <c r="C1609" s="67"/>
      <c r="D1609" s="70"/>
      <c r="E1609" s="70"/>
      <c r="F1609" s="70"/>
      <c r="G1609" s="67"/>
      <c r="H1609" s="67"/>
      <c r="I1609" s="67"/>
      <c r="J1609" s="68"/>
      <c r="K1609" s="68"/>
    </row>
    <row r="1610" spans="1:11" x14ac:dyDescent="0.25">
      <c r="A1610" s="69"/>
      <c r="B1610" s="67"/>
      <c r="C1610" s="67"/>
      <c r="D1610" s="70"/>
      <c r="E1610" s="70"/>
      <c r="F1610" s="70"/>
      <c r="G1610" s="67"/>
      <c r="H1610" s="67"/>
      <c r="I1610" s="67"/>
      <c r="J1610" s="68"/>
      <c r="K1610" s="68"/>
    </row>
    <row r="1611" spans="1:11" x14ac:dyDescent="0.25">
      <c r="A1611" s="69"/>
      <c r="B1611" s="67"/>
      <c r="C1611" s="67"/>
      <c r="D1611" s="68"/>
      <c r="E1611" s="68"/>
      <c r="F1611" s="68"/>
      <c r="G1611" s="67"/>
      <c r="H1611" s="67"/>
      <c r="I1611" s="67"/>
      <c r="J1611" s="68"/>
      <c r="K1611" s="68"/>
    </row>
    <row r="1612" spans="1:11" x14ac:dyDescent="0.25">
      <c r="A1612" s="69"/>
      <c r="B1612" s="67"/>
      <c r="C1612" s="67"/>
      <c r="D1612" s="68"/>
      <c r="E1612" s="68"/>
      <c r="F1612" s="68"/>
      <c r="G1612" s="67"/>
      <c r="H1612" s="67"/>
      <c r="I1612" s="67"/>
      <c r="J1612" s="68"/>
      <c r="K1612" s="68"/>
    </row>
    <row r="1613" spans="1:11" x14ac:dyDescent="0.25">
      <c r="A1613" s="69"/>
      <c r="B1613" s="67"/>
      <c r="C1613" s="67"/>
      <c r="D1613" s="68"/>
      <c r="E1613" s="68"/>
      <c r="F1613" s="68"/>
      <c r="G1613" s="67"/>
      <c r="H1613" s="67"/>
      <c r="I1613" s="67"/>
      <c r="J1613" s="68"/>
      <c r="K1613" s="68"/>
    </row>
    <row r="1614" spans="1:11" x14ac:dyDescent="0.25">
      <c r="A1614" s="69"/>
      <c r="B1614" s="67"/>
      <c r="C1614" s="67"/>
      <c r="D1614" s="68"/>
      <c r="E1614" s="68"/>
      <c r="F1614" s="68"/>
      <c r="G1614" s="67"/>
      <c r="H1614" s="67"/>
      <c r="I1614" s="67"/>
      <c r="J1614" s="68"/>
      <c r="K1614" s="68"/>
    </row>
    <row r="1615" spans="1:11" x14ac:dyDescent="0.25">
      <c r="A1615" s="69"/>
      <c r="B1615" s="67"/>
      <c r="C1615" s="67"/>
      <c r="D1615" s="68"/>
      <c r="E1615" s="68"/>
      <c r="F1615" s="68"/>
      <c r="G1615" s="67"/>
      <c r="H1615" s="67"/>
      <c r="I1615" s="67"/>
      <c r="J1615" s="68"/>
      <c r="K1615" s="68"/>
    </row>
    <row r="1616" spans="1:11" x14ac:dyDescent="0.25">
      <c r="A1616" s="69"/>
      <c r="B1616" s="67"/>
      <c r="C1616" s="67"/>
      <c r="D1616" s="68"/>
      <c r="E1616" s="68"/>
      <c r="F1616" s="68"/>
      <c r="G1616" s="67"/>
      <c r="H1616" s="67"/>
      <c r="I1616" s="67"/>
      <c r="J1616" s="68"/>
      <c r="K1616" s="68"/>
    </row>
    <row r="1617" spans="1:11" x14ac:dyDescent="0.25">
      <c r="A1617" s="69"/>
      <c r="B1617" s="67"/>
      <c r="C1617" s="67"/>
      <c r="D1617" s="68"/>
      <c r="E1617" s="68"/>
      <c r="F1617" s="68"/>
      <c r="G1617" s="67"/>
      <c r="H1617" s="67"/>
      <c r="I1617" s="67"/>
      <c r="J1617" s="68"/>
      <c r="K1617" s="68"/>
    </row>
    <row r="1618" spans="1:11" x14ac:dyDescent="0.25">
      <c r="A1618" s="69"/>
      <c r="B1618" s="67"/>
      <c r="C1618" s="67"/>
      <c r="D1618" s="68"/>
      <c r="E1618" s="68"/>
      <c r="F1618" s="68"/>
      <c r="G1618" s="67"/>
      <c r="H1618" s="67"/>
      <c r="I1618" s="67"/>
      <c r="J1618" s="68"/>
      <c r="K1618" s="68"/>
    </row>
    <row r="1619" spans="1:11" x14ac:dyDescent="0.25">
      <c r="A1619" s="69"/>
      <c r="B1619" s="67"/>
      <c r="C1619" s="67"/>
      <c r="D1619" s="68"/>
      <c r="E1619" s="68"/>
      <c r="F1619" s="68"/>
      <c r="G1619" s="67"/>
      <c r="H1619" s="67"/>
      <c r="I1619" s="67"/>
      <c r="J1619" s="68"/>
      <c r="K1619" s="68"/>
    </row>
    <row r="1620" spans="1:11" x14ac:dyDescent="0.25">
      <c r="A1620" s="69"/>
      <c r="B1620" s="67"/>
      <c r="C1620" s="67"/>
      <c r="D1620" s="68"/>
      <c r="E1620" s="68"/>
      <c r="F1620" s="68"/>
      <c r="G1620" s="67"/>
      <c r="H1620" s="67"/>
      <c r="I1620" s="67"/>
      <c r="J1620" s="68"/>
      <c r="K1620" s="68"/>
    </row>
    <row r="1621" spans="1:11" x14ac:dyDescent="0.25">
      <c r="A1621" s="69"/>
      <c r="B1621" s="67"/>
      <c r="C1621" s="67"/>
      <c r="D1621" s="68"/>
      <c r="E1621" s="68"/>
      <c r="F1621" s="68"/>
      <c r="G1621" s="67"/>
      <c r="H1621" s="67"/>
      <c r="I1621" s="67"/>
      <c r="J1621" s="68"/>
      <c r="K1621" s="68"/>
    </row>
    <row r="1622" spans="1:11" x14ac:dyDescent="0.25">
      <c r="A1622" s="69"/>
      <c r="B1622" s="67"/>
      <c r="C1622" s="67"/>
      <c r="D1622" s="68"/>
      <c r="E1622" s="68"/>
      <c r="F1622" s="68"/>
      <c r="G1622" s="67"/>
      <c r="H1622" s="67"/>
      <c r="I1622" s="67"/>
      <c r="J1622" s="68"/>
      <c r="K1622" s="68"/>
    </row>
    <row r="1623" spans="1:11" x14ac:dyDescent="0.25">
      <c r="A1623" s="69"/>
      <c r="B1623" s="67"/>
      <c r="C1623" s="67"/>
      <c r="D1623" s="68"/>
      <c r="E1623" s="68"/>
      <c r="F1623" s="68"/>
      <c r="G1623" s="67"/>
      <c r="H1623" s="67"/>
      <c r="I1623" s="67"/>
      <c r="J1623" s="68"/>
      <c r="K1623" s="68"/>
    </row>
    <row r="1624" spans="1:11" x14ac:dyDescent="0.25">
      <c r="A1624" s="69"/>
      <c r="B1624" s="67"/>
      <c r="C1624" s="67"/>
      <c r="D1624" s="68"/>
      <c r="E1624" s="68"/>
      <c r="F1624" s="68"/>
      <c r="G1624" s="67"/>
      <c r="H1624" s="67"/>
      <c r="I1624" s="67"/>
      <c r="J1624" s="68"/>
      <c r="K1624" s="68"/>
    </row>
    <row r="1625" spans="1:11" x14ac:dyDescent="0.25">
      <c r="A1625" s="69"/>
      <c r="B1625" s="67"/>
      <c r="C1625" s="67"/>
      <c r="D1625" s="68"/>
      <c r="E1625" s="68"/>
      <c r="F1625" s="68"/>
      <c r="G1625" s="67"/>
      <c r="H1625" s="67"/>
      <c r="I1625" s="67"/>
      <c r="J1625" s="68"/>
      <c r="K1625" s="68"/>
    </row>
    <row r="1626" spans="1:11" x14ac:dyDescent="0.25">
      <c r="A1626" s="69"/>
      <c r="B1626" s="67"/>
      <c r="C1626" s="67"/>
      <c r="D1626" s="68"/>
      <c r="E1626" s="68"/>
      <c r="F1626" s="68"/>
      <c r="G1626" s="67"/>
      <c r="H1626" s="67"/>
      <c r="I1626" s="67"/>
      <c r="J1626" s="68"/>
      <c r="K1626" s="68"/>
    </row>
    <row r="1627" spans="1:11" x14ac:dyDescent="0.25">
      <c r="A1627" s="69"/>
      <c r="B1627" s="67"/>
      <c r="C1627" s="67"/>
      <c r="D1627" s="68"/>
      <c r="E1627" s="68"/>
      <c r="F1627" s="68"/>
      <c r="G1627" s="67"/>
      <c r="H1627" s="67"/>
      <c r="I1627" s="67"/>
      <c r="J1627" s="68"/>
      <c r="K1627" s="68"/>
    </row>
    <row r="1628" spans="1:11" x14ac:dyDescent="0.25">
      <c r="A1628" s="69"/>
      <c r="B1628" s="67"/>
      <c r="C1628" s="67"/>
      <c r="D1628" s="68"/>
      <c r="E1628" s="68"/>
      <c r="F1628" s="68"/>
      <c r="G1628" s="67"/>
      <c r="H1628" s="67"/>
      <c r="I1628" s="67"/>
      <c r="J1628" s="68"/>
      <c r="K1628" s="68"/>
    </row>
    <row r="1629" spans="1:11" x14ac:dyDescent="0.25">
      <c r="A1629" s="69"/>
      <c r="B1629" s="67"/>
      <c r="C1629" s="67"/>
      <c r="D1629" s="68"/>
      <c r="E1629" s="68"/>
      <c r="F1629" s="68"/>
      <c r="G1629" s="67"/>
      <c r="H1629" s="67"/>
      <c r="I1629" s="67"/>
      <c r="J1629" s="68"/>
      <c r="K1629" s="68"/>
    </row>
    <row r="1630" spans="1:11" x14ac:dyDescent="0.25">
      <c r="A1630" s="69"/>
      <c r="B1630" s="67"/>
      <c r="C1630" s="67"/>
      <c r="D1630" s="68"/>
      <c r="E1630" s="68"/>
      <c r="F1630" s="68"/>
      <c r="G1630" s="67"/>
      <c r="H1630" s="67"/>
      <c r="I1630" s="67"/>
      <c r="J1630" s="68"/>
      <c r="K1630" s="68"/>
    </row>
    <row r="1631" spans="1:11" x14ac:dyDescent="0.25">
      <c r="A1631" s="69"/>
      <c r="B1631" s="67"/>
      <c r="C1631" s="67"/>
      <c r="D1631" s="68"/>
      <c r="E1631" s="68"/>
      <c r="F1631" s="68"/>
      <c r="G1631" s="67"/>
      <c r="H1631" s="67"/>
      <c r="I1631" s="67"/>
      <c r="J1631" s="68"/>
      <c r="K1631" s="68"/>
    </row>
    <row r="1632" spans="1:11" x14ac:dyDescent="0.25">
      <c r="A1632" s="69"/>
      <c r="B1632" s="67"/>
      <c r="C1632" s="67"/>
      <c r="D1632" s="70"/>
      <c r="E1632" s="70"/>
      <c r="F1632" s="70"/>
      <c r="G1632" s="67"/>
      <c r="H1632" s="67"/>
      <c r="I1632" s="67"/>
      <c r="J1632" s="68"/>
      <c r="K1632" s="68"/>
    </row>
    <row r="1633" spans="1:11" x14ac:dyDescent="0.25">
      <c r="A1633" s="69"/>
      <c r="B1633" s="67"/>
      <c r="C1633" s="67"/>
      <c r="D1633" s="70"/>
      <c r="E1633" s="70"/>
      <c r="F1633" s="70"/>
      <c r="G1633" s="67"/>
      <c r="H1633" s="67"/>
      <c r="I1633" s="67"/>
      <c r="J1633" s="68"/>
      <c r="K1633" s="68"/>
    </row>
    <row r="1634" spans="1:11" x14ac:dyDescent="0.25">
      <c r="A1634" s="69"/>
      <c r="B1634" s="67"/>
      <c r="C1634" s="67"/>
      <c r="D1634" s="70"/>
      <c r="E1634" s="70"/>
      <c r="F1634" s="70"/>
      <c r="G1634" s="67"/>
      <c r="H1634" s="67"/>
      <c r="I1634" s="67"/>
      <c r="J1634" s="68"/>
      <c r="K1634" s="68"/>
    </row>
    <row r="1635" spans="1:11" x14ac:dyDescent="0.25">
      <c r="A1635" s="69"/>
      <c r="B1635" s="67"/>
      <c r="C1635" s="67"/>
      <c r="D1635" s="68"/>
      <c r="E1635" s="68"/>
      <c r="F1635" s="68"/>
      <c r="G1635" s="67"/>
      <c r="H1635" s="67"/>
      <c r="I1635" s="67"/>
      <c r="J1635" s="68"/>
      <c r="K1635" s="68"/>
    </row>
    <row r="1636" spans="1:11" x14ac:dyDescent="0.25">
      <c r="A1636" s="69"/>
      <c r="B1636" s="67"/>
      <c r="C1636" s="67"/>
      <c r="D1636" s="68"/>
      <c r="E1636" s="68"/>
      <c r="F1636" s="68"/>
      <c r="G1636" s="67"/>
      <c r="H1636" s="67"/>
      <c r="I1636" s="67"/>
      <c r="J1636" s="68"/>
      <c r="K1636" s="68"/>
    </row>
    <row r="1637" spans="1:11" x14ac:dyDescent="0.25">
      <c r="A1637" s="69"/>
      <c r="B1637" s="67"/>
      <c r="C1637" s="67"/>
      <c r="D1637" s="68"/>
      <c r="E1637" s="68"/>
      <c r="F1637" s="68"/>
      <c r="G1637" s="67"/>
      <c r="H1637" s="67"/>
      <c r="I1637" s="67"/>
      <c r="J1637" s="68"/>
      <c r="K1637" s="68"/>
    </row>
    <row r="1638" spans="1:11" x14ac:dyDescent="0.25">
      <c r="A1638" s="69"/>
      <c r="B1638" s="67"/>
      <c r="C1638" s="67"/>
      <c r="D1638" s="68"/>
      <c r="E1638" s="68"/>
      <c r="F1638" s="68"/>
      <c r="G1638" s="67"/>
      <c r="H1638" s="67"/>
      <c r="I1638" s="67"/>
      <c r="J1638" s="68"/>
      <c r="K1638" s="68"/>
    </row>
    <row r="1639" spans="1:11" x14ac:dyDescent="0.25">
      <c r="A1639" s="69"/>
      <c r="B1639" s="67"/>
      <c r="C1639" s="67"/>
      <c r="D1639" s="68"/>
      <c r="E1639" s="68"/>
      <c r="F1639" s="68"/>
      <c r="G1639" s="67"/>
      <c r="H1639" s="67"/>
      <c r="I1639" s="67"/>
      <c r="J1639" s="68"/>
      <c r="K1639" s="68"/>
    </row>
    <row r="1640" spans="1:11" x14ac:dyDescent="0.25">
      <c r="A1640" s="69"/>
      <c r="B1640" s="67"/>
      <c r="C1640" s="67"/>
      <c r="D1640" s="68"/>
      <c r="E1640" s="68"/>
      <c r="F1640" s="68"/>
      <c r="G1640" s="67"/>
      <c r="H1640" s="67"/>
      <c r="I1640" s="67"/>
      <c r="J1640" s="68"/>
      <c r="K1640" s="68"/>
    </row>
    <row r="1641" spans="1:11" x14ac:dyDescent="0.25">
      <c r="A1641" s="69"/>
      <c r="B1641" s="67"/>
      <c r="C1641" s="67"/>
      <c r="D1641" s="68"/>
      <c r="E1641" s="68"/>
      <c r="F1641" s="68"/>
      <c r="G1641" s="67"/>
      <c r="H1641" s="67"/>
      <c r="I1641" s="67"/>
      <c r="J1641" s="68"/>
      <c r="K1641" s="68"/>
    </row>
    <row r="1642" spans="1:11" x14ac:dyDescent="0.25">
      <c r="A1642" s="69"/>
      <c r="B1642" s="67"/>
      <c r="C1642" s="67"/>
      <c r="D1642" s="68"/>
      <c r="E1642" s="68"/>
      <c r="F1642" s="68"/>
      <c r="G1642" s="67"/>
      <c r="H1642" s="67"/>
      <c r="I1642" s="67"/>
      <c r="J1642" s="68"/>
      <c r="K1642" s="68"/>
    </row>
    <row r="1643" spans="1:11" x14ac:dyDescent="0.25">
      <c r="A1643" s="69"/>
      <c r="B1643" s="67"/>
      <c r="C1643" s="67"/>
      <c r="D1643" s="68"/>
      <c r="E1643" s="68"/>
      <c r="F1643" s="68"/>
      <c r="G1643" s="67"/>
      <c r="H1643" s="67"/>
      <c r="I1643" s="67"/>
      <c r="J1643" s="68"/>
      <c r="K1643" s="68"/>
    </row>
    <row r="1644" spans="1:11" x14ac:dyDescent="0.25">
      <c r="A1644" s="69"/>
      <c r="B1644" s="67"/>
      <c r="C1644" s="67"/>
      <c r="D1644" s="68"/>
      <c r="E1644" s="68"/>
      <c r="F1644" s="68"/>
      <c r="G1644" s="67"/>
      <c r="H1644" s="67"/>
      <c r="I1644" s="67"/>
      <c r="J1644" s="68"/>
      <c r="K1644" s="68"/>
    </row>
    <row r="1645" spans="1:11" x14ac:dyDescent="0.25">
      <c r="A1645" s="69"/>
      <c r="B1645" s="67"/>
      <c r="C1645" s="67"/>
      <c r="D1645" s="68"/>
      <c r="E1645" s="68"/>
      <c r="F1645" s="68"/>
      <c r="G1645" s="67"/>
      <c r="H1645" s="67"/>
      <c r="I1645" s="67"/>
      <c r="J1645" s="68"/>
      <c r="K1645" s="68"/>
    </row>
    <row r="1646" spans="1:11" x14ac:dyDescent="0.25">
      <c r="A1646" s="69"/>
      <c r="B1646" s="67"/>
      <c r="C1646" s="67"/>
      <c r="D1646" s="68"/>
      <c r="E1646" s="68"/>
      <c r="F1646" s="68"/>
      <c r="G1646" s="67"/>
      <c r="H1646" s="67"/>
      <c r="I1646" s="67"/>
      <c r="J1646" s="68"/>
      <c r="K1646" s="68"/>
    </row>
    <row r="1647" spans="1:11" x14ac:dyDescent="0.25">
      <c r="A1647" s="69"/>
      <c r="B1647" s="67"/>
      <c r="C1647" s="67"/>
      <c r="D1647" s="68"/>
      <c r="E1647" s="68"/>
      <c r="F1647" s="68"/>
      <c r="G1647" s="67"/>
      <c r="H1647" s="67"/>
      <c r="I1647" s="67"/>
      <c r="J1647" s="68"/>
      <c r="K1647" s="68"/>
    </row>
    <row r="1648" spans="1:11" x14ac:dyDescent="0.25">
      <c r="A1648" s="69"/>
      <c r="B1648" s="67"/>
      <c r="C1648" s="67"/>
      <c r="D1648" s="68"/>
      <c r="E1648" s="68"/>
      <c r="F1648" s="68"/>
      <c r="G1648" s="67"/>
      <c r="H1648" s="67"/>
      <c r="I1648" s="67"/>
      <c r="J1648" s="68"/>
      <c r="K1648" s="68"/>
    </row>
    <row r="1649" spans="1:11" x14ac:dyDescent="0.25">
      <c r="A1649" s="69"/>
      <c r="B1649" s="67"/>
      <c r="C1649" s="67"/>
      <c r="D1649" s="68"/>
      <c r="E1649" s="68"/>
      <c r="F1649" s="68"/>
      <c r="G1649" s="67"/>
      <c r="H1649" s="67"/>
      <c r="I1649" s="67"/>
      <c r="J1649" s="68"/>
      <c r="K1649" s="68"/>
    </row>
    <row r="1650" spans="1:11" x14ac:dyDescent="0.25">
      <c r="A1650" s="69"/>
      <c r="B1650" s="67"/>
      <c r="C1650" s="67"/>
      <c r="D1650" s="68"/>
      <c r="E1650" s="68"/>
      <c r="F1650" s="68"/>
      <c r="G1650" s="67"/>
      <c r="H1650" s="67"/>
      <c r="I1650" s="67"/>
      <c r="J1650" s="68"/>
      <c r="K1650" s="68"/>
    </row>
    <row r="1651" spans="1:11" x14ac:dyDescent="0.25">
      <c r="A1651" s="69"/>
      <c r="B1651" s="67"/>
      <c r="C1651" s="67"/>
      <c r="D1651" s="68"/>
      <c r="E1651" s="68"/>
      <c r="F1651" s="68"/>
      <c r="G1651" s="67"/>
      <c r="H1651" s="67"/>
      <c r="I1651" s="67"/>
      <c r="J1651" s="68"/>
      <c r="K1651" s="68"/>
    </row>
    <row r="1652" spans="1:11" x14ac:dyDescent="0.25">
      <c r="A1652" s="69"/>
      <c r="B1652" s="67"/>
      <c r="C1652" s="67"/>
      <c r="D1652" s="68"/>
      <c r="E1652" s="68"/>
      <c r="F1652" s="68"/>
      <c r="G1652" s="67"/>
      <c r="H1652" s="67"/>
      <c r="I1652" s="67"/>
      <c r="J1652" s="68"/>
      <c r="K1652" s="68"/>
    </row>
    <row r="1653" spans="1:11" x14ac:dyDescent="0.25">
      <c r="A1653" s="69"/>
      <c r="B1653" s="67"/>
      <c r="C1653" s="67"/>
      <c r="D1653" s="68"/>
      <c r="E1653" s="68"/>
      <c r="F1653" s="68"/>
      <c r="G1653" s="67"/>
      <c r="H1653" s="67"/>
      <c r="I1653" s="67"/>
      <c r="J1653" s="68"/>
      <c r="K1653" s="68"/>
    </row>
    <row r="1654" spans="1:11" x14ac:dyDescent="0.25">
      <c r="A1654" s="69"/>
      <c r="B1654" s="67"/>
      <c r="C1654" s="67"/>
      <c r="D1654" s="68"/>
      <c r="E1654" s="68"/>
      <c r="F1654" s="68"/>
      <c r="G1654" s="67"/>
      <c r="H1654" s="67"/>
      <c r="I1654" s="67"/>
      <c r="J1654" s="68"/>
      <c r="K1654" s="68"/>
    </row>
    <row r="1655" spans="1:11" x14ac:dyDescent="0.25">
      <c r="A1655" s="69"/>
      <c r="B1655" s="67"/>
      <c r="C1655" s="67"/>
      <c r="D1655" s="68"/>
      <c r="E1655" s="68"/>
      <c r="F1655" s="68"/>
      <c r="G1655" s="67"/>
      <c r="H1655" s="67"/>
      <c r="I1655" s="67"/>
      <c r="J1655" s="68"/>
      <c r="K1655" s="68"/>
    </row>
    <row r="1656" spans="1:11" x14ac:dyDescent="0.25">
      <c r="A1656" s="69"/>
      <c r="B1656" s="67"/>
      <c r="C1656" s="67"/>
      <c r="D1656" s="70"/>
      <c r="E1656" s="70"/>
      <c r="F1656" s="70"/>
      <c r="G1656" s="67"/>
      <c r="H1656" s="67"/>
      <c r="I1656" s="67"/>
      <c r="J1656" s="68"/>
      <c r="K1656" s="68"/>
    </row>
    <row r="1657" spans="1:11" x14ac:dyDescent="0.25">
      <c r="A1657" s="69"/>
      <c r="B1657" s="67"/>
      <c r="C1657" s="67"/>
      <c r="D1657" s="70"/>
      <c r="E1657" s="70"/>
      <c r="F1657" s="70"/>
      <c r="G1657" s="67"/>
      <c r="H1657" s="67"/>
      <c r="I1657" s="67"/>
      <c r="J1657" s="68"/>
      <c r="K1657" s="68"/>
    </row>
    <row r="1658" spans="1:11" x14ac:dyDescent="0.25">
      <c r="A1658" s="69"/>
      <c r="B1658" s="67"/>
      <c r="C1658" s="67"/>
      <c r="D1658" s="70"/>
      <c r="E1658" s="70"/>
      <c r="F1658" s="70"/>
      <c r="G1658" s="67"/>
      <c r="H1658" s="67"/>
      <c r="I1658" s="67"/>
      <c r="J1658" s="68"/>
      <c r="K1658" s="68"/>
    </row>
    <row r="1659" spans="1:11" x14ac:dyDescent="0.25">
      <c r="A1659" s="69"/>
      <c r="B1659" s="67"/>
      <c r="C1659" s="67"/>
      <c r="D1659" s="68"/>
      <c r="E1659" s="68"/>
      <c r="F1659" s="68"/>
      <c r="G1659" s="67"/>
      <c r="H1659" s="67"/>
      <c r="I1659" s="67"/>
      <c r="J1659" s="68"/>
      <c r="K1659" s="68"/>
    </row>
    <row r="1660" spans="1:11" x14ac:dyDescent="0.25">
      <c r="A1660" s="69"/>
      <c r="B1660" s="67"/>
      <c r="C1660" s="67"/>
      <c r="D1660" s="68"/>
      <c r="E1660" s="68"/>
      <c r="F1660" s="68"/>
      <c r="G1660" s="67"/>
      <c r="H1660" s="67"/>
      <c r="I1660" s="67"/>
      <c r="J1660" s="68"/>
      <c r="K1660" s="68"/>
    </row>
    <row r="1661" spans="1:11" x14ac:dyDescent="0.25">
      <c r="A1661" s="69"/>
      <c r="B1661" s="67"/>
      <c r="C1661" s="67"/>
      <c r="D1661" s="68"/>
      <c r="E1661" s="68"/>
      <c r="F1661" s="68"/>
      <c r="G1661" s="67"/>
      <c r="H1661" s="67"/>
      <c r="I1661" s="67"/>
      <c r="J1661" s="68"/>
      <c r="K1661" s="68"/>
    </row>
    <row r="1662" spans="1:11" x14ac:dyDescent="0.25">
      <c r="A1662" s="69"/>
      <c r="B1662" s="67"/>
      <c r="C1662" s="67"/>
      <c r="D1662" s="68"/>
      <c r="E1662" s="68"/>
      <c r="F1662" s="68"/>
      <c r="G1662" s="67"/>
      <c r="H1662" s="67"/>
      <c r="I1662" s="67"/>
      <c r="J1662" s="68"/>
      <c r="K1662" s="68"/>
    </row>
    <row r="1663" spans="1:11" x14ac:dyDescent="0.25">
      <c r="A1663" s="69"/>
      <c r="B1663" s="67"/>
      <c r="C1663" s="67"/>
      <c r="D1663" s="68"/>
      <c r="E1663" s="68"/>
      <c r="F1663" s="68"/>
      <c r="G1663" s="67"/>
      <c r="H1663" s="67"/>
      <c r="I1663" s="67"/>
      <c r="J1663" s="68"/>
      <c r="K1663" s="68"/>
    </row>
    <row r="1664" spans="1:11" x14ac:dyDescent="0.25">
      <c r="A1664" s="69"/>
      <c r="B1664" s="67"/>
      <c r="C1664" s="67"/>
      <c r="D1664" s="68"/>
      <c r="E1664" s="68"/>
      <c r="F1664" s="68"/>
      <c r="G1664" s="67"/>
      <c r="H1664" s="67"/>
      <c r="I1664" s="67"/>
      <c r="J1664" s="68"/>
      <c r="K1664" s="68"/>
    </row>
    <row r="1665" spans="1:11" x14ac:dyDescent="0.25">
      <c r="A1665" s="69"/>
      <c r="B1665" s="67"/>
      <c r="C1665" s="67"/>
      <c r="D1665" s="68"/>
      <c r="E1665" s="68"/>
      <c r="F1665" s="68"/>
      <c r="G1665" s="67"/>
      <c r="H1665" s="67"/>
      <c r="I1665" s="67"/>
      <c r="J1665" s="68"/>
      <c r="K1665" s="68"/>
    </row>
    <row r="1666" spans="1:11" x14ac:dyDescent="0.25">
      <c r="A1666" s="69"/>
      <c r="B1666" s="67"/>
      <c r="C1666" s="67"/>
      <c r="D1666" s="68"/>
      <c r="E1666" s="68"/>
      <c r="F1666" s="68"/>
      <c r="G1666" s="67"/>
      <c r="H1666" s="67"/>
      <c r="I1666" s="67"/>
      <c r="J1666" s="68"/>
      <c r="K1666" s="68"/>
    </row>
    <row r="1667" spans="1:11" x14ac:dyDescent="0.25">
      <c r="A1667" s="69"/>
      <c r="B1667" s="67"/>
      <c r="C1667" s="67"/>
      <c r="D1667" s="68"/>
      <c r="E1667" s="68"/>
      <c r="F1667" s="68"/>
      <c r="G1667" s="67"/>
      <c r="H1667" s="67"/>
      <c r="I1667" s="67"/>
      <c r="J1667" s="68"/>
      <c r="K1667" s="68"/>
    </row>
    <row r="1668" spans="1:11" x14ac:dyDescent="0.25">
      <c r="A1668" s="69"/>
      <c r="B1668" s="67"/>
      <c r="C1668" s="67"/>
      <c r="D1668" s="68"/>
      <c r="E1668" s="68"/>
      <c r="F1668" s="68"/>
      <c r="G1668" s="67"/>
      <c r="H1668" s="67"/>
      <c r="I1668" s="67"/>
      <c r="J1668" s="68"/>
      <c r="K1668" s="68"/>
    </row>
    <row r="1669" spans="1:11" x14ac:dyDescent="0.25">
      <c r="A1669" s="69"/>
      <c r="B1669" s="67"/>
      <c r="C1669" s="67"/>
      <c r="D1669" s="68"/>
      <c r="E1669" s="68"/>
      <c r="F1669" s="68"/>
      <c r="G1669" s="67"/>
      <c r="H1669" s="67"/>
      <c r="I1669" s="67"/>
      <c r="J1669" s="68"/>
      <c r="K1669" s="68"/>
    </row>
    <row r="1670" spans="1:11" x14ac:dyDescent="0.25">
      <c r="A1670" s="69"/>
      <c r="B1670" s="67"/>
      <c r="C1670" s="67"/>
      <c r="D1670" s="68"/>
      <c r="E1670" s="68"/>
      <c r="F1670" s="68"/>
      <c r="G1670" s="67"/>
      <c r="H1670" s="67"/>
      <c r="I1670" s="67"/>
      <c r="J1670" s="68"/>
      <c r="K1670" s="68"/>
    </row>
    <row r="1671" spans="1:11" x14ac:dyDescent="0.25">
      <c r="A1671" s="69"/>
      <c r="B1671" s="67"/>
      <c r="C1671" s="67"/>
      <c r="D1671" s="68"/>
      <c r="E1671" s="68"/>
      <c r="F1671" s="68"/>
      <c r="G1671" s="67"/>
      <c r="H1671" s="67"/>
      <c r="I1671" s="67"/>
      <c r="J1671" s="68"/>
      <c r="K1671" s="68"/>
    </row>
    <row r="1672" spans="1:11" x14ac:dyDescent="0.25">
      <c r="A1672" s="69"/>
      <c r="B1672" s="67"/>
      <c r="C1672" s="67"/>
      <c r="D1672" s="68"/>
      <c r="E1672" s="68"/>
      <c r="F1672" s="68"/>
      <c r="G1672" s="67"/>
      <c r="H1672" s="67"/>
      <c r="I1672" s="67"/>
      <c r="J1672" s="68"/>
      <c r="K1672" s="68"/>
    </row>
    <row r="1673" spans="1:11" x14ac:dyDescent="0.25">
      <c r="A1673" s="69"/>
      <c r="B1673" s="67"/>
      <c r="C1673" s="67"/>
      <c r="D1673" s="68"/>
      <c r="E1673" s="68"/>
      <c r="F1673" s="68"/>
      <c r="G1673" s="67"/>
      <c r="H1673" s="67"/>
      <c r="I1673" s="67"/>
      <c r="J1673" s="68"/>
      <c r="K1673" s="68"/>
    </row>
    <row r="1674" spans="1:11" x14ac:dyDescent="0.25">
      <c r="A1674" s="69"/>
      <c r="B1674" s="67"/>
      <c r="C1674" s="67"/>
      <c r="D1674" s="68"/>
      <c r="E1674" s="68"/>
      <c r="F1674" s="68"/>
      <c r="G1674" s="67"/>
      <c r="H1674" s="67"/>
      <c r="I1674" s="67"/>
      <c r="J1674" s="68"/>
      <c r="K1674" s="68"/>
    </row>
    <row r="1675" spans="1:11" x14ac:dyDescent="0.25">
      <c r="A1675" s="69"/>
      <c r="B1675" s="67"/>
      <c r="C1675" s="67"/>
      <c r="D1675" s="68"/>
      <c r="E1675" s="68"/>
      <c r="F1675" s="68"/>
      <c r="G1675" s="67"/>
      <c r="H1675" s="67"/>
      <c r="I1675" s="67"/>
      <c r="J1675" s="68"/>
      <c r="K1675" s="68"/>
    </row>
    <row r="1676" spans="1:11" x14ac:dyDescent="0.25">
      <c r="A1676" s="69"/>
      <c r="B1676" s="67"/>
      <c r="C1676" s="67"/>
      <c r="D1676" s="68"/>
      <c r="E1676" s="68"/>
      <c r="F1676" s="68"/>
      <c r="G1676" s="67"/>
      <c r="H1676" s="67"/>
      <c r="I1676" s="67"/>
      <c r="J1676" s="68"/>
      <c r="K1676" s="68"/>
    </row>
    <row r="1677" spans="1:11" x14ac:dyDescent="0.25">
      <c r="A1677" s="69"/>
      <c r="B1677" s="67"/>
      <c r="C1677" s="67"/>
      <c r="D1677" s="68"/>
      <c r="E1677" s="68"/>
      <c r="F1677" s="68"/>
      <c r="G1677" s="67"/>
      <c r="H1677" s="67"/>
      <c r="I1677" s="67"/>
      <c r="J1677" s="68"/>
      <c r="K1677" s="68"/>
    </row>
    <row r="1678" spans="1:11" x14ac:dyDescent="0.25">
      <c r="A1678" s="69"/>
      <c r="B1678" s="67"/>
      <c r="C1678" s="67"/>
      <c r="D1678" s="68"/>
      <c r="E1678" s="68"/>
      <c r="F1678" s="68"/>
      <c r="G1678" s="67"/>
      <c r="H1678" s="67"/>
      <c r="I1678" s="67"/>
      <c r="J1678" s="68"/>
      <c r="K1678" s="68"/>
    </row>
    <row r="1679" spans="1:11" x14ac:dyDescent="0.25">
      <c r="A1679" s="69"/>
      <c r="B1679" s="67"/>
      <c r="C1679" s="67"/>
      <c r="D1679" s="68"/>
      <c r="E1679" s="68"/>
      <c r="F1679" s="68"/>
      <c r="G1679" s="67"/>
      <c r="H1679" s="67"/>
      <c r="I1679" s="67"/>
      <c r="J1679" s="68"/>
      <c r="K1679" s="68"/>
    </row>
    <row r="1680" spans="1:11" x14ac:dyDescent="0.25">
      <c r="A1680" s="69"/>
      <c r="B1680" s="67"/>
      <c r="C1680" s="67"/>
      <c r="D1680" s="70"/>
      <c r="E1680" s="70"/>
      <c r="F1680" s="70"/>
      <c r="G1680" s="67"/>
      <c r="H1680" s="67"/>
      <c r="I1680" s="67"/>
      <c r="J1680" s="68"/>
      <c r="K1680" s="68"/>
    </row>
    <row r="1681" spans="1:11" x14ac:dyDescent="0.25">
      <c r="A1681" s="69"/>
      <c r="B1681" s="67"/>
      <c r="C1681" s="67"/>
      <c r="D1681" s="70"/>
      <c r="E1681" s="70"/>
      <c r="F1681" s="70"/>
      <c r="G1681" s="67"/>
      <c r="H1681" s="67"/>
      <c r="I1681" s="67"/>
      <c r="J1681" s="68"/>
      <c r="K1681" s="68"/>
    </row>
    <row r="1682" spans="1:11" x14ac:dyDescent="0.25">
      <c r="A1682" s="69"/>
      <c r="B1682" s="67"/>
      <c r="C1682" s="67"/>
      <c r="D1682" s="70"/>
      <c r="E1682" s="70"/>
      <c r="F1682" s="70"/>
      <c r="G1682" s="67"/>
      <c r="H1682" s="67"/>
      <c r="I1682" s="67"/>
      <c r="J1682" s="68"/>
      <c r="K1682" s="68"/>
    </row>
    <row r="1683" spans="1:11" x14ac:dyDescent="0.25">
      <c r="A1683" s="69"/>
      <c r="B1683" s="67"/>
      <c r="C1683" s="67"/>
      <c r="D1683" s="68"/>
      <c r="E1683" s="68"/>
      <c r="F1683" s="68"/>
      <c r="G1683" s="67"/>
      <c r="H1683" s="67"/>
      <c r="I1683" s="67"/>
      <c r="J1683" s="68"/>
      <c r="K1683" s="68"/>
    </row>
    <row r="1684" spans="1:11" x14ac:dyDescent="0.25">
      <c r="A1684" s="69"/>
      <c r="B1684" s="67"/>
      <c r="C1684" s="67"/>
      <c r="D1684" s="68"/>
      <c r="E1684" s="68"/>
      <c r="F1684" s="68"/>
      <c r="G1684" s="67"/>
      <c r="H1684" s="67"/>
      <c r="I1684" s="67"/>
      <c r="J1684" s="68"/>
      <c r="K1684" s="68"/>
    </row>
    <row r="1685" spans="1:11" x14ac:dyDescent="0.25">
      <c r="A1685" s="69"/>
      <c r="B1685" s="67"/>
      <c r="C1685" s="67"/>
      <c r="D1685" s="68"/>
      <c r="E1685" s="68"/>
      <c r="F1685" s="68"/>
      <c r="G1685" s="67"/>
      <c r="H1685" s="67"/>
      <c r="I1685" s="67"/>
      <c r="J1685" s="68"/>
      <c r="K1685" s="68"/>
    </row>
    <row r="1686" spans="1:11" x14ac:dyDescent="0.25">
      <c r="A1686" s="69"/>
      <c r="B1686" s="67"/>
      <c r="C1686" s="67"/>
      <c r="D1686" s="68"/>
      <c r="E1686" s="68"/>
      <c r="F1686" s="68"/>
      <c r="G1686" s="67"/>
      <c r="H1686" s="67"/>
      <c r="I1686" s="67"/>
      <c r="J1686" s="68"/>
      <c r="K1686" s="68"/>
    </row>
    <row r="1687" spans="1:11" x14ac:dyDescent="0.25">
      <c r="A1687" s="69"/>
      <c r="B1687" s="67"/>
      <c r="C1687" s="67"/>
      <c r="D1687" s="68"/>
      <c r="E1687" s="68"/>
      <c r="F1687" s="68"/>
      <c r="G1687" s="67"/>
      <c r="H1687" s="67"/>
      <c r="I1687" s="67"/>
      <c r="J1687" s="68"/>
      <c r="K1687" s="68"/>
    </row>
    <row r="1688" spans="1:11" x14ac:dyDescent="0.25">
      <c r="A1688" s="69"/>
      <c r="B1688" s="67"/>
      <c r="C1688" s="67"/>
      <c r="D1688" s="68"/>
      <c r="E1688" s="68"/>
      <c r="F1688" s="68"/>
      <c r="G1688" s="67"/>
      <c r="H1688" s="67"/>
      <c r="I1688" s="67"/>
      <c r="J1688" s="68"/>
      <c r="K1688" s="68"/>
    </row>
    <row r="1689" spans="1:11" x14ac:dyDescent="0.25">
      <c r="A1689" s="69"/>
      <c r="B1689" s="67"/>
      <c r="C1689" s="67"/>
      <c r="D1689" s="68"/>
      <c r="E1689" s="68"/>
      <c r="F1689" s="68"/>
      <c r="G1689" s="67"/>
      <c r="H1689" s="67"/>
      <c r="I1689" s="67"/>
      <c r="J1689" s="68"/>
      <c r="K1689" s="68"/>
    </row>
    <row r="1690" spans="1:11" x14ac:dyDescent="0.25">
      <c r="A1690" s="69"/>
      <c r="B1690" s="67"/>
      <c r="C1690" s="67"/>
      <c r="D1690" s="68"/>
      <c r="E1690" s="68"/>
      <c r="F1690" s="68"/>
      <c r="G1690" s="67"/>
      <c r="H1690" s="67"/>
      <c r="I1690" s="67"/>
      <c r="J1690" s="68"/>
      <c r="K1690" s="68"/>
    </row>
    <row r="1691" spans="1:11" x14ac:dyDescent="0.25">
      <c r="A1691" s="69"/>
      <c r="B1691" s="67"/>
      <c r="C1691" s="67"/>
      <c r="D1691" s="68"/>
      <c r="E1691" s="68"/>
      <c r="F1691" s="68"/>
      <c r="G1691" s="67"/>
      <c r="H1691" s="67"/>
      <c r="I1691" s="67"/>
      <c r="J1691" s="68"/>
      <c r="K1691" s="68"/>
    </row>
    <row r="1692" spans="1:11" x14ac:dyDescent="0.25">
      <c r="A1692" s="69"/>
      <c r="B1692" s="67"/>
      <c r="C1692" s="67"/>
      <c r="D1692" s="68"/>
      <c r="E1692" s="68"/>
      <c r="F1692" s="68"/>
      <c r="G1692" s="67"/>
      <c r="H1692" s="67"/>
      <c r="I1692" s="67"/>
      <c r="J1692" s="68"/>
      <c r="K1692" s="68"/>
    </row>
    <row r="1693" spans="1:11" x14ac:dyDescent="0.25">
      <c r="A1693" s="69"/>
      <c r="B1693" s="67"/>
      <c r="C1693" s="67"/>
      <c r="D1693" s="68"/>
      <c r="E1693" s="68"/>
      <c r="F1693" s="68"/>
      <c r="G1693" s="67"/>
      <c r="H1693" s="67"/>
      <c r="I1693" s="67"/>
      <c r="J1693" s="68"/>
      <c r="K1693" s="68"/>
    </row>
    <row r="1694" spans="1:11" x14ac:dyDescent="0.25">
      <c r="A1694" s="69"/>
      <c r="B1694" s="67"/>
      <c r="C1694" s="67"/>
      <c r="D1694" s="68"/>
      <c r="E1694" s="68"/>
      <c r="F1694" s="68"/>
      <c r="G1694" s="67"/>
      <c r="H1694" s="67"/>
      <c r="I1694" s="67"/>
      <c r="J1694" s="68"/>
      <c r="K1694" s="68"/>
    </row>
    <row r="1695" spans="1:11" x14ac:dyDescent="0.25">
      <c r="A1695" s="69"/>
      <c r="B1695" s="67"/>
      <c r="C1695" s="67"/>
      <c r="D1695" s="68"/>
      <c r="E1695" s="68"/>
      <c r="F1695" s="68"/>
      <c r="G1695" s="67"/>
      <c r="H1695" s="67"/>
      <c r="I1695" s="67"/>
      <c r="J1695" s="68"/>
      <c r="K1695" s="68"/>
    </row>
    <row r="1696" spans="1:11" x14ac:dyDescent="0.25">
      <c r="A1696" s="69"/>
      <c r="B1696" s="67"/>
      <c r="C1696" s="67"/>
      <c r="D1696" s="68"/>
      <c r="E1696" s="68"/>
      <c r="F1696" s="68"/>
      <c r="G1696" s="67"/>
      <c r="H1696" s="67"/>
      <c r="I1696" s="67"/>
      <c r="J1696" s="68"/>
      <c r="K1696" s="68"/>
    </row>
    <row r="1697" spans="1:11" x14ac:dyDescent="0.25">
      <c r="A1697" s="69"/>
      <c r="B1697" s="67"/>
      <c r="C1697" s="67"/>
      <c r="D1697" s="68"/>
      <c r="E1697" s="68"/>
      <c r="F1697" s="68"/>
      <c r="G1697" s="67"/>
      <c r="H1697" s="67"/>
      <c r="I1697" s="67"/>
      <c r="J1697" s="68"/>
      <c r="K1697" s="68"/>
    </row>
    <row r="1698" spans="1:11" x14ac:dyDescent="0.25">
      <c r="A1698" s="69"/>
      <c r="B1698" s="67"/>
      <c r="C1698" s="67"/>
      <c r="D1698" s="68"/>
      <c r="E1698" s="68"/>
      <c r="F1698" s="68"/>
      <c r="G1698" s="67"/>
      <c r="H1698" s="67"/>
      <c r="I1698" s="67"/>
      <c r="J1698" s="68"/>
      <c r="K1698" s="68"/>
    </row>
    <row r="1699" spans="1:11" x14ac:dyDescent="0.25">
      <c r="A1699" s="69"/>
      <c r="B1699" s="67"/>
      <c r="C1699" s="67"/>
      <c r="D1699" s="68"/>
      <c r="E1699" s="68"/>
      <c r="F1699" s="68"/>
      <c r="G1699" s="67"/>
      <c r="H1699" s="67"/>
      <c r="I1699" s="67"/>
      <c r="J1699" s="68"/>
      <c r="K1699" s="68"/>
    </row>
    <row r="1700" spans="1:11" x14ac:dyDescent="0.25">
      <c r="A1700" s="69"/>
      <c r="B1700" s="67"/>
      <c r="C1700" s="67"/>
      <c r="D1700" s="68"/>
      <c r="E1700" s="68"/>
      <c r="F1700" s="68"/>
      <c r="G1700" s="67"/>
      <c r="H1700" s="67"/>
      <c r="I1700" s="67"/>
      <c r="J1700" s="68"/>
      <c r="K1700" s="68"/>
    </row>
    <row r="1701" spans="1:11" x14ac:dyDescent="0.25">
      <c r="A1701" s="69"/>
      <c r="B1701" s="67"/>
      <c r="C1701" s="67"/>
      <c r="D1701" s="68"/>
      <c r="E1701" s="68"/>
      <c r="F1701" s="68"/>
      <c r="G1701" s="67"/>
      <c r="H1701" s="67"/>
      <c r="I1701" s="67"/>
      <c r="J1701" s="68"/>
      <c r="K1701" s="68"/>
    </row>
    <row r="1702" spans="1:11" x14ac:dyDescent="0.25">
      <c r="A1702" s="69"/>
      <c r="B1702" s="67"/>
      <c r="C1702" s="67"/>
      <c r="D1702" s="68"/>
      <c r="E1702" s="68"/>
      <c r="F1702" s="68"/>
      <c r="G1702" s="67"/>
      <c r="H1702" s="67"/>
      <c r="I1702" s="67"/>
      <c r="J1702" s="68"/>
      <c r="K1702" s="68"/>
    </row>
    <row r="1703" spans="1:11" x14ac:dyDescent="0.25">
      <c r="A1703" s="69"/>
      <c r="B1703" s="67"/>
      <c r="C1703" s="67"/>
      <c r="D1703" s="68"/>
      <c r="E1703" s="68"/>
      <c r="F1703" s="68"/>
      <c r="G1703" s="67"/>
      <c r="H1703" s="67"/>
      <c r="I1703" s="67"/>
      <c r="J1703" s="68"/>
      <c r="K1703" s="68"/>
    </row>
    <row r="1704" spans="1:11" x14ac:dyDescent="0.25">
      <c r="A1704" s="69"/>
      <c r="B1704" s="67"/>
      <c r="C1704" s="67"/>
      <c r="D1704" s="70"/>
      <c r="E1704" s="70"/>
      <c r="F1704" s="70"/>
      <c r="G1704" s="67"/>
      <c r="H1704" s="67"/>
      <c r="I1704" s="67"/>
      <c r="J1704" s="68"/>
      <c r="K1704" s="68"/>
    </row>
    <row r="1705" spans="1:11" x14ac:dyDescent="0.25">
      <c r="A1705" s="69"/>
      <c r="B1705" s="67"/>
      <c r="C1705" s="67"/>
      <c r="D1705" s="70"/>
      <c r="E1705" s="70"/>
      <c r="F1705" s="70"/>
      <c r="G1705" s="67"/>
      <c r="H1705" s="67"/>
      <c r="I1705" s="67"/>
      <c r="J1705" s="68"/>
      <c r="K1705" s="68"/>
    </row>
    <row r="1706" spans="1:11" x14ac:dyDescent="0.25">
      <c r="A1706" s="69"/>
      <c r="B1706" s="67"/>
      <c r="C1706" s="67"/>
      <c r="D1706" s="70"/>
      <c r="E1706" s="70"/>
      <c r="F1706" s="70"/>
      <c r="G1706" s="67"/>
      <c r="H1706" s="67"/>
      <c r="I1706" s="67"/>
      <c r="J1706" s="68"/>
      <c r="K1706" s="68"/>
    </row>
    <row r="1707" spans="1:11" x14ac:dyDescent="0.25">
      <c r="A1707" s="69"/>
      <c r="B1707" s="67"/>
      <c r="C1707" s="67"/>
      <c r="D1707" s="68"/>
      <c r="E1707" s="68"/>
      <c r="F1707" s="68"/>
      <c r="G1707" s="67"/>
      <c r="H1707" s="67"/>
      <c r="I1707" s="67"/>
      <c r="J1707" s="68"/>
      <c r="K1707" s="68"/>
    </row>
    <row r="1708" spans="1:11" x14ac:dyDescent="0.25">
      <c r="A1708" s="69"/>
      <c r="B1708" s="67"/>
      <c r="C1708" s="67"/>
      <c r="D1708" s="68"/>
      <c r="E1708" s="68"/>
      <c r="F1708" s="68"/>
      <c r="G1708" s="67"/>
      <c r="H1708" s="67"/>
      <c r="I1708" s="67"/>
      <c r="J1708" s="68"/>
      <c r="K1708" s="68"/>
    </row>
    <row r="1709" spans="1:11" x14ac:dyDescent="0.25">
      <c r="A1709" s="69"/>
      <c r="B1709" s="67"/>
      <c r="C1709" s="67"/>
      <c r="D1709" s="68"/>
      <c r="E1709" s="68"/>
      <c r="F1709" s="68"/>
      <c r="G1709" s="67"/>
      <c r="H1709" s="67"/>
      <c r="I1709" s="67"/>
      <c r="J1709" s="68"/>
      <c r="K1709" s="68"/>
    </row>
    <row r="1710" spans="1:11" x14ac:dyDescent="0.25">
      <c r="A1710" s="69"/>
      <c r="B1710" s="67"/>
      <c r="C1710" s="67"/>
      <c r="D1710" s="68"/>
      <c r="E1710" s="68"/>
      <c r="F1710" s="68"/>
      <c r="G1710" s="67"/>
      <c r="H1710" s="67"/>
      <c r="I1710" s="67"/>
      <c r="J1710" s="68"/>
      <c r="K1710" s="68"/>
    </row>
    <row r="1711" spans="1:11" x14ac:dyDescent="0.25">
      <c r="A1711" s="69"/>
      <c r="B1711" s="67"/>
      <c r="C1711" s="67"/>
      <c r="D1711" s="68"/>
      <c r="E1711" s="68"/>
      <c r="F1711" s="68"/>
      <c r="G1711" s="67"/>
      <c r="H1711" s="67"/>
      <c r="I1711" s="67"/>
      <c r="J1711" s="68"/>
      <c r="K1711" s="68"/>
    </row>
    <row r="1712" spans="1:11" x14ac:dyDescent="0.25">
      <c r="A1712" s="69"/>
      <c r="B1712" s="67"/>
      <c r="C1712" s="67"/>
      <c r="D1712" s="68"/>
      <c r="E1712" s="68"/>
      <c r="F1712" s="68"/>
      <c r="G1712" s="67"/>
      <c r="H1712" s="67"/>
      <c r="I1712" s="67"/>
      <c r="J1712" s="68"/>
      <c r="K1712" s="68"/>
    </row>
    <row r="1713" spans="1:11" x14ac:dyDescent="0.25">
      <c r="A1713" s="69"/>
      <c r="B1713" s="67"/>
      <c r="C1713" s="67"/>
      <c r="D1713" s="68"/>
      <c r="E1713" s="68"/>
      <c r="F1713" s="68"/>
      <c r="G1713" s="67"/>
      <c r="H1713" s="67"/>
      <c r="I1713" s="67"/>
      <c r="J1713" s="68"/>
      <c r="K1713" s="68"/>
    </row>
    <row r="1714" spans="1:11" x14ac:dyDescent="0.25">
      <c r="A1714" s="69"/>
      <c r="B1714" s="67"/>
      <c r="C1714" s="67"/>
      <c r="D1714" s="68"/>
      <c r="E1714" s="68"/>
      <c r="F1714" s="68"/>
      <c r="G1714" s="67"/>
      <c r="H1714" s="67"/>
      <c r="I1714" s="67"/>
      <c r="J1714" s="68"/>
      <c r="K1714" s="68"/>
    </row>
    <row r="1715" spans="1:11" x14ac:dyDescent="0.25">
      <c r="A1715" s="69"/>
      <c r="B1715" s="67"/>
      <c r="C1715" s="67"/>
      <c r="D1715" s="68"/>
      <c r="E1715" s="68"/>
      <c r="F1715" s="68"/>
      <c r="G1715" s="67"/>
      <c r="H1715" s="67"/>
      <c r="I1715" s="67"/>
      <c r="J1715" s="68"/>
      <c r="K1715" s="68"/>
    </row>
    <row r="1716" spans="1:11" x14ac:dyDescent="0.25">
      <c r="A1716" s="69"/>
      <c r="B1716" s="67"/>
      <c r="C1716" s="67"/>
      <c r="D1716" s="68"/>
      <c r="E1716" s="68"/>
      <c r="F1716" s="68"/>
      <c r="G1716" s="67"/>
      <c r="H1716" s="67"/>
      <c r="I1716" s="67"/>
      <c r="J1716" s="68"/>
      <c r="K1716" s="68"/>
    </row>
    <row r="1717" spans="1:11" x14ac:dyDescent="0.25">
      <c r="A1717" s="69"/>
      <c r="B1717" s="67"/>
      <c r="C1717" s="67"/>
      <c r="D1717" s="68"/>
      <c r="E1717" s="68"/>
      <c r="F1717" s="68"/>
      <c r="G1717" s="67"/>
      <c r="H1717" s="67"/>
      <c r="I1717" s="67"/>
      <c r="J1717" s="68"/>
      <c r="K1717" s="68"/>
    </row>
    <row r="1718" spans="1:11" x14ac:dyDescent="0.25">
      <c r="A1718" s="69"/>
      <c r="B1718" s="67"/>
      <c r="C1718" s="67"/>
      <c r="D1718" s="68"/>
      <c r="E1718" s="68"/>
      <c r="F1718" s="68"/>
      <c r="G1718" s="67"/>
      <c r="H1718" s="67"/>
      <c r="I1718" s="67"/>
      <c r="J1718" s="68"/>
      <c r="K1718" s="68"/>
    </row>
    <row r="1719" spans="1:11" x14ac:dyDescent="0.25">
      <c r="A1719" s="69"/>
      <c r="B1719" s="67"/>
      <c r="C1719" s="67"/>
      <c r="D1719" s="68"/>
      <c r="E1719" s="68"/>
      <c r="F1719" s="68"/>
      <c r="G1719" s="67"/>
      <c r="H1719" s="67"/>
      <c r="I1719" s="67"/>
      <c r="J1719" s="68"/>
      <c r="K1719" s="68"/>
    </row>
    <row r="1720" spans="1:11" x14ac:dyDescent="0.25">
      <c r="A1720" s="69"/>
      <c r="B1720" s="67"/>
      <c r="C1720" s="67"/>
      <c r="D1720" s="68"/>
      <c r="E1720" s="68"/>
      <c r="F1720" s="68"/>
      <c r="G1720" s="67"/>
      <c r="H1720" s="67"/>
      <c r="I1720" s="67"/>
      <c r="J1720" s="68"/>
      <c r="K1720" s="68"/>
    </row>
    <row r="1721" spans="1:11" x14ac:dyDescent="0.25">
      <c r="A1721" s="69"/>
      <c r="B1721" s="67"/>
      <c r="C1721" s="67"/>
      <c r="D1721" s="68"/>
      <c r="E1721" s="68"/>
      <c r="F1721" s="68"/>
      <c r="G1721" s="67"/>
      <c r="H1721" s="67"/>
      <c r="I1721" s="67"/>
      <c r="J1721" s="68"/>
      <c r="K1721" s="68"/>
    </row>
    <row r="1722" spans="1:11" x14ac:dyDescent="0.25">
      <c r="A1722" s="69"/>
      <c r="B1722" s="67"/>
      <c r="C1722" s="67"/>
      <c r="D1722" s="68"/>
      <c r="E1722" s="68"/>
      <c r="F1722" s="68"/>
      <c r="G1722" s="67"/>
      <c r="H1722" s="67"/>
      <c r="I1722" s="67"/>
      <c r="J1722" s="68"/>
      <c r="K1722" s="68"/>
    </row>
    <row r="1723" spans="1:11" x14ac:dyDescent="0.25">
      <c r="A1723" s="69"/>
      <c r="B1723" s="67"/>
      <c r="C1723" s="67"/>
      <c r="D1723" s="68"/>
      <c r="E1723" s="68"/>
      <c r="F1723" s="68"/>
      <c r="G1723" s="67"/>
      <c r="H1723" s="67"/>
      <c r="I1723" s="67"/>
      <c r="J1723" s="68"/>
      <c r="K1723" s="68"/>
    </row>
    <row r="1724" spans="1:11" x14ac:dyDescent="0.25">
      <c r="A1724" s="69"/>
      <c r="B1724" s="67"/>
      <c r="C1724" s="67"/>
      <c r="D1724" s="68"/>
      <c r="E1724" s="68"/>
      <c r="F1724" s="68"/>
      <c r="G1724" s="67"/>
      <c r="H1724" s="67"/>
      <c r="I1724" s="67"/>
      <c r="J1724" s="68"/>
      <c r="K1724" s="68"/>
    </row>
    <row r="1725" spans="1:11" x14ac:dyDescent="0.25">
      <c r="A1725" s="69"/>
      <c r="B1725" s="67"/>
      <c r="C1725" s="67"/>
      <c r="D1725" s="68"/>
      <c r="E1725" s="68"/>
      <c r="F1725" s="68"/>
      <c r="G1725" s="67"/>
      <c r="H1725" s="67"/>
      <c r="I1725" s="67"/>
      <c r="J1725" s="68"/>
      <c r="K1725" s="68"/>
    </row>
    <row r="1726" spans="1:11" x14ac:dyDescent="0.25">
      <c r="A1726" s="69"/>
      <c r="B1726" s="67"/>
      <c r="C1726" s="67"/>
      <c r="D1726" s="68"/>
      <c r="E1726" s="68"/>
      <c r="F1726" s="68"/>
      <c r="G1726" s="67"/>
      <c r="H1726" s="67"/>
      <c r="I1726" s="67"/>
      <c r="J1726" s="68"/>
      <c r="K1726" s="68"/>
    </row>
    <row r="1727" spans="1:11" x14ac:dyDescent="0.25">
      <c r="A1727" s="69"/>
      <c r="B1727" s="67"/>
      <c r="C1727" s="67"/>
      <c r="D1727" s="68"/>
      <c r="E1727" s="68"/>
      <c r="F1727" s="68"/>
      <c r="G1727" s="67"/>
      <c r="H1727" s="67"/>
      <c r="I1727" s="67"/>
      <c r="J1727" s="68"/>
      <c r="K1727" s="68"/>
    </row>
    <row r="1728" spans="1:11" x14ac:dyDescent="0.25">
      <c r="A1728" s="69"/>
      <c r="B1728" s="67"/>
      <c r="C1728" s="67"/>
      <c r="D1728" s="70"/>
      <c r="E1728" s="70"/>
      <c r="F1728" s="70"/>
      <c r="G1728" s="67"/>
      <c r="H1728" s="67"/>
      <c r="I1728" s="67"/>
      <c r="J1728" s="68"/>
      <c r="K1728" s="68"/>
    </row>
    <row r="1729" spans="1:11" x14ac:dyDescent="0.25">
      <c r="A1729" s="69"/>
      <c r="B1729" s="67"/>
      <c r="C1729" s="67"/>
      <c r="D1729" s="70"/>
      <c r="E1729" s="70"/>
      <c r="F1729" s="70"/>
      <c r="G1729" s="67"/>
      <c r="H1729" s="67"/>
      <c r="I1729" s="67"/>
      <c r="J1729" s="68"/>
      <c r="K1729" s="68"/>
    </row>
    <row r="1730" spans="1:11" x14ac:dyDescent="0.25">
      <c r="A1730" s="69"/>
      <c r="B1730" s="67"/>
      <c r="C1730" s="67"/>
      <c r="D1730" s="70"/>
      <c r="E1730" s="70"/>
      <c r="F1730" s="70"/>
      <c r="G1730" s="67"/>
      <c r="H1730" s="67"/>
      <c r="I1730" s="67"/>
      <c r="J1730" s="68"/>
      <c r="K1730" s="68"/>
    </row>
    <row r="1731" spans="1:11" x14ac:dyDescent="0.25">
      <c r="A1731" s="69"/>
      <c r="B1731" s="67"/>
      <c r="C1731" s="67"/>
      <c r="D1731" s="68"/>
      <c r="E1731" s="68"/>
      <c r="F1731" s="68"/>
      <c r="G1731" s="67"/>
      <c r="H1731" s="67"/>
      <c r="I1731" s="67"/>
      <c r="J1731" s="68"/>
      <c r="K1731" s="68"/>
    </row>
    <row r="1732" spans="1:11" x14ac:dyDescent="0.25">
      <c r="A1732" s="69"/>
      <c r="B1732" s="67"/>
      <c r="C1732" s="67"/>
      <c r="D1732" s="68"/>
      <c r="E1732" s="68"/>
      <c r="F1732" s="68"/>
      <c r="G1732" s="67"/>
      <c r="H1732" s="67"/>
      <c r="I1732" s="67"/>
      <c r="J1732" s="68"/>
      <c r="K1732" s="68"/>
    </row>
    <row r="1733" spans="1:11" x14ac:dyDescent="0.25">
      <c r="A1733" s="69"/>
      <c r="B1733" s="67"/>
      <c r="C1733" s="67"/>
      <c r="D1733" s="68"/>
      <c r="E1733" s="68"/>
      <c r="F1733" s="68"/>
      <c r="G1733" s="67"/>
      <c r="H1733" s="67"/>
      <c r="I1733" s="67"/>
      <c r="J1733" s="68"/>
      <c r="K1733" s="68"/>
    </row>
    <row r="1734" spans="1:11" x14ac:dyDescent="0.25">
      <c r="A1734" s="69"/>
      <c r="B1734" s="67"/>
      <c r="C1734" s="67"/>
      <c r="D1734" s="68"/>
      <c r="E1734" s="68"/>
      <c r="F1734" s="68"/>
      <c r="G1734" s="67"/>
      <c r="H1734" s="67"/>
      <c r="I1734" s="67"/>
      <c r="J1734" s="68"/>
      <c r="K1734" s="68"/>
    </row>
    <row r="1735" spans="1:11" x14ac:dyDescent="0.25">
      <c r="A1735" s="69"/>
      <c r="B1735" s="67"/>
      <c r="C1735" s="67"/>
      <c r="D1735" s="68"/>
      <c r="E1735" s="68"/>
      <c r="F1735" s="68"/>
      <c r="G1735" s="67"/>
      <c r="H1735" s="67"/>
      <c r="I1735" s="67"/>
      <c r="J1735" s="68"/>
      <c r="K1735" s="68"/>
    </row>
    <row r="1736" spans="1:11" x14ac:dyDescent="0.25">
      <c r="A1736" s="69"/>
      <c r="B1736" s="67"/>
      <c r="C1736" s="67"/>
      <c r="D1736" s="68"/>
      <c r="E1736" s="68"/>
      <c r="F1736" s="68"/>
      <c r="G1736" s="67"/>
      <c r="H1736" s="67"/>
      <c r="I1736" s="67"/>
      <c r="J1736" s="68"/>
      <c r="K1736" s="68"/>
    </row>
    <row r="1737" spans="1:11" x14ac:dyDescent="0.25">
      <c r="A1737" s="69"/>
      <c r="B1737" s="67"/>
      <c r="C1737" s="67"/>
      <c r="D1737" s="68"/>
      <c r="E1737" s="68"/>
      <c r="F1737" s="68"/>
      <c r="G1737" s="67"/>
      <c r="H1737" s="67"/>
      <c r="I1737" s="67"/>
      <c r="J1737" s="68"/>
      <c r="K1737" s="68"/>
    </row>
    <row r="1738" spans="1:11" x14ac:dyDescent="0.25">
      <c r="A1738" s="69"/>
      <c r="B1738" s="67"/>
      <c r="C1738" s="67"/>
      <c r="D1738" s="68"/>
      <c r="E1738" s="68"/>
      <c r="F1738" s="68"/>
      <c r="G1738" s="67"/>
      <c r="H1738" s="67"/>
      <c r="I1738" s="67"/>
      <c r="J1738" s="68"/>
      <c r="K1738" s="68"/>
    </row>
    <row r="1739" spans="1:11" x14ac:dyDescent="0.25">
      <c r="A1739" s="69"/>
      <c r="B1739" s="67"/>
      <c r="C1739" s="67"/>
      <c r="D1739" s="68"/>
      <c r="E1739" s="68"/>
      <c r="F1739" s="68"/>
      <c r="G1739" s="67"/>
      <c r="H1739" s="67"/>
      <c r="I1739" s="67"/>
      <c r="J1739" s="68"/>
      <c r="K1739" s="68"/>
    </row>
    <row r="1740" spans="1:11" x14ac:dyDescent="0.25">
      <c r="A1740" s="69"/>
      <c r="B1740" s="67"/>
      <c r="C1740" s="67"/>
      <c r="D1740" s="68"/>
      <c r="E1740" s="68"/>
      <c r="F1740" s="68"/>
      <c r="G1740" s="67"/>
      <c r="H1740" s="67"/>
      <c r="I1740" s="67"/>
      <c r="J1740" s="68"/>
      <c r="K1740" s="68"/>
    </row>
    <row r="1741" spans="1:11" x14ac:dyDescent="0.25">
      <c r="A1741" s="69"/>
      <c r="B1741" s="67"/>
      <c r="C1741" s="67"/>
      <c r="D1741" s="68"/>
      <c r="E1741" s="68"/>
      <c r="F1741" s="68"/>
      <c r="G1741" s="67"/>
      <c r="H1741" s="67"/>
      <c r="I1741" s="67"/>
      <c r="J1741" s="68"/>
      <c r="K1741" s="68"/>
    </row>
    <row r="1742" spans="1:11" x14ac:dyDescent="0.25">
      <c r="A1742" s="69"/>
      <c r="B1742" s="67"/>
      <c r="C1742" s="67"/>
      <c r="D1742" s="68"/>
      <c r="E1742" s="68"/>
      <c r="F1742" s="68"/>
      <c r="G1742" s="67"/>
      <c r="H1742" s="67"/>
      <c r="I1742" s="67"/>
      <c r="J1742" s="68"/>
      <c r="K1742" s="68"/>
    </row>
    <row r="1743" spans="1:11" x14ac:dyDescent="0.25">
      <c r="A1743" s="69"/>
      <c r="B1743" s="67"/>
      <c r="C1743" s="67"/>
      <c r="D1743" s="68"/>
      <c r="E1743" s="68"/>
      <c r="F1743" s="68"/>
      <c r="G1743" s="67"/>
      <c r="H1743" s="67"/>
      <c r="I1743" s="67"/>
      <c r="J1743" s="68"/>
      <c r="K1743" s="68"/>
    </row>
    <row r="1744" spans="1:11" x14ac:dyDescent="0.25">
      <c r="A1744" s="69"/>
      <c r="B1744" s="67"/>
      <c r="C1744" s="67"/>
      <c r="D1744" s="68"/>
      <c r="E1744" s="68"/>
      <c r="F1744" s="68"/>
      <c r="G1744" s="67"/>
      <c r="H1744" s="67"/>
      <c r="I1744" s="67"/>
      <c r="J1744" s="68"/>
      <c r="K1744" s="68"/>
    </row>
    <row r="1745" spans="1:11" x14ac:dyDescent="0.25">
      <c r="A1745" s="69"/>
      <c r="B1745" s="67"/>
      <c r="C1745" s="67"/>
      <c r="D1745" s="68"/>
      <c r="E1745" s="68"/>
      <c r="F1745" s="68"/>
      <c r="G1745" s="67"/>
      <c r="H1745" s="67"/>
      <c r="I1745" s="67"/>
      <c r="J1745" s="68"/>
      <c r="K1745" s="68"/>
    </row>
    <row r="1746" spans="1:11" x14ac:dyDescent="0.25">
      <c r="A1746" s="69"/>
      <c r="B1746" s="67"/>
      <c r="C1746" s="67"/>
      <c r="D1746" s="68"/>
      <c r="E1746" s="68"/>
      <c r="F1746" s="68"/>
      <c r="G1746" s="67"/>
      <c r="H1746" s="67"/>
      <c r="I1746" s="67"/>
      <c r="J1746" s="68"/>
      <c r="K1746" s="68"/>
    </row>
    <row r="1747" spans="1:11" x14ac:dyDescent="0.25">
      <c r="A1747" s="69"/>
      <c r="B1747" s="67"/>
      <c r="C1747" s="67"/>
      <c r="D1747" s="68"/>
      <c r="E1747" s="68"/>
      <c r="F1747" s="68"/>
      <c r="G1747" s="67"/>
      <c r="H1747" s="67"/>
      <c r="I1747" s="67"/>
      <c r="J1747" s="68"/>
      <c r="K1747" s="68"/>
    </row>
    <row r="1748" spans="1:11" x14ac:dyDescent="0.25">
      <c r="A1748" s="69"/>
      <c r="B1748" s="67"/>
      <c r="C1748" s="67"/>
      <c r="D1748" s="68"/>
      <c r="E1748" s="68"/>
      <c r="F1748" s="68"/>
      <c r="G1748" s="67"/>
      <c r="H1748" s="67"/>
      <c r="I1748" s="67"/>
      <c r="J1748" s="68"/>
      <c r="K1748" s="68"/>
    </row>
    <row r="1749" spans="1:11" x14ac:dyDescent="0.25">
      <c r="A1749" s="69"/>
      <c r="B1749" s="67"/>
      <c r="C1749" s="67"/>
      <c r="D1749" s="68"/>
      <c r="E1749" s="68"/>
      <c r="F1749" s="68"/>
      <c r="G1749" s="67"/>
      <c r="H1749" s="67"/>
      <c r="I1749" s="67"/>
      <c r="J1749" s="68"/>
      <c r="K1749" s="68"/>
    </row>
    <row r="1750" spans="1:11" x14ac:dyDescent="0.25">
      <c r="A1750" s="69"/>
      <c r="B1750" s="67"/>
      <c r="C1750" s="67"/>
      <c r="D1750" s="68"/>
      <c r="E1750" s="68"/>
      <c r="F1750" s="68"/>
      <c r="G1750" s="67"/>
      <c r="H1750" s="67"/>
      <c r="I1750" s="67"/>
      <c r="J1750" s="68"/>
      <c r="K1750" s="68"/>
    </row>
    <row r="1751" spans="1:11" x14ac:dyDescent="0.25">
      <c r="A1751" s="69"/>
      <c r="B1751" s="67"/>
      <c r="C1751" s="67"/>
      <c r="D1751" s="68"/>
      <c r="E1751" s="68"/>
      <c r="F1751" s="68"/>
      <c r="G1751" s="67"/>
      <c r="H1751" s="67"/>
      <c r="I1751" s="67"/>
      <c r="J1751" s="68"/>
      <c r="K1751" s="68"/>
    </row>
    <row r="1752" spans="1:11" x14ac:dyDescent="0.25">
      <c r="A1752" s="69"/>
      <c r="B1752" s="67"/>
      <c r="C1752" s="67"/>
      <c r="D1752" s="70"/>
      <c r="E1752" s="70"/>
      <c r="F1752" s="70"/>
      <c r="G1752" s="67"/>
      <c r="H1752" s="67"/>
      <c r="I1752" s="67"/>
      <c r="J1752" s="68"/>
      <c r="K1752" s="68"/>
    </row>
    <row r="1753" spans="1:11" x14ac:dyDescent="0.25">
      <c r="A1753" s="69"/>
      <c r="B1753" s="67"/>
      <c r="C1753" s="67"/>
      <c r="D1753" s="70"/>
      <c r="E1753" s="70"/>
      <c r="F1753" s="70"/>
      <c r="G1753" s="67"/>
      <c r="H1753" s="67"/>
      <c r="I1753" s="67"/>
      <c r="J1753" s="68"/>
      <c r="K1753" s="68"/>
    </row>
    <row r="1754" spans="1:11" x14ac:dyDescent="0.25">
      <c r="A1754" s="69"/>
      <c r="B1754" s="67"/>
      <c r="C1754" s="67"/>
      <c r="D1754" s="70"/>
      <c r="E1754" s="70"/>
      <c r="F1754" s="70"/>
      <c r="G1754" s="67"/>
      <c r="H1754" s="67"/>
      <c r="I1754" s="67"/>
      <c r="J1754" s="68"/>
      <c r="K1754" s="68"/>
    </row>
    <row r="1755" spans="1:11" x14ac:dyDescent="0.25">
      <c r="A1755" s="69"/>
      <c r="B1755" s="67"/>
      <c r="C1755" s="67"/>
      <c r="D1755" s="68"/>
      <c r="E1755" s="68"/>
      <c r="F1755" s="68"/>
      <c r="G1755" s="67"/>
      <c r="H1755" s="67"/>
      <c r="I1755" s="67"/>
      <c r="J1755" s="68"/>
      <c r="K1755" s="68"/>
    </row>
    <row r="1756" spans="1:11" x14ac:dyDescent="0.25">
      <c r="A1756" s="69"/>
      <c r="B1756" s="67"/>
      <c r="C1756" s="67"/>
      <c r="D1756" s="68"/>
      <c r="E1756" s="68"/>
      <c r="F1756" s="68"/>
      <c r="G1756" s="67"/>
      <c r="H1756" s="67"/>
      <c r="I1756" s="67"/>
      <c r="J1756" s="68"/>
      <c r="K1756" s="68"/>
    </row>
    <row r="1757" spans="1:11" x14ac:dyDescent="0.25">
      <c r="A1757" s="69"/>
      <c r="B1757" s="67"/>
      <c r="C1757" s="67"/>
      <c r="D1757" s="68"/>
      <c r="E1757" s="68"/>
      <c r="F1757" s="68"/>
      <c r="G1757" s="67"/>
      <c r="H1757" s="67"/>
      <c r="I1757" s="67"/>
      <c r="J1757" s="68"/>
      <c r="K1757" s="68"/>
    </row>
    <row r="1758" spans="1:11" x14ac:dyDescent="0.25">
      <c r="A1758" s="69"/>
      <c r="B1758" s="67"/>
      <c r="C1758" s="67"/>
      <c r="D1758" s="68"/>
      <c r="E1758" s="68"/>
      <c r="F1758" s="68"/>
      <c r="G1758" s="67"/>
      <c r="H1758" s="67"/>
      <c r="I1758" s="67"/>
      <c r="J1758" s="68"/>
      <c r="K1758" s="68"/>
    </row>
    <row r="1759" spans="1:11" x14ac:dyDescent="0.25">
      <c r="A1759" s="69"/>
      <c r="B1759" s="67"/>
      <c r="C1759" s="67"/>
      <c r="D1759" s="68"/>
      <c r="E1759" s="68"/>
      <c r="F1759" s="68"/>
      <c r="G1759" s="67"/>
      <c r="H1759" s="67"/>
      <c r="I1759" s="67"/>
      <c r="J1759" s="68"/>
      <c r="K1759" s="68"/>
    </row>
    <row r="1760" spans="1:11" x14ac:dyDescent="0.25">
      <c r="A1760" s="69"/>
      <c r="B1760" s="67"/>
      <c r="C1760" s="67"/>
      <c r="D1760" s="68"/>
      <c r="E1760" s="68"/>
      <c r="F1760" s="68"/>
      <c r="G1760" s="67"/>
      <c r="H1760" s="67"/>
      <c r="I1760" s="67"/>
      <c r="J1760" s="68"/>
      <c r="K1760" s="68"/>
    </row>
    <row r="1761" spans="1:11" x14ac:dyDescent="0.25">
      <c r="A1761" s="69"/>
      <c r="B1761" s="67"/>
      <c r="C1761" s="67"/>
      <c r="D1761" s="68"/>
      <c r="E1761" s="68"/>
      <c r="F1761" s="68"/>
      <c r="G1761" s="67"/>
      <c r="H1761" s="67"/>
      <c r="I1761" s="67"/>
      <c r="J1761" s="68"/>
      <c r="K1761" s="68"/>
    </row>
    <row r="1762" spans="1:11" x14ac:dyDescent="0.25">
      <c r="A1762" s="69"/>
      <c r="B1762" s="67"/>
      <c r="C1762" s="67"/>
      <c r="D1762" s="68"/>
      <c r="E1762" s="68"/>
      <c r="F1762" s="68"/>
      <c r="G1762" s="67"/>
      <c r="H1762" s="67"/>
      <c r="I1762" s="67"/>
      <c r="J1762" s="68"/>
      <c r="K1762" s="68"/>
    </row>
    <row r="1763" spans="1:11" x14ac:dyDescent="0.25">
      <c r="A1763" s="69"/>
      <c r="B1763" s="67"/>
      <c r="C1763" s="67"/>
      <c r="D1763" s="68"/>
      <c r="E1763" s="68"/>
      <c r="F1763" s="68"/>
      <c r="G1763" s="67"/>
      <c r="H1763" s="67"/>
      <c r="I1763" s="67"/>
      <c r="J1763" s="68"/>
      <c r="K1763" s="68"/>
    </row>
    <row r="1764" spans="1:11" x14ac:dyDescent="0.25">
      <c r="A1764" s="69"/>
      <c r="B1764" s="67"/>
      <c r="C1764" s="67"/>
      <c r="D1764" s="68"/>
      <c r="E1764" s="68"/>
      <c r="F1764" s="68"/>
      <c r="G1764" s="67"/>
      <c r="H1764" s="67"/>
      <c r="I1764" s="67"/>
      <c r="J1764" s="68"/>
      <c r="K1764" s="68"/>
    </row>
    <row r="1765" spans="1:11" x14ac:dyDescent="0.25">
      <c r="A1765" s="69"/>
      <c r="B1765" s="67"/>
      <c r="C1765" s="67"/>
      <c r="D1765" s="68"/>
      <c r="E1765" s="68"/>
      <c r="F1765" s="68"/>
      <c r="G1765" s="67"/>
      <c r="H1765" s="67"/>
      <c r="I1765" s="67"/>
      <c r="J1765" s="68"/>
      <c r="K1765" s="68"/>
    </row>
    <row r="1766" spans="1:11" x14ac:dyDescent="0.25">
      <c r="A1766" s="69"/>
      <c r="B1766" s="67"/>
      <c r="C1766" s="67"/>
      <c r="D1766" s="68"/>
      <c r="E1766" s="68"/>
      <c r="F1766" s="68"/>
      <c r="G1766" s="67"/>
      <c r="H1766" s="67"/>
      <c r="I1766" s="67"/>
      <c r="J1766" s="68"/>
      <c r="K1766" s="68"/>
    </row>
    <row r="1767" spans="1:11" x14ac:dyDescent="0.25">
      <c r="A1767" s="69"/>
      <c r="B1767" s="67"/>
      <c r="C1767" s="67"/>
      <c r="D1767" s="68"/>
      <c r="E1767" s="68"/>
      <c r="F1767" s="68"/>
      <c r="G1767" s="67"/>
      <c r="H1767" s="67"/>
      <c r="I1767" s="67"/>
      <c r="J1767" s="68"/>
      <c r="K1767" s="68"/>
    </row>
    <row r="1768" spans="1:11" x14ac:dyDescent="0.25">
      <c r="A1768" s="69"/>
      <c r="B1768" s="67"/>
      <c r="C1768" s="67"/>
      <c r="D1768" s="68"/>
      <c r="E1768" s="68"/>
      <c r="F1768" s="68"/>
      <c r="G1768" s="67"/>
      <c r="H1768" s="67"/>
      <c r="I1768" s="67"/>
      <c r="J1768" s="68"/>
      <c r="K1768" s="68"/>
    </row>
    <row r="1769" spans="1:11" x14ac:dyDescent="0.25">
      <c r="A1769" s="69"/>
      <c r="B1769" s="67"/>
      <c r="C1769" s="67"/>
      <c r="D1769" s="68"/>
      <c r="E1769" s="68"/>
      <c r="F1769" s="68"/>
      <c r="G1769" s="67"/>
      <c r="H1769" s="67"/>
      <c r="I1769" s="67"/>
      <c r="J1769" s="68"/>
      <c r="K1769" s="68"/>
    </row>
    <row r="1770" spans="1:11" x14ac:dyDescent="0.25">
      <c r="A1770" s="69"/>
      <c r="B1770" s="67"/>
      <c r="C1770" s="67"/>
      <c r="D1770" s="68"/>
      <c r="E1770" s="68"/>
      <c r="F1770" s="68"/>
      <c r="G1770" s="67"/>
      <c r="H1770" s="67"/>
      <c r="I1770" s="67"/>
      <c r="J1770" s="68"/>
      <c r="K1770" s="68"/>
    </row>
    <row r="1771" spans="1:11" x14ac:dyDescent="0.25">
      <c r="A1771" s="69"/>
      <c r="B1771" s="67"/>
      <c r="C1771" s="67"/>
      <c r="D1771" s="68"/>
      <c r="E1771" s="68"/>
      <c r="F1771" s="68"/>
      <c r="G1771" s="67"/>
      <c r="H1771" s="67"/>
      <c r="I1771" s="67"/>
      <c r="J1771" s="68"/>
      <c r="K1771" s="68"/>
    </row>
    <row r="1772" spans="1:11" x14ac:dyDescent="0.25">
      <c r="A1772" s="69"/>
      <c r="B1772" s="67"/>
      <c r="C1772" s="67"/>
      <c r="D1772" s="68"/>
      <c r="E1772" s="68"/>
      <c r="F1772" s="68"/>
      <c r="G1772" s="67"/>
      <c r="H1772" s="67"/>
      <c r="I1772" s="67"/>
      <c r="J1772" s="68"/>
      <c r="K1772" s="68"/>
    </row>
    <row r="1773" spans="1:11" x14ac:dyDescent="0.25">
      <c r="A1773" s="69"/>
      <c r="B1773" s="67"/>
      <c r="C1773" s="67"/>
      <c r="D1773" s="68"/>
      <c r="E1773" s="68"/>
      <c r="F1773" s="68"/>
      <c r="G1773" s="67"/>
      <c r="H1773" s="67"/>
      <c r="I1773" s="67"/>
      <c r="J1773" s="68"/>
      <c r="K1773" s="68"/>
    </row>
    <row r="1774" spans="1:11" x14ac:dyDescent="0.25">
      <c r="A1774" s="69"/>
      <c r="B1774" s="67"/>
      <c r="C1774" s="67"/>
      <c r="D1774" s="68"/>
      <c r="E1774" s="68"/>
      <c r="F1774" s="68"/>
      <c r="G1774" s="67"/>
      <c r="H1774" s="67"/>
      <c r="I1774" s="67"/>
      <c r="J1774" s="68"/>
      <c r="K1774" s="68"/>
    </row>
    <row r="1775" spans="1:11" x14ac:dyDescent="0.25">
      <c r="A1775" s="69"/>
      <c r="B1775" s="67"/>
      <c r="C1775" s="67"/>
      <c r="D1775" s="68"/>
      <c r="E1775" s="68"/>
      <c r="F1775" s="68"/>
      <c r="G1775" s="67"/>
      <c r="H1775" s="67"/>
      <c r="I1775" s="67"/>
      <c r="J1775" s="68"/>
      <c r="K1775" s="68"/>
    </row>
    <row r="1776" spans="1:11" x14ac:dyDescent="0.25">
      <c r="A1776" s="69"/>
      <c r="B1776" s="67"/>
      <c r="C1776" s="67"/>
      <c r="D1776" s="70"/>
      <c r="E1776" s="70"/>
      <c r="F1776" s="70"/>
      <c r="G1776" s="67"/>
      <c r="H1776" s="67"/>
      <c r="I1776" s="67"/>
      <c r="J1776" s="68"/>
      <c r="K1776" s="68"/>
    </row>
    <row r="1777" spans="1:11" x14ac:dyDescent="0.25">
      <c r="A1777" s="69"/>
      <c r="B1777" s="67"/>
      <c r="C1777" s="67"/>
      <c r="D1777" s="70"/>
      <c r="E1777" s="70"/>
      <c r="F1777" s="70"/>
      <c r="G1777" s="67"/>
      <c r="H1777" s="67"/>
      <c r="I1777" s="67"/>
      <c r="J1777" s="68"/>
      <c r="K1777" s="68"/>
    </row>
    <row r="1778" spans="1:11" x14ac:dyDescent="0.25">
      <c r="A1778" s="69"/>
      <c r="B1778" s="67"/>
      <c r="C1778" s="67"/>
      <c r="D1778" s="70"/>
      <c r="E1778" s="70"/>
      <c r="F1778" s="70"/>
      <c r="G1778" s="67"/>
      <c r="H1778" s="67"/>
      <c r="I1778" s="67"/>
      <c r="J1778" s="68"/>
      <c r="K1778" s="68"/>
    </row>
    <row r="1779" spans="1:11" x14ac:dyDescent="0.25">
      <c r="A1779" s="69"/>
      <c r="B1779" s="67"/>
      <c r="C1779" s="67"/>
      <c r="D1779" s="68"/>
      <c r="E1779" s="68"/>
      <c r="F1779" s="68"/>
      <c r="G1779" s="67"/>
      <c r="H1779" s="67"/>
      <c r="I1779" s="67"/>
      <c r="J1779" s="68"/>
      <c r="K1779" s="68"/>
    </row>
    <row r="1780" spans="1:11" x14ac:dyDescent="0.25">
      <c r="A1780" s="69"/>
      <c r="B1780" s="67"/>
      <c r="C1780" s="67"/>
      <c r="D1780" s="68"/>
      <c r="E1780" s="68"/>
      <c r="F1780" s="68"/>
      <c r="G1780" s="67"/>
      <c r="H1780" s="67"/>
      <c r="I1780" s="67"/>
      <c r="J1780" s="68"/>
      <c r="K1780" s="68"/>
    </row>
    <row r="1781" spans="1:11" x14ac:dyDescent="0.25">
      <c r="A1781" s="69"/>
      <c r="B1781" s="67"/>
      <c r="C1781" s="67"/>
      <c r="D1781" s="68"/>
      <c r="E1781" s="68"/>
      <c r="F1781" s="68"/>
      <c r="G1781" s="67"/>
      <c r="H1781" s="67"/>
      <c r="I1781" s="67"/>
      <c r="J1781" s="68"/>
      <c r="K1781" s="68"/>
    </row>
    <row r="1782" spans="1:11" x14ac:dyDescent="0.25">
      <c r="A1782" s="69"/>
      <c r="B1782" s="67"/>
      <c r="C1782" s="67"/>
      <c r="D1782" s="68"/>
      <c r="E1782" s="68"/>
      <c r="F1782" s="68"/>
      <c r="G1782" s="67"/>
      <c r="H1782" s="67"/>
      <c r="I1782" s="67"/>
      <c r="J1782" s="68"/>
      <c r="K1782" s="68"/>
    </row>
    <row r="1783" spans="1:11" x14ac:dyDescent="0.25">
      <c r="A1783" s="69"/>
      <c r="B1783" s="67"/>
      <c r="C1783" s="67"/>
      <c r="D1783" s="68"/>
      <c r="E1783" s="68"/>
      <c r="F1783" s="68"/>
      <c r="G1783" s="67"/>
      <c r="H1783" s="67"/>
      <c r="I1783" s="67"/>
      <c r="J1783" s="68"/>
      <c r="K1783" s="68"/>
    </row>
    <row r="1784" spans="1:11" x14ac:dyDescent="0.25">
      <c r="A1784" s="69"/>
      <c r="B1784" s="67"/>
      <c r="C1784" s="67"/>
      <c r="D1784" s="68"/>
      <c r="E1784" s="68"/>
      <c r="F1784" s="68"/>
      <c r="G1784" s="67"/>
      <c r="H1784" s="67"/>
      <c r="I1784" s="67"/>
      <c r="J1784" s="68"/>
      <c r="K1784" s="68"/>
    </row>
    <row r="1785" spans="1:11" x14ac:dyDescent="0.25">
      <c r="A1785" s="69"/>
      <c r="B1785" s="67"/>
      <c r="C1785" s="67"/>
      <c r="D1785" s="68"/>
      <c r="E1785" s="68"/>
      <c r="F1785" s="68"/>
      <c r="G1785" s="67"/>
      <c r="H1785" s="67"/>
      <c r="I1785" s="67"/>
      <c r="J1785" s="68"/>
      <c r="K1785" s="68"/>
    </row>
    <row r="1786" spans="1:11" x14ac:dyDescent="0.25">
      <c r="A1786" s="69"/>
      <c r="B1786" s="67"/>
      <c r="C1786" s="67"/>
      <c r="D1786" s="68"/>
      <c r="E1786" s="68"/>
      <c r="F1786" s="68"/>
      <c r="G1786" s="67"/>
      <c r="H1786" s="67"/>
      <c r="I1786" s="67"/>
      <c r="J1786" s="68"/>
      <c r="K1786" s="68"/>
    </row>
    <row r="1787" spans="1:11" x14ac:dyDescent="0.25">
      <c r="A1787" s="69"/>
      <c r="B1787" s="67"/>
      <c r="C1787" s="67"/>
      <c r="D1787" s="68"/>
      <c r="E1787" s="68"/>
      <c r="F1787" s="68"/>
      <c r="G1787" s="67"/>
      <c r="H1787" s="67"/>
      <c r="I1787" s="67"/>
      <c r="J1787" s="68"/>
      <c r="K1787" s="68"/>
    </row>
    <row r="1788" spans="1:11" x14ac:dyDescent="0.25">
      <c r="A1788" s="69"/>
      <c r="B1788" s="67"/>
      <c r="C1788" s="67"/>
      <c r="D1788" s="68"/>
      <c r="E1788" s="68"/>
      <c r="F1788" s="68"/>
      <c r="G1788" s="67"/>
      <c r="H1788" s="67"/>
      <c r="I1788" s="67"/>
      <c r="J1788" s="68"/>
      <c r="K1788" s="68"/>
    </row>
    <row r="1789" spans="1:11" x14ac:dyDescent="0.25">
      <c r="A1789" s="69"/>
      <c r="B1789" s="67"/>
      <c r="C1789" s="67"/>
      <c r="D1789" s="68"/>
      <c r="E1789" s="68"/>
      <c r="F1789" s="68"/>
      <c r="G1789" s="67"/>
      <c r="H1789" s="67"/>
      <c r="I1789" s="67"/>
      <c r="J1789" s="68"/>
      <c r="K1789" s="68"/>
    </row>
    <row r="1790" spans="1:11" x14ac:dyDescent="0.25">
      <c r="A1790" s="69"/>
      <c r="B1790" s="67"/>
      <c r="C1790" s="67"/>
      <c r="D1790" s="68"/>
      <c r="E1790" s="68"/>
      <c r="F1790" s="68"/>
      <c r="G1790" s="67"/>
      <c r="H1790" s="67"/>
      <c r="I1790" s="67"/>
      <c r="J1790" s="68"/>
      <c r="K1790" s="68"/>
    </row>
    <row r="1791" spans="1:11" x14ac:dyDescent="0.25">
      <c r="A1791" s="69"/>
      <c r="B1791" s="67"/>
      <c r="C1791" s="67"/>
      <c r="D1791" s="68"/>
      <c r="E1791" s="68"/>
      <c r="F1791" s="68"/>
      <c r="G1791" s="67"/>
      <c r="H1791" s="67"/>
      <c r="I1791" s="67"/>
      <c r="J1791" s="68"/>
      <c r="K1791" s="68"/>
    </row>
    <row r="1792" spans="1:11" x14ac:dyDescent="0.25">
      <c r="A1792" s="69"/>
      <c r="B1792" s="67"/>
      <c r="C1792" s="67"/>
      <c r="D1792" s="68"/>
      <c r="E1792" s="68"/>
      <c r="F1792" s="68"/>
      <c r="G1792" s="67"/>
      <c r="H1792" s="67"/>
      <c r="I1792" s="67"/>
      <c r="J1792" s="68"/>
      <c r="K1792" s="68"/>
    </row>
    <row r="1793" spans="1:11" x14ac:dyDescent="0.25">
      <c r="A1793" s="69"/>
      <c r="B1793" s="67"/>
      <c r="C1793" s="67"/>
      <c r="D1793" s="68"/>
      <c r="E1793" s="68"/>
      <c r="F1793" s="68"/>
      <c r="G1793" s="67"/>
      <c r="H1793" s="67"/>
      <c r="I1793" s="67"/>
      <c r="J1793" s="68"/>
      <c r="K1793" s="68"/>
    </row>
    <row r="1794" spans="1:11" x14ac:dyDescent="0.25">
      <c r="A1794" s="69"/>
      <c r="B1794" s="67"/>
      <c r="C1794" s="67"/>
      <c r="D1794" s="68"/>
      <c r="E1794" s="68"/>
      <c r="F1794" s="68"/>
      <c r="G1794" s="67"/>
      <c r="H1794" s="67"/>
      <c r="I1794" s="67"/>
      <c r="J1794" s="68"/>
      <c r="K1794" s="68"/>
    </row>
    <row r="1795" spans="1:11" x14ac:dyDescent="0.25">
      <c r="A1795" s="69"/>
      <c r="B1795" s="67"/>
      <c r="C1795" s="67"/>
      <c r="D1795" s="68"/>
      <c r="E1795" s="68"/>
      <c r="F1795" s="68"/>
      <c r="G1795" s="67"/>
      <c r="H1795" s="67"/>
      <c r="I1795" s="67"/>
      <c r="J1795" s="68"/>
      <c r="K1795" s="68"/>
    </row>
    <row r="1796" spans="1:11" x14ac:dyDescent="0.25">
      <c r="A1796" s="69"/>
      <c r="B1796" s="67"/>
      <c r="C1796" s="67"/>
      <c r="D1796" s="68"/>
      <c r="E1796" s="68"/>
      <c r="F1796" s="68"/>
      <c r="G1796" s="67"/>
      <c r="H1796" s="67"/>
      <c r="I1796" s="67"/>
      <c r="J1796" s="68"/>
      <c r="K1796" s="68"/>
    </row>
    <row r="1797" spans="1:11" x14ac:dyDescent="0.25">
      <c r="A1797" s="69"/>
      <c r="B1797" s="67"/>
      <c r="C1797" s="67"/>
      <c r="D1797" s="68"/>
      <c r="E1797" s="68"/>
      <c r="F1797" s="68"/>
      <c r="G1797" s="67"/>
      <c r="H1797" s="67"/>
      <c r="I1797" s="67"/>
      <c r="J1797" s="68"/>
      <c r="K1797" s="68"/>
    </row>
    <row r="1798" spans="1:11" x14ac:dyDescent="0.25">
      <c r="A1798" s="69"/>
      <c r="B1798" s="67"/>
      <c r="C1798" s="67"/>
      <c r="D1798" s="68"/>
      <c r="E1798" s="68"/>
      <c r="F1798" s="68"/>
      <c r="G1798" s="67"/>
      <c r="H1798" s="67"/>
      <c r="I1798" s="67"/>
      <c r="J1798" s="68"/>
      <c r="K1798" s="68"/>
    </row>
    <row r="1799" spans="1:11" x14ac:dyDescent="0.25">
      <c r="A1799" s="69"/>
      <c r="B1799" s="67"/>
      <c r="C1799" s="67"/>
      <c r="D1799" s="68"/>
      <c r="E1799" s="68"/>
      <c r="F1799" s="68"/>
      <c r="G1799" s="67"/>
      <c r="H1799" s="67"/>
      <c r="I1799" s="67"/>
      <c r="J1799" s="68"/>
      <c r="K1799" s="68"/>
    </row>
    <row r="1800" spans="1:11" x14ac:dyDescent="0.25">
      <c r="A1800" s="69"/>
      <c r="B1800" s="67"/>
      <c r="C1800" s="67"/>
      <c r="D1800" s="70"/>
      <c r="E1800" s="70"/>
      <c r="F1800" s="70"/>
      <c r="G1800" s="67"/>
      <c r="H1800" s="67"/>
      <c r="I1800" s="67"/>
      <c r="J1800" s="68"/>
      <c r="K1800" s="68"/>
    </row>
    <row r="1801" spans="1:11" x14ac:dyDescent="0.25">
      <c r="A1801" s="69"/>
      <c r="B1801" s="67"/>
      <c r="C1801" s="67"/>
      <c r="D1801" s="70"/>
      <c r="E1801" s="70"/>
      <c r="F1801" s="70"/>
      <c r="G1801" s="67"/>
      <c r="H1801" s="67"/>
      <c r="I1801" s="67"/>
      <c r="J1801" s="68"/>
      <c r="K1801" s="68"/>
    </row>
    <row r="1802" spans="1:11" x14ac:dyDescent="0.25">
      <c r="A1802" s="69"/>
      <c r="B1802" s="67"/>
      <c r="C1802" s="67"/>
      <c r="D1802" s="70"/>
      <c r="E1802" s="70"/>
      <c r="F1802" s="70"/>
      <c r="G1802" s="67"/>
      <c r="H1802" s="67"/>
      <c r="I1802" s="67"/>
      <c r="J1802" s="68"/>
      <c r="K1802" s="68"/>
    </row>
    <row r="1803" spans="1:11" x14ac:dyDescent="0.25">
      <c r="A1803" s="69"/>
      <c r="B1803" s="67"/>
      <c r="C1803" s="67"/>
      <c r="D1803" s="68"/>
      <c r="E1803" s="68"/>
      <c r="F1803" s="68"/>
      <c r="G1803" s="67"/>
      <c r="H1803" s="67"/>
      <c r="I1803" s="67"/>
      <c r="J1803" s="68"/>
      <c r="K1803" s="68"/>
    </row>
    <row r="1804" spans="1:11" x14ac:dyDescent="0.25">
      <c r="A1804" s="69"/>
      <c r="B1804" s="67"/>
      <c r="C1804" s="67"/>
      <c r="D1804" s="68"/>
      <c r="E1804" s="68"/>
      <c r="F1804" s="68"/>
      <c r="G1804" s="67"/>
      <c r="H1804" s="67"/>
      <c r="I1804" s="67"/>
      <c r="J1804" s="68"/>
      <c r="K1804" s="68"/>
    </row>
    <row r="1805" spans="1:11" x14ac:dyDescent="0.25">
      <c r="A1805" s="69"/>
      <c r="B1805" s="67"/>
      <c r="C1805" s="67"/>
      <c r="D1805" s="68"/>
      <c r="E1805" s="68"/>
      <c r="F1805" s="68"/>
      <c r="G1805" s="67"/>
      <c r="H1805" s="67"/>
      <c r="I1805" s="67"/>
      <c r="J1805" s="68"/>
      <c r="K1805" s="68"/>
    </row>
    <row r="1806" spans="1:11" x14ac:dyDescent="0.25">
      <c r="A1806" s="69"/>
      <c r="B1806" s="67"/>
      <c r="C1806" s="67"/>
      <c r="D1806" s="68"/>
      <c r="E1806" s="68"/>
      <c r="F1806" s="68"/>
      <c r="G1806" s="67"/>
      <c r="H1806" s="67"/>
      <c r="I1806" s="67"/>
      <c r="J1806" s="68"/>
      <c r="K1806" s="68"/>
    </row>
    <row r="1807" spans="1:11" x14ac:dyDescent="0.25">
      <c r="A1807" s="69"/>
      <c r="B1807" s="67"/>
      <c r="C1807" s="67"/>
      <c r="D1807" s="68"/>
      <c r="E1807" s="68"/>
      <c r="F1807" s="68"/>
      <c r="G1807" s="67"/>
      <c r="H1807" s="67"/>
      <c r="I1807" s="67"/>
      <c r="J1807" s="68"/>
      <c r="K1807" s="68"/>
    </row>
    <row r="1808" spans="1:11" x14ac:dyDescent="0.25">
      <c r="A1808" s="69"/>
      <c r="B1808" s="67"/>
      <c r="C1808" s="67"/>
      <c r="D1808" s="68"/>
      <c r="E1808" s="68"/>
      <c r="F1808" s="68"/>
      <c r="G1808" s="67"/>
      <c r="H1808" s="67"/>
      <c r="I1808" s="67"/>
      <c r="J1808" s="68"/>
      <c r="K1808" s="68"/>
    </row>
    <row r="1809" spans="1:11" x14ac:dyDescent="0.25">
      <c r="A1809" s="69"/>
      <c r="B1809" s="67"/>
      <c r="C1809" s="67"/>
      <c r="D1809" s="68"/>
      <c r="E1809" s="68"/>
      <c r="F1809" s="68"/>
      <c r="G1809" s="67"/>
      <c r="H1809" s="67"/>
      <c r="I1809" s="67"/>
      <c r="J1809" s="68"/>
      <c r="K1809" s="68"/>
    </row>
    <row r="1810" spans="1:11" x14ac:dyDescent="0.25">
      <c r="A1810" s="69"/>
      <c r="B1810" s="67"/>
      <c r="C1810" s="67"/>
      <c r="D1810" s="68"/>
      <c r="E1810" s="68"/>
      <c r="F1810" s="68"/>
      <c r="G1810" s="67"/>
      <c r="H1810" s="67"/>
      <c r="I1810" s="67"/>
      <c r="J1810" s="68"/>
      <c r="K1810" s="68"/>
    </row>
    <row r="1811" spans="1:11" x14ac:dyDescent="0.25">
      <c r="A1811" s="69"/>
      <c r="B1811" s="67"/>
      <c r="C1811" s="67"/>
      <c r="D1811" s="68"/>
      <c r="E1811" s="68"/>
      <c r="F1811" s="68"/>
      <c r="G1811" s="67"/>
      <c r="H1811" s="67"/>
      <c r="I1811" s="67"/>
      <c r="J1811" s="68"/>
      <c r="K1811" s="68"/>
    </row>
    <row r="1812" spans="1:11" x14ac:dyDescent="0.25">
      <c r="A1812" s="69"/>
      <c r="B1812" s="67"/>
      <c r="C1812" s="67"/>
      <c r="D1812" s="68"/>
      <c r="E1812" s="68"/>
      <c r="F1812" s="68"/>
      <c r="G1812" s="67"/>
      <c r="H1812" s="67"/>
      <c r="I1812" s="67"/>
      <c r="J1812" s="68"/>
      <c r="K1812" s="68"/>
    </row>
    <row r="1813" spans="1:11" x14ac:dyDescent="0.25">
      <c r="A1813" s="69"/>
      <c r="B1813" s="67"/>
      <c r="C1813" s="67"/>
      <c r="D1813" s="68"/>
      <c r="E1813" s="68"/>
      <c r="F1813" s="68"/>
      <c r="G1813" s="67"/>
      <c r="H1813" s="67"/>
      <c r="I1813" s="67"/>
      <c r="J1813" s="68"/>
      <c r="K1813" s="68"/>
    </row>
    <row r="1814" spans="1:11" x14ac:dyDescent="0.25">
      <c r="A1814" s="69"/>
      <c r="B1814" s="67"/>
      <c r="C1814" s="67"/>
      <c r="D1814" s="68"/>
      <c r="E1814" s="68"/>
      <c r="F1814" s="68"/>
      <c r="G1814" s="67"/>
      <c r="H1814" s="67"/>
      <c r="I1814" s="67"/>
      <c r="J1814" s="68"/>
      <c r="K1814" s="68"/>
    </row>
    <row r="1815" spans="1:11" x14ac:dyDescent="0.25">
      <c r="A1815" s="69"/>
      <c r="B1815" s="67"/>
      <c r="C1815" s="67"/>
      <c r="D1815" s="68"/>
      <c r="E1815" s="68"/>
      <c r="F1815" s="68"/>
      <c r="G1815" s="67"/>
      <c r="H1815" s="67"/>
      <c r="I1815" s="67"/>
      <c r="J1815" s="68"/>
      <c r="K1815" s="68"/>
    </row>
    <row r="1816" spans="1:11" x14ac:dyDescent="0.25">
      <c r="A1816" s="69"/>
      <c r="B1816" s="67"/>
      <c r="C1816" s="67"/>
      <c r="D1816" s="68"/>
      <c r="E1816" s="68"/>
      <c r="F1816" s="68"/>
      <c r="G1816" s="67"/>
      <c r="H1816" s="67"/>
      <c r="I1816" s="67"/>
      <c r="J1816" s="68"/>
      <c r="K1816" s="68"/>
    </row>
    <row r="1817" spans="1:11" x14ac:dyDescent="0.25">
      <c r="A1817" s="69"/>
      <c r="B1817" s="67"/>
      <c r="C1817" s="67"/>
      <c r="D1817" s="68"/>
      <c r="E1817" s="68"/>
      <c r="F1817" s="68"/>
      <c r="G1817" s="67"/>
      <c r="H1817" s="67"/>
      <c r="I1817" s="67"/>
      <c r="J1817" s="68"/>
      <c r="K1817" s="68"/>
    </row>
    <row r="1818" spans="1:11" x14ac:dyDescent="0.25">
      <c r="A1818" s="69"/>
      <c r="B1818" s="67"/>
      <c r="C1818" s="67"/>
      <c r="D1818" s="68"/>
      <c r="E1818" s="68"/>
      <c r="F1818" s="68"/>
      <c r="G1818" s="67"/>
      <c r="H1818" s="67"/>
      <c r="I1818" s="67"/>
      <c r="J1818" s="68"/>
      <c r="K1818" s="68"/>
    </row>
    <row r="1819" spans="1:11" x14ac:dyDescent="0.25">
      <c r="A1819" s="69"/>
      <c r="B1819" s="67"/>
      <c r="C1819" s="67"/>
      <c r="D1819" s="68"/>
      <c r="E1819" s="68"/>
      <c r="F1819" s="68"/>
      <c r="G1819" s="67"/>
      <c r="H1819" s="67"/>
      <c r="I1819" s="67"/>
      <c r="J1819" s="68"/>
      <c r="K1819" s="68"/>
    </row>
    <row r="1820" spans="1:11" x14ac:dyDescent="0.25">
      <c r="A1820" s="69"/>
      <c r="B1820" s="67"/>
      <c r="C1820" s="67"/>
      <c r="D1820" s="68"/>
      <c r="E1820" s="68"/>
      <c r="F1820" s="68"/>
      <c r="G1820" s="67"/>
      <c r="H1820" s="67"/>
      <c r="I1820" s="67"/>
      <c r="J1820" s="68"/>
      <c r="K1820" s="68"/>
    </row>
    <row r="1821" spans="1:11" x14ac:dyDescent="0.25">
      <c r="A1821" s="69"/>
      <c r="B1821" s="67"/>
      <c r="C1821" s="67"/>
      <c r="D1821" s="68"/>
      <c r="E1821" s="68"/>
      <c r="F1821" s="68"/>
      <c r="G1821" s="67"/>
      <c r="H1821" s="67"/>
      <c r="I1821" s="67"/>
      <c r="J1821" s="68"/>
      <c r="K1821" s="68"/>
    </row>
    <row r="1822" spans="1:11" x14ac:dyDescent="0.25">
      <c r="A1822" s="69"/>
      <c r="B1822" s="67"/>
      <c r="C1822" s="67"/>
      <c r="D1822" s="68"/>
      <c r="E1822" s="68"/>
      <c r="F1822" s="68"/>
      <c r="G1822" s="67"/>
      <c r="H1822" s="67"/>
      <c r="I1822" s="67"/>
      <c r="J1822" s="68"/>
      <c r="K1822" s="68"/>
    </row>
    <row r="1823" spans="1:11" x14ac:dyDescent="0.25">
      <c r="A1823" s="69"/>
      <c r="B1823" s="67"/>
      <c r="C1823" s="67"/>
      <c r="D1823" s="68"/>
      <c r="E1823" s="68"/>
      <c r="F1823" s="68"/>
      <c r="G1823" s="67"/>
      <c r="H1823" s="67"/>
      <c r="I1823" s="67"/>
      <c r="J1823" s="68"/>
      <c r="K1823" s="68"/>
    </row>
    <row r="1824" spans="1:11" x14ac:dyDescent="0.25">
      <c r="A1824" s="69"/>
      <c r="B1824" s="67"/>
      <c r="C1824" s="67"/>
      <c r="D1824" s="70"/>
      <c r="E1824" s="70"/>
      <c r="F1824" s="70"/>
      <c r="G1824" s="67"/>
      <c r="H1824" s="67"/>
      <c r="I1824" s="67"/>
      <c r="J1824" s="68"/>
      <c r="K1824" s="68"/>
    </row>
    <row r="1825" spans="1:11" x14ac:dyDescent="0.25">
      <c r="A1825" s="69"/>
      <c r="B1825" s="67"/>
      <c r="C1825" s="67"/>
      <c r="D1825" s="70"/>
      <c r="E1825" s="70"/>
      <c r="F1825" s="70"/>
      <c r="G1825" s="67"/>
      <c r="H1825" s="67"/>
      <c r="I1825" s="67"/>
      <c r="J1825" s="68"/>
      <c r="K1825" s="68"/>
    </row>
    <row r="1826" spans="1:11" x14ac:dyDescent="0.25">
      <c r="A1826" s="69"/>
      <c r="B1826" s="67"/>
      <c r="C1826" s="67"/>
      <c r="D1826" s="70"/>
      <c r="E1826" s="70"/>
      <c r="F1826" s="70"/>
      <c r="G1826" s="67"/>
      <c r="H1826" s="67"/>
      <c r="I1826" s="67"/>
      <c r="J1826" s="68"/>
      <c r="K1826" s="68"/>
    </row>
    <row r="1827" spans="1:11" x14ac:dyDescent="0.25">
      <c r="A1827" s="69"/>
      <c r="B1827" s="67"/>
      <c r="C1827" s="67"/>
      <c r="D1827" s="68"/>
      <c r="E1827" s="68"/>
      <c r="F1827" s="68"/>
      <c r="G1827" s="67"/>
      <c r="H1827" s="67"/>
      <c r="I1827" s="67"/>
      <c r="J1827" s="68"/>
      <c r="K1827" s="68"/>
    </row>
    <row r="1828" spans="1:11" x14ac:dyDescent="0.25">
      <c r="A1828" s="69"/>
      <c r="B1828" s="67"/>
      <c r="C1828" s="67"/>
      <c r="D1828" s="68"/>
      <c r="E1828" s="68"/>
      <c r="F1828" s="68"/>
      <c r="G1828" s="67"/>
      <c r="H1828" s="67"/>
      <c r="I1828" s="67"/>
      <c r="J1828" s="68"/>
      <c r="K1828" s="68"/>
    </row>
    <row r="1829" spans="1:11" x14ac:dyDescent="0.25">
      <c r="A1829" s="69"/>
      <c r="B1829" s="67"/>
      <c r="C1829" s="67"/>
      <c r="D1829" s="68"/>
      <c r="E1829" s="68"/>
      <c r="F1829" s="68"/>
      <c r="G1829" s="67"/>
      <c r="H1829" s="67"/>
      <c r="I1829" s="67"/>
      <c r="J1829" s="68"/>
      <c r="K1829" s="68"/>
    </row>
    <row r="1830" spans="1:11" x14ac:dyDescent="0.25">
      <c r="A1830" s="69"/>
      <c r="B1830" s="67"/>
      <c r="C1830" s="67"/>
      <c r="D1830" s="68"/>
      <c r="E1830" s="68"/>
      <c r="F1830" s="68"/>
      <c r="G1830" s="67"/>
      <c r="H1830" s="67"/>
      <c r="I1830" s="67"/>
      <c r="J1830" s="68"/>
      <c r="K1830" s="68"/>
    </row>
    <row r="1831" spans="1:11" x14ac:dyDescent="0.25">
      <c r="A1831" s="69"/>
      <c r="B1831" s="67"/>
      <c r="C1831" s="67"/>
      <c r="D1831" s="68"/>
      <c r="E1831" s="68"/>
      <c r="F1831" s="68"/>
      <c r="G1831" s="67"/>
      <c r="H1831" s="67"/>
      <c r="I1831" s="67"/>
      <c r="J1831" s="68"/>
      <c r="K1831" s="68"/>
    </row>
    <row r="1832" spans="1:11" x14ac:dyDescent="0.25">
      <c r="A1832" s="69"/>
      <c r="B1832" s="67"/>
      <c r="C1832" s="67"/>
      <c r="D1832" s="68"/>
      <c r="E1832" s="68"/>
      <c r="F1832" s="68"/>
      <c r="G1832" s="67"/>
      <c r="H1832" s="67"/>
      <c r="I1832" s="67"/>
      <c r="J1832" s="68"/>
      <c r="K1832" s="68"/>
    </row>
    <row r="1833" spans="1:11" x14ac:dyDescent="0.25">
      <c r="A1833" s="69"/>
      <c r="B1833" s="67"/>
      <c r="C1833" s="67"/>
      <c r="D1833" s="68"/>
      <c r="E1833" s="68"/>
      <c r="F1833" s="68"/>
      <c r="G1833" s="67"/>
      <c r="H1833" s="67"/>
      <c r="I1833" s="67"/>
      <c r="J1833" s="68"/>
      <c r="K1833" s="68"/>
    </row>
    <row r="1834" spans="1:11" x14ac:dyDescent="0.25">
      <c r="A1834" s="69"/>
      <c r="B1834" s="67"/>
      <c r="C1834" s="67"/>
      <c r="D1834" s="68"/>
      <c r="E1834" s="68"/>
      <c r="F1834" s="68"/>
      <c r="G1834" s="67"/>
      <c r="H1834" s="67"/>
      <c r="I1834" s="67"/>
      <c r="J1834" s="68"/>
      <c r="K1834" s="68"/>
    </row>
    <row r="1835" spans="1:11" x14ac:dyDescent="0.25">
      <c r="A1835" s="69"/>
      <c r="B1835" s="67"/>
      <c r="C1835" s="67"/>
      <c r="D1835" s="68"/>
      <c r="E1835" s="68"/>
      <c r="F1835" s="68"/>
      <c r="G1835" s="67"/>
      <c r="H1835" s="67"/>
      <c r="I1835" s="67"/>
      <c r="J1835" s="68"/>
      <c r="K1835" s="68"/>
    </row>
    <row r="1836" spans="1:11" x14ac:dyDescent="0.25">
      <c r="A1836" s="69"/>
      <c r="B1836" s="67"/>
      <c r="C1836" s="67"/>
      <c r="D1836" s="68"/>
      <c r="E1836" s="68"/>
      <c r="F1836" s="68"/>
      <c r="G1836" s="67"/>
      <c r="H1836" s="67"/>
      <c r="I1836" s="67"/>
      <c r="J1836" s="68"/>
      <c r="K1836" s="68"/>
    </row>
    <row r="1837" spans="1:11" x14ac:dyDescent="0.25">
      <c r="A1837" s="69"/>
      <c r="B1837" s="67"/>
      <c r="C1837" s="67"/>
      <c r="D1837" s="68"/>
      <c r="E1837" s="68"/>
      <c r="F1837" s="68"/>
      <c r="G1837" s="67"/>
      <c r="H1837" s="67"/>
      <c r="I1837" s="67"/>
      <c r="J1837" s="68"/>
      <c r="K1837" s="68"/>
    </row>
    <row r="1838" spans="1:11" x14ac:dyDescent="0.25">
      <c r="A1838" s="69"/>
      <c r="B1838" s="67"/>
      <c r="C1838" s="67"/>
      <c r="D1838" s="68"/>
      <c r="E1838" s="68"/>
      <c r="F1838" s="68"/>
      <c r="G1838" s="67"/>
      <c r="H1838" s="67"/>
      <c r="I1838" s="67"/>
      <c r="J1838" s="68"/>
      <c r="K1838" s="68"/>
    </row>
    <row r="1839" spans="1:11" x14ac:dyDescent="0.25">
      <c r="A1839" s="69"/>
      <c r="B1839" s="67"/>
      <c r="C1839" s="67"/>
      <c r="D1839" s="68"/>
      <c r="E1839" s="68"/>
      <c r="F1839" s="68"/>
      <c r="G1839" s="67"/>
      <c r="H1839" s="67"/>
      <c r="I1839" s="67"/>
      <c r="J1839" s="68"/>
      <c r="K1839" s="68"/>
    </row>
    <row r="1840" spans="1:11" x14ac:dyDescent="0.25">
      <c r="A1840" s="69"/>
      <c r="B1840" s="67"/>
      <c r="C1840" s="67"/>
      <c r="D1840" s="68"/>
      <c r="E1840" s="68"/>
      <c r="F1840" s="68"/>
      <c r="G1840" s="67"/>
      <c r="H1840" s="67"/>
      <c r="I1840" s="67"/>
      <c r="J1840" s="68"/>
      <c r="K1840" s="68"/>
    </row>
    <row r="1841" spans="1:11" x14ac:dyDescent="0.25">
      <c r="A1841" s="69"/>
      <c r="B1841" s="67"/>
      <c r="C1841" s="67"/>
      <c r="D1841" s="68"/>
      <c r="E1841" s="68"/>
      <c r="F1841" s="68"/>
      <c r="G1841" s="67"/>
      <c r="H1841" s="67"/>
      <c r="I1841" s="67"/>
      <c r="J1841" s="68"/>
      <c r="K1841" s="68"/>
    </row>
    <row r="1842" spans="1:11" x14ac:dyDescent="0.25">
      <c r="A1842" s="69"/>
      <c r="B1842" s="67"/>
      <c r="C1842" s="67"/>
      <c r="D1842" s="68"/>
      <c r="E1842" s="68"/>
      <c r="F1842" s="68"/>
      <c r="G1842" s="67"/>
      <c r="H1842" s="67"/>
      <c r="I1842" s="67"/>
      <c r="J1842" s="68"/>
      <c r="K1842" s="68"/>
    </row>
    <row r="1843" spans="1:11" x14ac:dyDescent="0.25">
      <c r="A1843" s="69"/>
      <c r="B1843" s="67"/>
      <c r="C1843" s="67"/>
      <c r="D1843" s="68"/>
      <c r="E1843" s="68"/>
      <c r="F1843" s="68"/>
      <c r="G1843" s="67"/>
      <c r="H1843" s="67"/>
      <c r="I1843" s="67"/>
      <c r="J1843" s="68"/>
      <c r="K1843" s="68"/>
    </row>
    <row r="1844" spans="1:11" x14ac:dyDescent="0.25">
      <c r="A1844" s="69"/>
      <c r="B1844" s="67"/>
      <c r="C1844" s="67"/>
      <c r="D1844" s="68"/>
      <c r="E1844" s="68"/>
      <c r="F1844" s="68"/>
      <c r="G1844" s="67"/>
      <c r="H1844" s="67"/>
      <c r="I1844" s="67"/>
      <c r="J1844" s="68"/>
      <c r="K1844" s="68"/>
    </row>
    <row r="1845" spans="1:11" x14ac:dyDescent="0.25">
      <c r="A1845" s="69"/>
      <c r="B1845" s="67"/>
      <c r="C1845" s="67"/>
      <c r="D1845" s="68"/>
      <c r="E1845" s="68"/>
      <c r="F1845" s="68"/>
      <c r="G1845" s="67"/>
      <c r="H1845" s="67"/>
      <c r="I1845" s="67"/>
      <c r="J1845" s="68"/>
      <c r="K1845" s="68"/>
    </row>
    <row r="1846" spans="1:11" x14ac:dyDescent="0.25">
      <c r="A1846" s="69"/>
      <c r="B1846" s="67"/>
      <c r="C1846" s="67"/>
      <c r="D1846" s="68"/>
      <c r="E1846" s="68"/>
      <c r="F1846" s="68"/>
      <c r="G1846" s="67"/>
      <c r="H1846" s="67"/>
      <c r="I1846" s="67"/>
      <c r="J1846" s="68"/>
      <c r="K1846" s="68"/>
    </row>
    <row r="1847" spans="1:11" x14ac:dyDescent="0.25">
      <c r="A1847" s="69"/>
      <c r="B1847" s="67"/>
      <c r="C1847" s="67"/>
      <c r="D1847" s="68"/>
      <c r="E1847" s="68"/>
      <c r="F1847" s="68"/>
      <c r="G1847" s="67"/>
      <c r="H1847" s="67"/>
      <c r="I1847" s="67"/>
      <c r="J1847" s="68"/>
      <c r="K1847" s="68"/>
    </row>
    <row r="1848" spans="1:11" x14ac:dyDescent="0.25">
      <c r="A1848" s="69"/>
      <c r="B1848" s="67"/>
      <c r="C1848" s="67"/>
      <c r="D1848" s="70"/>
      <c r="E1848" s="70"/>
      <c r="F1848" s="70"/>
      <c r="G1848" s="67"/>
      <c r="H1848" s="67"/>
      <c r="I1848" s="67"/>
      <c r="J1848" s="68"/>
      <c r="K1848" s="68"/>
    </row>
    <row r="1849" spans="1:11" x14ac:dyDescent="0.25">
      <c r="A1849" s="69"/>
      <c r="B1849" s="67"/>
      <c r="C1849" s="67"/>
      <c r="D1849" s="70"/>
      <c r="E1849" s="70"/>
      <c r="F1849" s="70"/>
      <c r="G1849" s="67"/>
      <c r="H1849" s="67"/>
      <c r="I1849" s="67"/>
      <c r="J1849" s="68"/>
      <c r="K1849" s="68"/>
    </row>
    <row r="1850" spans="1:11" x14ac:dyDescent="0.25">
      <c r="A1850" s="69"/>
      <c r="B1850" s="67"/>
      <c r="C1850" s="67"/>
      <c r="D1850" s="70"/>
      <c r="E1850" s="70"/>
      <c r="F1850" s="70"/>
      <c r="G1850" s="67"/>
      <c r="H1850" s="67"/>
      <c r="I1850" s="67"/>
      <c r="J1850" s="68"/>
      <c r="K1850" s="68"/>
    </row>
    <row r="1851" spans="1:11" x14ac:dyDescent="0.25">
      <c r="A1851" s="69"/>
      <c r="B1851" s="67"/>
      <c r="C1851" s="67"/>
      <c r="D1851" s="68"/>
      <c r="E1851" s="68"/>
      <c r="F1851" s="68"/>
      <c r="G1851" s="67"/>
      <c r="H1851" s="67"/>
      <c r="I1851" s="67"/>
      <c r="J1851" s="68"/>
      <c r="K1851" s="68"/>
    </row>
    <row r="1852" spans="1:11" x14ac:dyDescent="0.25">
      <c r="A1852" s="69"/>
      <c r="B1852" s="67"/>
      <c r="C1852" s="67"/>
      <c r="D1852" s="68"/>
      <c r="E1852" s="68"/>
      <c r="F1852" s="68"/>
      <c r="G1852" s="67"/>
      <c r="H1852" s="67"/>
      <c r="I1852" s="67"/>
      <c r="J1852" s="68"/>
      <c r="K1852" s="68"/>
    </row>
    <row r="1853" spans="1:11" x14ac:dyDescent="0.25">
      <c r="A1853" s="69"/>
      <c r="B1853" s="67"/>
      <c r="C1853" s="67"/>
      <c r="D1853" s="68"/>
      <c r="E1853" s="68"/>
      <c r="F1853" s="68"/>
      <c r="G1853" s="67"/>
      <c r="H1853" s="67"/>
      <c r="I1853" s="67"/>
      <c r="J1853" s="68"/>
      <c r="K1853" s="68"/>
    </row>
    <row r="1854" spans="1:11" x14ac:dyDescent="0.25">
      <c r="A1854" s="69"/>
      <c r="B1854" s="67"/>
      <c r="C1854" s="67"/>
      <c r="D1854" s="68"/>
      <c r="E1854" s="68"/>
      <c r="F1854" s="68"/>
      <c r="G1854" s="67"/>
      <c r="H1854" s="67"/>
      <c r="I1854" s="67"/>
      <c r="J1854" s="68"/>
      <c r="K1854" s="68"/>
    </row>
    <row r="1855" spans="1:11" x14ac:dyDescent="0.25">
      <c r="A1855" s="69"/>
      <c r="B1855" s="67"/>
      <c r="C1855" s="67"/>
      <c r="D1855" s="68"/>
      <c r="E1855" s="68"/>
      <c r="F1855" s="68"/>
      <c r="G1855" s="67"/>
      <c r="H1855" s="67"/>
      <c r="I1855" s="67"/>
      <c r="J1855" s="68"/>
      <c r="K1855" s="68"/>
    </row>
    <row r="1856" spans="1:11" x14ac:dyDescent="0.25">
      <c r="A1856" s="69"/>
      <c r="B1856" s="67"/>
      <c r="C1856" s="67"/>
      <c r="D1856" s="68"/>
      <c r="E1856" s="68"/>
      <c r="F1856" s="68"/>
      <c r="G1856" s="67"/>
      <c r="H1856" s="67"/>
      <c r="I1856" s="67"/>
      <c r="J1856" s="68"/>
      <c r="K1856" s="68"/>
    </row>
    <row r="1857" spans="1:11" x14ac:dyDescent="0.25">
      <c r="A1857" s="69"/>
      <c r="B1857" s="67"/>
      <c r="C1857" s="67"/>
      <c r="D1857" s="68"/>
      <c r="E1857" s="68"/>
      <c r="F1857" s="68"/>
      <c r="G1857" s="67"/>
      <c r="H1857" s="67"/>
      <c r="I1857" s="67"/>
      <c r="J1857" s="68"/>
      <c r="K1857" s="68"/>
    </row>
    <row r="1858" spans="1:11" x14ac:dyDescent="0.25">
      <c r="A1858" s="69"/>
      <c r="B1858" s="67"/>
      <c r="C1858" s="67"/>
      <c r="D1858" s="68"/>
      <c r="E1858" s="68"/>
      <c r="F1858" s="68"/>
      <c r="G1858" s="67"/>
      <c r="H1858" s="67"/>
      <c r="I1858" s="67"/>
      <c r="J1858" s="68"/>
      <c r="K1858" s="68"/>
    </row>
    <row r="1859" spans="1:11" x14ac:dyDescent="0.25">
      <c r="A1859" s="69"/>
      <c r="B1859" s="67"/>
      <c r="C1859" s="67"/>
      <c r="D1859" s="68"/>
      <c r="E1859" s="68"/>
      <c r="F1859" s="68"/>
      <c r="G1859" s="67"/>
      <c r="H1859" s="67"/>
      <c r="I1859" s="67"/>
      <c r="J1859" s="68"/>
      <c r="K1859" s="68"/>
    </row>
    <row r="1860" spans="1:11" x14ac:dyDescent="0.25">
      <c r="A1860" s="69"/>
      <c r="B1860" s="67"/>
      <c r="C1860" s="67"/>
      <c r="D1860" s="68"/>
      <c r="E1860" s="68"/>
      <c r="F1860" s="68"/>
      <c r="G1860" s="67"/>
      <c r="H1860" s="67"/>
      <c r="I1860" s="67"/>
      <c r="J1860" s="68"/>
      <c r="K1860" s="68"/>
    </row>
    <row r="1861" spans="1:11" x14ac:dyDescent="0.25">
      <c r="A1861" s="69"/>
      <c r="B1861" s="67"/>
      <c r="C1861" s="67"/>
      <c r="D1861" s="68"/>
      <c r="E1861" s="68"/>
      <c r="F1861" s="68"/>
      <c r="G1861" s="67"/>
      <c r="H1861" s="67"/>
      <c r="I1861" s="67"/>
      <c r="J1861" s="68"/>
      <c r="K1861" s="68"/>
    </row>
    <row r="1862" spans="1:11" x14ac:dyDescent="0.25">
      <c r="A1862" s="69"/>
      <c r="B1862" s="67"/>
      <c r="C1862" s="67"/>
      <c r="D1862" s="68"/>
      <c r="E1862" s="68"/>
      <c r="F1862" s="68"/>
      <c r="G1862" s="67"/>
      <c r="H1862" s="67"/>
      <c r="I1862" s="67"/>
      <c r="J1862" s="68"/>
      <c r="K1862" s="68"/>
    </row>
    <row r="1863" spans="1:11" x14ac:dyDescent="0.25">
      <c r="A1863" s="69"/>
      <c r="B1863" s="67"/>
      <c r="C1863" s="67"/>
      <c r="D1863" s="68"/>
      <c r="E1863" s="68"/>
      <c r="F1863" s="68"/>
      <c r="G1863" s="67"/>
      <c r="H1863" s="67"/>
      <c r="I1863" s="67"/>
      <c r="J1863" s="68"/>
      <c r="K1863" s="68"/>
    </row>
    <row r="1864" spans="1:11" x14ac:dyDescent="0.25">
      <c r="A1864" s="69"/>
      <c r="B1864" s="67"/>
      <c r="C1864" s="67"/>
      <c r="D1864" s="68"/>
      <c r="E1864" s="68"/>
      <c r="F1864" s="68"/>
      <c r="G1864" s="67"/>
      <c r="H1864" s="67"/>
      <c r="I1864" s="67"/>
      <c r="J1864" s="68"/>
      <c r="K1864" s="68"/>
    </row>
    <row r="1865" spans="1:11" x14ac:dyDescent="0.25">
      <c r="A1865" s="69"/>
      <c r="B1865" s="67"/>
      <c r="C1865" s="67"/>
      <c r="D1865" s="68"/>
      <c r="E1865" s="68"/>
      <c r="F1865" s="68"/>
      <c r="G1865" s="67"/>
      <c r="H1865" s="67"/>
      <c r="I1865" s="67"/>
      <c r="J1865" s="68"/>
      <c r="K1865" s="68"/>
    </row>
    <row r="1866" spans="1:11" x14ac:dyDescent="0.25">
      <c r="A1866" s="69"/>
      <c r="B1866" s="67"/>
      <c r="C1866" s="67"/>
      <c r="D1866" s="68"/>
      <c r="E1866" s="68"/>
      <c r="F1866" s="68"/>
      <c r="G1866" s="67"/>
      <c r="H1866" s="67"/>
      <c r="I1866" s="67"/>
      <c r="J1866" s="68"/>
      <c r="K1866" s="68"/>
    </row>
    <row r="1867" spans="1:11" x14ac:dyDescent="0.25">
      <c r="A1867" s="69"/>
      <c r="B1867" s="67"/>
      <c r="C1867" s="67"/>
      <c r="D1867" s="68"/>
      <c r="E1867" s="68"/>
      <c r="F1867" s="68"/>
      <c r="G1867" s="67"/>
      <c r="H1867" s="67"/>
      <c r="I1867" s="67"/>
      <c r="J1867" s="68"/>
      <c r="K1867" s="68"/>
    </row>
    <row r="1868" spans="1:11" x14ac:dyDescent="0.25">
      <c r="A1868" s="69"/>
      <c r="B1868" s="67"/>
      <c r="C1868" s="67"/>
      <c r="D1868" s="68"/>
      <c r="E1868" s="68"/>
      <c r="F1868" s="68"/>
      <c r="G1868" s="67"/>
      <c r="H1868" s="67"/>
      <c r="I1868" s="67"/>
      <c r="J1868" s="68"/>
      <c r="K1868" s="68"/>
    </row>
    <row r="1869" spans="1:11" x14ac:dyDescent="0.25">
      <c r="A1869" s="69"/>
      <c r="B1869" s="67"/>
      <c r="C1869" s="67"/>
      <c r="D1869" s="68"/>
      <c r="E1869" s="68"/>
      <c r="F1869" s="68"/>
      <c r="G1869" s="67"/>
      <c r="H1869" s="67"/>
      <c r="I1869" s="67"/>
      <c r="J1869" s="68"/>
      <c r="K1869" s="68"/>
    </row>
    <row r="1870" spans="1:11" x14ac:dyDescent="0.25">
      <c r="A1870" s="69"/>
      <c r="B1870" s="67"/>
      <c r="C1870" s="67"/>
      <c r="D1870" s="68"/>
      <c r="E1870" s="68"/>
      <c r="F1870" s="68"/>
      <c r="G1870" s="67"/>
      <c r="H1870" s="67"/>
      <c r="I1870" s="67"/>
      <c r="J1870" s="68"/>
      <c r="K1870" s="68"/>
    </row>
    <row r="1871" spans="1:11" x14ac:dyDescent="0.25">
      <c r="A1871" s="69"/>
      <c r="B1871" s="67"/>
      <c r="C1871" s="67"/>
      <c r="D1871" s="68"/>
      <c r="E1871" s="68"/>
      <c r="F1871" s="68"/>
      <c r="G1871" s="67"/>
      <c r="H1871" s="67"/>
      <c r="I1871" s="67"/>
      <c r="J1871" s="68"/>
      <c r="K1871" s="68"/>
    </row>
    <row r="1872" spans="1:11" x14ac:dyDescent="0.25">
      <c r="A1872" s="69"/>
      <c r="B1872" s="67"/>
      <c r="C1872" s="67"/>
      <c r="D1872" s="70"/>
      <c r="E1872" s="70"/>
      <c r="F1872" s="70"/>
      <c r="G1872" s="67"/>
      <c r="H1872" s="67"/>
      <c r="I1872" s="67"/>
      <c r="J1872" s="68"/>
      <c r="K1872" s="68"/>
    </row>
    <row r="1873" spans="1:11" x14ac:dyDescent="0.25">
      <c r="A1873" s="69"/>
      <c r="B1873" s="67"/>
      <c r="C1873" s="67"/>
      <c r="D1873" s="70"/>
      <c r="E1873" s="70"/>
      <c r="F1873" s="70"/>
      <c r="G1873" s="67"/>
      <c r="H1873" s="67"/>
      <c r="I1873" s="67"/>
      <c r="J1873" s="68"/>
      <c r="K1873" s="68"/>
    </row>
    <row r="1874" spans="1:11" x14ac:dyDescent="0.25">
      <c r="A1874" s="69"/>
      <c r="B1874" s="67"/>
      <c r="C1874" s="67"/>
      <c r="D1874" s="70"/>
      <c r="E1874" s="70"/>
      <c r="F1874" s="70"/>
      <c r="G1874" s="67"/>
      <c r="H1874" s="67"/>
      <c r="I1874" s="67"/>
      <c r="J1874" s="68"/>
      <c r="K1874" s="68"/>
    </row>
    <row r="1875" spans="1:11" x14ac:dyDescent="0.25">
      <c r="A1875" s="69"/>
      <c r="B1875" s="67"/>
      <c r="C1875" s="67"/>
      <c r="D1875" s="68"/>
      <c r="E1875" s="68"/>
      <c r="F1875" s="68"/>
      <c r="G1875" s="67"/>
      <c r="H1875" s="67"/>
      <c r="I1875" s="67"/>
      <c r="J1875" s="68"/>
      <c r="K1875" s="68"/>
    </row>
    <row r="1876" spans="1:11" x14ac:dyDescent="0.25">
      <c r="A1876" s="69"/>
      <c r="B1876" s="67"/>
      <c r="C1876" s="67"/>
      <c r="D1876" s="68"/>
      <c r="E1876" s="68"/>
      <c r="F1876" s="68"/>
      <c r="G1876" s="67"/>
      <c r="H1876" s="67"/>
      <c r="I1876" s="67"/>
      <c r="J1876" s="68"/>
      <c r="K1876" s="68"/>
    </row>
    <row r="1877" spans="1:11" x14ac:dyDescent="0.25">
      <c r="A1877" s="69"/>
      <c r="B1877" s="67"/>
      <c r="C1877" s="67"/>
      <c r="D1877" s="68"/>
      <c r="E1877" s="68"/>
      <c r="F1877" s="68"/>
      <c r="G1877" s="67"/>
      <c r="H1877" s="67"/>
      <c r="I1877" s="67"/>
      <c r="J1877" s="68"/>
      <c r="K1877" s="68"/>
    </row>
    <row r="1878" spans="1:11" x14ac:dyDescent="0.25">
      <c r="A1878" s="69"/>
      <c r="B1878" s="67"/>
      <c r="C1878" s="67"/>
      <c r="D1878" s="68"/>
      <c r="E1878" s="68"/>
      <c r="F1878" s="68"/>
      <c r="G1878" s="67"/>
      <c r="H1878" s="67"/>
      <c r="I1878" s="67"/>
      <c r="J1878" s="68"/>
      <c r="K1878" s="68"/>
    </row>
    <row r="1879" spans="1:11" x14ac:dyDescent="0.25">
      <c r="A1879" s="69"/>
      <c r="B1879" s="67"/>
      <c r="C1879" s="67"/>
      <c r="D1879" s="68"/>
      <c r="E1879" s="68"/>
      <c r="F1879" s="68"/>
      <c r="G1879" s="67"/>
      <c r="H1879" s="67"/>
      <c r="I1879" s="67"/>
      <c r="J1879" s="68"/>
      <c r="K1879" s="68"/>
    </row>
    <row r="1880" spans="1:11" x14ac:dyDescent="0.25">
      <c r="A1880" s="69"/>
      <c r="B1880" s="67"/>
      <c r="C1880" s="67"/>
      <c r="D1880" s="68"/>
      <c r="E1880" s="68"/>
      <c r="F1880" s="68"/>
      <c r="G1880" s="67"/>
      <c r="H1880" s="67"/>
      <c r="I1880" s="67"/>
      <c r="J1880" s="68"/>
      <c r="K1880" s="68"/>
    </row>
    <row r="1881" spans="1:11" x14ac:dyDescent="0.25">
      <c r="A1881" s="69"/>
      <c r="B1881" s="67"/>
      <c r="C1881" s="67"/>
      <c r="D1881" s="68"/>
      <c r="E1881" s="68"/>
      <c r="F1881" s="68"/>
      <c r="G1881" s="67"/>
      <c r="H1881" s="67"/>
      <c r="I1881" s="67"/>
      <c r="J1881" s="68"/>
      <c r="K1881" s="68"/>
    </row>
    <row r="1882" spans="1:11" x14ac:dyDescent="0.25">
      <c r="A1882" s="69"/>
      <c r="B1882" s="67"/>
      <c r="C1882" s="67"/>
      <c r="D1882" s="68"/>
      <c r="E1882" s="68"/>
      <c r="F1882" s="68"/>
      <c r="G1882" s="67"/>
      <c r="H1882" s="67"/>
      <c r="I1882" s="67"/>
      <c r="J1882" s="68"/>
      <c r="K1882" s="68"/>
    </row>
    <row r="1883" spans="1:11" x14ac:dyDescent="0.25">
      <c r="A1883" s="69"/>
      <c r="B1883" s="67"/>
      <c r="C1883" s="67"/>
      <c r="D1883" s="68"/>
      <c r="E1883" s="68"/>
      <c r="F1883" s="68"/>
      <c r="G1883" s="67"/>
      <c r="H1883" s="67"/>
      <c r="I1883" s="67"/>
      <c r="J1883" s="68"/>
      <c r="K1883" s="68"/>
    </row>
    <row r="1884" spans="1:11" x14ac:dyDescent="0.25">
      <c r="A1884" s="69"/>
      <c r="B1884" s="67"/>
      <c r="C1884" s="67"/>
      <c r="D1884" s="68"/>
      <c r="E1884" s="68"/>
      <c r="F1884" s="68"/>
      <c r="G1884" s="67"/>
      <c r="H1884" s="67"/>
      <c r="I1884" s="67"/>
      <c r="J1884" s="68"/>
      <c r="K1884" s="68"/>
    </row>
    <row r="1885" spans="1:11" x14ac:dyDescent="0.25">
      <c r="A1885" s="69"/>
      <c r="B1885" s="67"/>
      <c r="C1885" s="67"/>
      <c r="D1885" s="68"/>
      <c r="E1885" s="68"/>
      <c r="F1885" s="68"/>
      <c r="G1885" s="67"/>
      <c r="H1885" s="67"/>
      <c r="I1885" s="67"/>
      <c r="J1885" s="68"/>
      <c r="K1885" s="68"/>
    </row>
    <row r="1886" spans="1:11" x14ac:dyDescent="0.25">
      <c r="A1886" s="69"/>
      <c r="B1886" s="67"/>
      <c r="C1886" s="67"/>
      <c r="D1886" s="68"/>
      <c r="E1886" s="68"/>
      <c r="F1886" s="68"/>
      <c r="G1886" s="67"/>
      <c r="H1886" s="67"/>
      <c r="I1886" s="67"/>
      <c r="J1886" s="68"/>
      <c r="K1886" s="68"/>
    </row>
    <row r="1887" spans="1:11" x14ac:dyDescent="0.25">
      <c r="A1887" s="69"/>
      <c r="B1887" s="67"/>
      <c r="C1887" s="67"/>
      <c r="D1887" s="68"/>
      <c r="E1887" s="68"/>
      <c r="F1887" s="68"/>
      <c r="G1887" s="67"/>
      <c r="H1887" s="67"/>
      <c r="I1887" s="67"/>
      <c r="J1887" s="68"/>
      <c r="K1887" s="68"/>
    </row>
    <row r="1888" spans="1:11" x14ac:dyDescent="0.25">
      <c r="A1888" s="69"/>
      <c r="B1888" s="67"/>
      <c r="C1888" s="67"/>
      <c r="D1888" s="68"/>
      <c r="E1888" s="68"/>
      <c r="F1888" s="68"/>
      <c r="G1888" s="67"/>
      <c r="H1888" s="67"/>
      <c r="I1888" s="67"/>
      <c r="J1888" s="68"/>
      <c r="K1888" s="68"/>
    </row>
    <row r="1889" spans="1:11" x14ac:dyDescent="0.25">
      <c r="A1889" s="69"/>
      <c r="B1889" s="67"/>
      <c r="C1889" s="67"/>
      <c r="D1889" s="68"/>
      <c r="E1889" s="68"/>
      <c r="F1889" s="68"/>
      <c r="G1889" s="67"/>
      <c r="H1889" s="67"/>
      <c r="I1889" s="67"/>
      <c r="J1889" s="68"/>
      <c r="K1889" s="68"/>
    </row>
    <row r="1890" spans="1:11" x14ac:dyDescent="0.25">
      <c r="A1890" s="69"/>
      <c r="B1890" s="67"/>
      <c r="C1890" s="67"/>
      <c r="D1890" s="68"/>
      <c r="E1890" s="68"/>
      <c r="F1890" s="68"/>
      <c r="G1890" s="67"/>
      <c r="H1890" s="67"/>
      <c r="I1890" s="67"/>
      <c r="J1890" s="68"/>
      <c r="K1890" s="68"/>
    </row>
    <row r="1891" spans="1:11" x14ac:dyDescent="0.25">
      <c r="A1891" s="69"/>
      <c r="B1891" s="67"/>
      <c r="C1891" s="67"/>
      <c r="D1891" s="68"/>
      <c r="E1891" s="68"/>
      <c r="F1891" s="68"/>
      <c r="G1891" s="67"/>
      <c r="H1891" s="67"/>
      <c r="I1891" s="67"/>
      <c r="J1891" s="68"/>
      <c r="K1891" s="68"/>
    </row>
    <row r="1892" spans="1:11" x14ac:dyDescent="0.25">
      <c r="A1892" s="69"/>
      <c r="B1892" s="67"/>
      <c r="C1892" s="67"/>
      <c r="D1892" s="68"/>
      <c r="E1892" s="68"/>
      <c r="F1892" s="68"/>
      <c r="G1892" s="67"/>
      <c r="H1892" s="67"/>
      <c r="I1892" s="67"/>
      <c r="J1892" s="68"/>
      <c r="K1892" s="68"/>
    </row>
    <row r="1893" spans="1:11" x14ac:dyDescent="0.25">
      <c r="A1893" s="69"/>
      <c r="B1893" s="67"/>
      <c r="C1893" s="67"/>
      <c r="D1893" s="68"/>
      <c r="E1893" s="68"/>
      <c r="F1893" s="68"/>
      <c r="G1893" s="67"/>
      <c r="H1893" s="67"/>
      <c r="I1893" s="67"/>
      <c r="J1893" s="68"/>
      <c r="K1893" s="68"/>
    </row>
    <row r="1894" spans="1:11" x14ac:dyDescent="0.25">
      <c r="A1894" s="69"/>
      <c r="B1894" s="67"/>
      <c r="C1894" s="67"/>
      <c r="D1894" s="68"/>
      <c r="E1894" s="68"/>
      <c r="F1894" s="68"/>
      <c r="G1894" s="67"/>
      <c r="H1894" s="67"/>
      <c r="I1894" s="67"/>
      <c r="J1894" s="68"/>
      <c r="K1894" s="68"/>
    </row>
    <row r="1895" spans="1:11" x14ac:dyDescent="0.25">
      <c r="A1895" s="69"/>
      <c r="B1895" s="67"/>
      <c r="C1895" s="67"/>
      <c r="D1895" s="68"/>
      <c r="E1895" s="68"/>
      <c r="F1895" s="68"/>
      <c r="G1895" s="67"/>
      <c r="H1895" s="67"/>
      <c r="I1895" s="67"/>
      <c r="J1895" s="68"/>
      <c r="K1895" s="68"/>
    </row>
    <row r="1896" spans="1:11" x14ac:dyDescent="0.25">
      <c r="A1896" s="69"/>
      <c r="B1896" s="67"/>
      <c r="C1896" s="67"/>
      <c r="D1896" s="70"/>
      <c r="E1896" s="70"/>
      <c r="F1896" s="70"/>
      <c r="G1896" s="67"/>
      <c r="H1896" s="67"/>
      <c r="I1896" s="67"/>
      <c r="J1896" s="68"/>
      <c r="K1896" s="68"/>
    </row>
    <row r="1897" spans="1:11" x14ac:dyDescent="0.25">
      <c r="A1897" s="69"/>
      <c r="B1897" s="67"/>
      <c r="C1897" s="67"/>
      <c r="D1897" s="70"/>
      <c r="E1897" s="70"/>
      <c r="F1897" s="70"/>
      <c r="G1897" s="67"/>
      <c r="H1897" s="67"/>
      <c r="I1897" s="67"/>
      <c r="J1897" s="68"/>
      <c r="K1897" s="68"/>
    </row>
    <row r="1898" spans="1:11" x14ac:dyDescent="0.25">
      <c r="A1898" s="69"/>
      <c r="B1898" s="67"/>
      <c r="C1898" s="67"/>
      <c r="D1898" s="70"/>
      <c r="E1898" s="70"/>
      <c r="F1898" s="70"/>
      <c r="G1898" s="67"/>
      <c r="H1898" s="67"/>
      <c r="I1898" s="67"/>
      <c r="J1898" s="68"/>
      <c r="K1898" s="68"/>
    </row>
    <row r="1899" spans="1:11" x14ac:dyDescent="0.25">
      <c r="A1899" s="69"/>
      <c r="B1899" s="67"/>
      <c r="C1899" s="67"/>
      <c r="D1899" s="68"/>
      <c r="E1899" s="68"/>
      <c r="F1899" s="68"/>
      <c r="G1899" s="67"/>
      <c r="H1899" s="67"/>
      <c r="I1899" s="67"/>
      <c r="J1899" s="68"/>
      <c r="K1899" s="68"/>
    </row>
    <row r="1900" spans="1:11" x14ac:dyDescent="0.25">
      <c r="A1900" s="69"/>
      <c r="B1900" s="67"/>
      <c r="C1900" s="67"/>
      <c r="D1900" s="68"/>
      <c r="E1900" s="68"/>
      <c r="F1900" s="68"/>
      <c r="G1900" s="67"/>
      <c r="H1900" s="67"/>
      <c r="I1900" s="67"/>
      <c r="J1900" s="68"/>
      <c r="K1900" s="68"/>
    </row>
    <row r="1901" spans="1:11" x14ac:dyDescent="0.25">
      <c r="A1901" s="69"/>
      <c r="B1901" s="67"/>
      <c r="C1901" s="67"/>
      <c r="D1901" s="68"/>
      <c r="E1901" s="68"/>
      <c r="F1901" s="68"/>
      <c r="G1901" s="67"/>
      <c r="H1901" s="67"/>
      <c r="I1901" s="67"/>
      <c r="J1901" s="68"/>
      <c r="K1901" s="68"/>
    </row>
    <row r="1902" spans="1:11" x14ac:dyDescent="0.25">
      <c r="A1902" s="69"/>
      <c r="B1902" s="67"/>
      <c r="C1902" s="67"/>
      <c r="D1902" s="68"/>
      <c r="E1902" s="68"/>
      <c r="F1902" s="68"/>
      <c r="G1902" s="67"/>
      <c r="H1902" s="67"/>
      <c r="I1902" s="67"/>
      <c r="J1902" s="68"/>
      <c r="K1902" s="68"/>
    </row>
    <row r="1903" spans="1:11" x14ac:dyDescent="0.25">
      <c r="A1903" s="69"/>
      <c r="B1903" s="67"/>
      <c r="C1903" s="67"/>
      <c r="D1903" s="68"/>
      <c r="E1903" s="68"/>
      <c r="F1903" s="68"/>
      <c r="G1903" s="67"/>
      <c r="H1903" s="67"/>
      <c r="I1903" s="67"/>
      <c r="J1903" s="68"/>
      <c r="K1903" s="68"/>
    </row>
    <row r="1904" spans="1:11" x14ac:dyDescent="0.25">
      <c r="A1904" s="69"/>
      <c r="B1904" s="67"/>
      <c r="C1904" s="67"/>
      <c r="D1904" s="68"/>
      <c r="E1904" s="68"/>
      <c r="F1904" s="68"/>
      <c r="G1904" s="67"/>
      <c r="H1904" s="67"/>
      <c r="I1904" s="67"/>
      <c r="J1904" s="68"/>
      <c r="K1904" s="68"/>
    </row>
    <row r="1905" spans="1:11" x14ac:dyDescent="0.25">
      <c r="A1905" s="69"/>
      <c r="B1905" s="67"/>
      <c r="C1905" s="67"/>
      <c r="D1905" s="68"/>
      <c r="E1905" s="68"/>
      <c r="F1905" s="68"/>
      <c r="G1905" s="67"/>
      <c r="H1905" s="67"/>
      <c r="I1905" s="67"/>
      <c r="J1905" s="68"/>
      <c r="K1905" s="68"/>
    </row>
    <row r="1906" spans="1:11" x14ac:dyDescent="0.25">
      <c r="A1906" s="69"/>
      <c r="B1906" s="67"/>
      <c r="C1906" s="67"/>
      <c r="D1906" s="68"/>
      <c r="E1906" s="68"/>
      <c r="F1906" s="68"/>
      <c r="G1906" s="67"/>
      <c r="H1906" s="67"/>
      <c r="I1906" s="67"/>
      <c r="J1906" s="68"/>
      <c r="K1906" s="68"/>
    </row>
    <row r="1907" spans="1:11" x14ac:dyDescent="0.25">
      <c r="A1907" s="69"/>
      <c r="B1907" s="67"/>
      <c r="C1907" s="67"/>
      <c r="D1907" s="68"/>
      <c r="E1907" s="68"/>
      <c r="F1907" s="68"/>
      <c r="G1907" s="67"/>
      <c r="H1907" s="67"/>
      <c r="I1907" s="67"/>
      <c r="J1907" s="68"/>
      <c r="K1907" s="68"/>
    </row>
    <row r="1908" spans="1:11" x14ac:dyDescent="0.25">
      <c r="A1908" s="69"/>
      <c r="B1908" s="67"/>
      <c r="C1908" s="67"/>
      <c r="D1908" s="68"/>
      <c r="E1908" s="68"/>
      <c r="F1908" s="68"/>
      <c r="G1908" s="67"/>
      <c r="H1908" s="67"/>
      <c r="I1908" s="67"/>
      <c r="J1908" s="68"/>
      <c r="K1908" s="68"/>
    </row>
    <row r="1909" spans="1:11" x14ac:dyDescent="0.25">
      <c r="A1909" s="69"/>
      <c r="B1909" s="67"/>
      <c r="C1909" s="67"/>
      <c r="D1909" s="68"/>
      <c r="E1909" s="68"/>
      <c r="F1909" s="68"/>
      <c r="G1909" s="67"/>
      <c r="H1909" s="67"/>
      <c r="I1909" s="67"/>
      <c r="J1909" s="68"/>
      <c r="K1909" s="68"/>
    </row>
    <row r="1910" spans="1:11" x14ac:dyDescent="0.25">
      <c r="A1910" s="69"/>
      <c r="B1910" s="67"/>
      <c r="C1910" s="67"/>
      <c r="D1910" s="68"/>
      <c r="E1910" s="68"/>
      <c r="F1910" s="68"/>
      <c r="G1910" s="67"/>
      <c r="H1910" s="67"/>
      <c r="I1910" s="67"/>
      <c r="J1910" s="68"/>
      <c r="K1910" s="68"/>
    </row>
    <row r="1911" spans="1:11" x14ac:dyDescent="0.25">
      <c r="A1911" s="69"/>
      <c r="B1911" s="67"/>
      <c r="C1911" s="67"/>
      <c r="D1911" s="68"/>
      <c r="E1911" s="68"/>
      <c r="F1911" s="68"/>
      <c r="G1911" s="67"/>
      <c r="H1911" s="67"/>
      <c r="I1911" s="67"/>
      <c r="J1911" s="68"/>
      <c r="K1911" s="68"/>
    </row>
    <row r="1912" spans="1:11" x14ac:dyDescent="0.25">
      <c r="A1912" s="69"/>
      <c r="B1912" s="67"/>
      <c r="C1912" s="67"/>
      <c r="D1912" s="68"/>
      <c r="E1912" s="68"/>
      <c r="F1912" s="68"/>
      <c r="G1912" s="67"/>
      <c r="H1912" s="67"/>
      <c r="I1912" s="67"/>
      <c r="J1912" s="68"/>
      <c r="K1912" s="68"/>
    </row>
    <row r="1913" spans="1:11" x14ac:dyDescent="0.25">
      <c r="A1913" s="69"/>
      <c r="B1913" s="67"/>
      <c r="C1913" s="67"/>
      <c r="D1913" s="68"/>
      <c r="E1913" s="68"/>
      <c r="F1913" s="68"/>
      <c r="G1913" s="67"/>
      <c r="H1913" s="67"/>
      <c r="I1913" s="67"/>
      <c r="J1913" s="68"/>
      <c r="K1913" s="68"/>
    </row>
    <row r="1914" spans="1:11" x14ac:dyDescent="0.25">
      <c r="A1914" s="69"/>
      <c r="B1914" s="67"/>
      <c r="C1914" s="67"/>
      <c r="D1914" s="68"/>
      <c r="E1914" s="68"/>
      <c r="F1914" s="68"/>
      <c r="G1914" s="67"/>
      <c r="H1914" s="67"/>
      <c r="I1914" s="67"/>
      <c r="J1914" s="68"/>
      <c r="K1914" s="68"/>
    </row>
    <row r="1915" spans="1:11" x14ac:dyDescent="0.25">
      <c r="A1915" s="69"/>
      <c r="B1915" s="67"/>
      <c r="C1915" s="67"/>
      <c r="D1915" s="68"/>
      <c r="E1915" s="68"/>
      <c r="F1915" s="68"/>
      <c r="G1915" s="67"/>
      <c r="H1915" s="67"/>
      <c r="I1915" s="67"/>
      <c r="J1915" s="68"/>
      <c r="K1915" s="68"/>
    </row>
    <row r="1916" spans="1:11" x14ac:dyDescent="0.25">
      <c r="A1916" s="69"/>
      <c r="B1916" s="67"/>
      <c r="C1916" s="67"/>
      <c r="D1916" s="68"/>
      <c r="E1916" s="68"/>
      <c r="F1916" s="68"/>
      <c r="G1916" s="67"/>
      <c r="H1916" s="67"/>
      <c r="I1916" s="67"/>
      <c r="J1916" s="68"/>
      <c r="K1916" s="68"/>
    </row>
    <row r="1917" spans="1:11" x14ac:dyDescent="0.25">
      <c r="A1917" s="69"/>
      <c r="B1917" s="67"/>
      <c r="C1917" s="67"/>
      <c r="D1917" s="68"/>
      <c r="E1917" s="68"/>
      <c r="F1917" s="68"/>
      <c r="G1917" s="67"/>
      <c r="H1917" s="67"/>
      <c r="I1917" s="67"/>
      <c r="J1917" s="68"/>
      <c r="K1917" s="68"/>
    </row>
    <row r="1918" spans="1:11" x14ac:dyDescent="0.25">
      <c r="A1918" s="69"/>
      <c r="B1918" s="67"/>
      <c r="C1918" s="67"/>
      <c r="D1918" s="68"/>
      <c r="E1918" s="68"/>
      <c r="F1918" s="68"/>
      <c r="G1918" s="67"/>
      <c r="H1918" s="67"/>
      <c r="I1918" s="67"/>
      <c r="J1918" s="68"/>
      <c r="K1918" s="68"/>
    </row>
    <row r="1919" spans="1:11" x14ac:dyDescent="0.25">
      <c r="A1919" s="69"/>
      <c r="B1919" s="67"/>
      <c r="C1919" s="67"/>
      <c r="D1919" s="68"/>
      <c r="E1919" s="68"/>
      <c r="F1919" s="68"/>
      <c r="G1919" s="67"/>
      <c r="H1919" s="67"/>
      <c r="I1919" s="67"/>
      <c r="J1919" s="68"/>
      <c r="K1919" s="68"/>
    </row>
    <row r="1920" spans="1:11" x14ac:dyDescent="0.25">
      <c r="A1920" s="69"/>
      <c r="B1920" s="67"/>
      <c r="C1920" s="67"/>
      <c r="D1920" s="70"/>
      <c r="E1920" s="70"/>
      <c r="F1920" s="70"/>
      <c r="G1920" s="67"/>
      <c r="H1920" s="67"/>
      <c r="I1920" s="67"/>
      <c r="J1920" s="68"/>
      <c r="K1920" s="68"/>
    </row>
    <row r="1921" spans="1:11" x14ac:dyDescent="0.25">
      <c r="A1921" s="69"/>
      <c r="B1921" s="67"/>
      <c r="C1921" s="67"/>
      <c r="D1921" s="70"/>
      <c r="E1921" s="70"/>
      <c r="F1921" s="70"/>
      <c r="G1921" s="67"/>
      <c r="H1921" s="67"/>
      <c r="I1921" s="67"/>
      <c r="J1921" s="68"/>
      <c r="K1921" s="68"/>
    </row>
    <row r="1922" spans="1:11" x14ac:dyDescent="0.25">
      <c r="A1922" s="69"/>
      <c r="B1922" s="67"/>
      <c r="C1922" s="67"/>
      <c r="D1922" s="70"/>
      <c r="E1922" s="70"/>
      <c r="F1922" s="70"/>
      <c r="G1922" s="67"/>
      <c r="H1922" s="67"/>
      <c r="I1922" s="67"/>
      <c r="J1922" s="68"/>
      <c r="K1922" s="68"/>
    </row>
    <row r="1923" spans="1:11" x14ac:dyDescent="0.25">
      <c r="A1923" s="69"/>
      <c r="B1923" s="67"/>
      <c r="C1923" s="67"/>
      <c r="D1923" s="68"/>
      <c r="E1923" s="68"/>
      <c r="F1923" s="68"/>
      <c r="G1923" s="67"/>
      <c r="H1923" s="67"/>
      <c r="I1923" s="67"/>
      <c r="J1923" s="68"/>
      <c r="K1923" s="68"/>
    </row>
    <row r="1924" spans="1:11" x14ac:dyDescent="0.25">
      <c r="A1924" s="69"/>
      <c r="B1924" s="67"/>
      <c r="C1924" s="67"/>
      <c r="D1924" s="68"/>
      <c r="E1924" s="68"/>
      <c r="F1924" s="68"/>
      <c r="G1924" s="67"/>
      <c r="H1924" s="67"/>
      <c r="I1924" s="67"/>
      <c r="J1924" s="68"/>
      <c r="K1924" s="68"/>
    </row>
    <row r="1925" spans="1:11" x14ac:dyDescent="0.25">
      <c r="A1925" s="69"/>
      <c r="B1925" s="67"/>
      <c r="C1925" s="67"/>
      <c r="D1925" s="68"/>
      <c r="E1925" s="68"/>
      <c r="F1925" s="68"/>
      <c r="G1925" s="67"/>
      <c r="H1925" s="67"/>
      <c r="I1925" s="67"/>
      <c r="J1925" s="68"/>
      <c r="K1925" s="68"/>
    </row>
    <row r="1926" spans="1:11" x14ac:dyDescent="0.25">
      <c r="A1926" s="69"/>
      <c r="B1926" s="67"/>
      <c r="C1926" s="67"/>
      <c r="D1926" s="68"/>
      <c r="E1926" s="68"/>
      <c r="F1926" s="68"/>
      <c r="G1926" s="67"/>
      <c r="H1926" s="67"/>
      <c r="I1926" s="67"/>
      <c r="J1926" s="68"/>
      <c r="K1926" s="68"/>
    </row>
    <row r="1927" spans="1:11" x14ac:dyDescent="0.25">
      <c r="A1927" s="69"/>
      <c r="B1927" s="67"/>
      <c r="C1927" s="67"/>
      <c r="D1927" s="68"/>
      <c r="E1927" s="68"/>
      <c r="F1927" s="68"/>
      <c r="G1927" s="67"/>
      <c r="H1927" s="67"/>
      <c r="I1927" s="67"/>
      <c r="J1927" s="68"/>
      <c r="K1927" s="68"/>
    </row>
    <row r="1928" spans="1:11" x14ac:dyDescent="0.25">
      <c r="A1928" s="69"/>
      <c r="B1928" s="67"/>
      <c r="C1928" s="67"/>
      <c r="D1928" s="68"/>
      <c r="E1928" s="68"/>
      <c r="F1928" s="68"/>
      <c r="G1928" s="67"/>
      <c r="H1928" s="67"/>
      <c r="I1928" s="67"/>
      <c r="J1928" s="68"/>
      <c r="K1928" s="68"/>
    </row>
    <row r="1929" spans="1:11" x14ac:dyDescent="0.25">
      <c r="A1929" s="69"/>
      <c r="B1929" s="67"/>
      <c r="C1929" s="67"/>
      <c r="D1929" s="68"/>
      <c r="E1929" s="68"/>
      <c r="F1929" s="68"/>
      <c r="G1929" s="67"/>
      <c r="H1929" s="67"/>
      <c r="I1929" s="67"/>
      <c r="J1929" s="68"/>
      <c r="K1929" s="68"/>
    </row>
    <row r="1930" spans="1:11" x14ac:dyDescent="0.25">
      <c r="A1930" s="69"/>
      <c r="B1930" s="67"/>
      <c r="C1930" s="67"/>
      <c r="D1930" s="68"/>
      <c r="E1930" s="68"/>
      <c r="F1930" s="68"/>
      <c r="G1930" s="67"/>
      <c r="H1930" s="67"/>
      <c r="I1930" s="67"/>
      <c r="J1930" s="68"/>
      <c r="K1930" s="68"/>
    </row>
    <row r="1931" spans="1:11" x14ac:dyDescent="0.25">
      <c r="A1931" s="69"/>
      <c r="B1931" s="67"/>
      <c r="C1931" s="67"/>
      <c r="D1931" s="68"/>
      <c r="E1931" s="68"/>
      <c r="F1931" s="68"/>
      <c r="G1931" s="67"/>
      <c r="H1931" s="67"/>
      <c r="I1931" s="67"/>
      <c r="J1931" s="68"/>
      <c r="K1931" s="68"/>
    </row>
    <row r="1932" spans="1:11" x14ac:dyDescent="0.25">
      <c r="A1932" s="69"/>
      <c r="B1932" s="67"/>
      <c r="C1932" s="67"/>
      <c r="D1932" s="68"/>
      <c r="E1932" s="68"/>
      <c r="F1932" s="68"/>
      <c r="G1932" s="67"/>
      <c r="H1932" s="67"/>
      <c r="I1932" s="67"/>
      <c r="J1932" s="68"/>
      <c r="K1932" s="68"/>
    </row>
    <row r="1933" spans="1:11" x14ac:dyDescent="0.25">
      <c r="A1933" s="69"/>
      <c r="B1933" s="67"/>
      <c r="C1933" s="67"/>
      <c r="D1933" s="68"/>
      <c r="E1933" s="68"/>
      <c r="F1933" s="68"/>
      <c r="G1933" s="67"/>
      <c r="H1933" s="67"/>
      <c r="I1933" s="67"/>
      <c r="J1933" s="68"/>
      <c r="K1933" s="68"/>
    </row>
    <row r="1934" spans="1:11" x14ac:dyDescent="0.25">
      <c r="A1934" s="69"/>
      <c r="B1934" s="67"/>
      <c r="C1934" s="67"/>
      <c r="D1934" s="68"/>
      <c r="E1934" s="68"/>
      <c r="F1934" s="68"/>
      <c r="G1934" s="67"/>
      <c r="H1934" s="67"/>
      <c r="I1934" s="67"/>
      <c r="J1934" s="68"/>
      <c r="K1934" s="68"/>
    </row>
    <row r="1935" spans="1:11" x14ac:dyDescent="0.25">
      <c r="A1935" s="69"/>
      <c r="B1935" s="67"/>
      <c r="C1935" s="67"/>
      <c r="D1935" s="68"/>
      <c r="E1935" s="68"/>
      <c r="F1935" s="68"/>
      <c r="G1935" s="67"/>
      <c r="H1935" s="67"/>
      <c r="I1935" s="67"/>
      <c r="J1935" s="68"/>
      <c r="K1935" s="68"/>
    </row>
    <row r="1936" spans="1:11" x14ac:dyDescent="0.25">
      <c r="A1936" s="69"/>
      <c r="B1936" s="67"/>
      <c r="C1936" s="67"/>
      <c r="D1936" s="68"/>
      <c r="E1936" s="68"/>
      <c r="F1936" s="68"/>
      <c r="G1936" s="67"/>
      <c r="H1936" s="67"/>
      <c r="I1936" s="67"/>
      <c r="J1936" s="68"/>
      <c r="K1936" s="68"/>
    </row>
    <row r="1937" spans="1:11" x14ac:dyDescent="0.25">
      <c r="A1937" s="69"/>
      <c r="B1937" s="67"/>
      <c r="C1937" s="67"/>
      <c r="D1937" s="68"/>
      <c r="E1937" s="68"/>
      <c r="F1937" s="68"/>
      <c r="G1937" s="67"/>
      <c r="H1937" s="67"/>
      <c r="I1937" s="67"/>
      <c r="J1937" s="68"/>
      <c r="K1937" s="68"/>
    </row>
    <row r="1938" spans="1:11" x14ac:dyDescent="0.25">
      <c r="A1938" s="69"/>
      <c r="B1938" s="67"/>
      <c r="C1938" s="67"/>
      <c r="D1938" s="68"/>
      <c r="E1938" s="68"/>
      <c r="F1938" s="68"/>
      <c r="G1938" s="67"/>
      <c r="H1938" s="67"/>
      <c r="I1938" s="67"/>
      <c r="J1938" s="68"/>
      <c r="K1938" s="68"/>
    </row>
    <row r="1939" spans="1:11" x14ac:dyDescent="0.25">
      <c r="A1939" s="69"/>
      <c r="B1939" s="67"/>
      <c r="C1939" s="67"/>
      <c r="D1939" s="68"/>
      <c r="E1939" s="68"/>
      <c r="F1939" s="68"/>
      <c r="G1939" s="67"/>
      <c r="H1939" s="67"/>
      <c r="I1939" s="67"/>
      <c r="J1939" s="68"/>
      <c r="K1939" s="68"/>
    </row>
    <row r="1940" spans="1:11" x14ac:dyDescent="0.25">
      <c r="A1940" s="69"/>
      <c r="B1940" s="67"/>
      <c r="C1940" s="67"/>
      <c r="D1940" s="68"/>
      <c r="E1940" s="68"/>
      <c r="F1940" s="68"/>
      <c r="G1940" s="67"/>
      <c r="H1940" s="67"/>
      <c r="I1940" s="67"/>
      <c r="J1940" s="68"/>
      <c r="K1940" s="68"/>
    </row>
    <row r="1941" spans="1:11" x14ac:dyDescent="0.25">
      <c r="A1941" s="69"/>
      <c r="B1941" s="67"/>
      <c r="C1941" s="67"/>
      <c r="D1941" s="68"/>
      <c r="E1941" s="68"/>
      <c r="F1941" s="68"/>
      <c r="G1941" s="67"/>
      <c r="H1941" s="67"/>
      <c r="I1941" s="67"/>
      <c r="J1941" s="68"/>
      <c r="K1941" s="68"/>
    </row>
    <row r="1942" spans="1:11" x14ac:dyDescent="0.25">
      <c r="A1942" s="69"/>
      <c r="B1942" s="67"/>
      <c r="C1942" s="67"/>
      <c r="D1942" s="68"/>
      <c r="E1942" s="68"/>
      <c r="F1942" s="68"/>
      <c r="G1942" s="67"/>
      <c r="H1942" s="67"/>
      <c r="I1942" s="67"/>
      <c r="J1942" s="68"/>
      <c r="K1942" s="68"/>
    </row>
    <row r="1943" spans="1:11" x14ac:dyDescent="0.25">
      <c r="A1943" s="69"/>
      <c r="B1943" s="67"/>
      <c r="C1943" s="67"/>
      <c r="D1943" s="68"/>
      <c r="E1943" s="68"/>
      <c r="F1943" s="68"/>
      <c r="G1943" s="67"/>
      <c r="H1943" s="67"/>
      <c r="I1943" s="67"/>
      <c r="J1943" s="68"/>
      <c r="K1943" s="68"/>
    </row>
    <row r="1944" spans="1:11" x14ac:dyDescent="0.25">
      <c r="A1944" s="69"/>
      <c r="B1944" s="67"/>
      <c r="C1944" s="67"/>
      <c r="D1944" s="70"/>
      <c r="E1944" s="70"/>
      <c r="F1944" s="70"/>
      <c r="G1944" s="67"/>
      <c r="H1944" s="67"/>
      <c r="I1944" s="67"/>
      <c r="J1944" s="68"/>
      <c r="K1944" s="68"/>
    </row>
    <row r="1945" spans="1:11" x14ac:dyDescent="0.25">
      <c r="A1945" s="69"/>
      <c r="B1945" s="67"/>
      <c r="C1945" s="67"/>
      <c r="D1945" s="70"/>
      <c r="E1945" s="70"/>
      <c r="F1945" s="70"/>
      <c r="G1945" s="67"/>
      <c r="H1945" s="67"/>
      <c r="I1945" s="67"/>
      <c r="J1945" s="68"/>
      <c r="K1945" s="68"/>
    </row>
    <row r="1946" spans="1:11" x14ac:dyDescent="0.25">
      <c r="A1946" s="69"/>
      <c r="B1946" s="67"/>
      <c r="C1946" s="67"/>
      <c r="D1946" s="70"/>
      <c r="E1946" s="70"/>
      <c r="F1946" s="70"/>
      <c r="G1946" s="67"/>
      <c r="H1946" s="67"/>
      <c r="I1946" s="67"/>
      <c r="J1946" s="68"/>
      <c r="K1946" s="68"/>
    </row>
    <row r="1947" spans="1:11" x14ac:dyDescent="0.25">
      <c r="A1947" s="69"/>
      <c r="B1947" s="67"/>
      <c r="C1947" s="67"/>
      <c r="D1947" s="68"/>
      <c r="E1947" s="68"/>
      <c r="F1947" s="68"/>
      <c r="G1947" s="67"/>
      <c r="H1947" s="67"/>
      <c r="I1947" s="67"/>
      <c r="J1947" s="68"/>
      <c r="K1947" s="68"/>
    </row>
    <row r="1948" spans="1:11" x14ac:dyDescent="0.25">
      <c r="A1948" s="69"/>
      <c r="B1948" s="67"/>
      <c r="C1948" s="67"/>
      <c r="D1948" s="68"/>
      <c r="E1948" s="68"/>
      <c r="F1948" s="68"/>
      <c r="G1948" s="67"/>
      <c r="H1948" s="67"/>
      <c r="I1948" s="67"/>
      <c r="J1948" s="68"/>
      <c r="K1948" s="68"/>
    </row>
    <row r="1949" spans="1:11" x14ac:dyDescent="0.25">
      <c r="A1949" s="69"/>
      <c r="B1949" s="67"/>
      <c r="C1949" s="67"/>
      <c r="D1949" s="68"/>
      <c r="E1949" s="68"/>
      <c r="F1949" s="68"/>
      <c r="G1949" s="67"/>
      <c r="H1949" s="67"/>
      <c r="I1949" s="67"/>
      <c r="J1949" s="68"/>
      <c r="K1949" s="68"/>
    </row>
    <row r="1950" spans="1:11" x14ac:dyDescent="0.25">
      <c r="A1950" s="69"/>
      <c r="B1950" s="67"/>
      <c r="C1950" s="67"/>
      <c r="D1950" s="68"/>
      <c r="E1950" s="68"/>
      <c r="F1950" s="68"/>
      <c r="G1950" s="67"/>
      <c r="H1950" s="67"/>
      <c r="I1950" s="67"/>
      <c r="J1950" s="68"/>
      <c r="K1950" s="68"/>
    </row>
    <row r="1951" spans="1:11" x14ac:dyDescent="0.25">
      <c r="A1951" s="69"/>
      <c r="B1951" s="67"/>
      <c r="C1951" s="67"/>
      <c r="D1951" s="68"/>
      <c r="E1951" s="68"/>
      <c r="F1951" s="68"/>
      <c r="G1951" s="67"/>
      <c r="H1951" s="67"/>
      <c r="I1951" s="67"/>
      <c r="J1951" s="68"/>
      <c r="K1951" s="68"/>
    </row>
    <row r="1952" spans="1:11" x14ac:dyDescent="0.25">
      <c r="A1952" s="69"/>
      <c r="B1952" s="67"/>
      <c r="C1952" s="67"/>
      <c r="D1952" s="68"/>
      <c r="E1952" s="68"/>
      <c r="F1952" s="68"/>
      <c r="G1952" s="67"/>
      <c r="H1952" s="67"/>
      <c r="I1952" s="67"/>
      <c r="J1952" s="68"/>
      <c r="K1952" s="68"/>
    </row>
    <row r="1953" spans="1:11" x14ac:dyDescent="0.25">
      <c r="A1953" s="69"/>
      <c r="B1953" s="67"/>
      <c r="C1953" s="67"/>
      <c r="D1953" s="68"/>
      <c r="E1953" s="68"/>
      <c r="F1953" s="68"/>
      <c r="G1953" s="67"/>
      <c r="H1953" s="67"/>
      <c r="I1953" s="67"/>
      <c r="J1953" s="68"/>
      <c r="K1953" s="68"/>
    </row>
    <row r="1954" spans="1:11" x14ac:dyDescent="0.25">
      <c r="A1954" s="69"/>
      <c r="B1954" s="67"/>
      <c r="C1954" s="67"/>
      <c r="D1954" s="68"/>
      <c r="E1954" s="68"/>
      <c r="F1954" s="68"/>
      <c r="G1954" s="67"/>
      <c r="H1954" s="67"/>
      <c r="I1954" s="67"/>
      <c r="J1954" s="68"/>
      <c r="K1954" s="68"/>
    </row>
    <row r="1955" spans="1:11" x14ac:dyDescent="0.25">
      <c r="A1955" s="69"/>
      <c r="B1955" s="67"/>
      <c r="C1955" s="67"/>
      <c r="D1955" s="68"/>
      <c r="E1955" s="68"/>
      <c r="F1955" s="68"/>
      <c r="G1955" s="67"/>
      <c r="H1955" s="67"/>
      <c r="I1955" s="67"/>
      <c r="J1955" s="68"/>
      <c r="K1955" s="68"/>
    </row>
    <row r="1956" spans="1:11" x14ac:dyDescent="0.25">
      <c r="A1956" s="69"/>
      <c r="B1956" s="67"/>
      <c r="C1956" s="67"/>
      <c r="D1956" s="68"/>
      <c r="E1956" s="68"/>
      <c r="F1956" s="68"/>
      <c r="G1956" s="67"/>
      <c r="H1956" s="67"/>
      <c r="I1956" s="67"/>
      <c r="J1956" s="68"/>
      <c r="K1956" s="68"/>
    </row>
    <row r="1957" spans="1:11" x14ac:dyDescent="0.25">
      <c r="A1957" s="69"/>
      <c r="B1957" s="67"/>
      <c r="C1957" s="67"/>
      <c r="D1957" s="68"/>
      <c r="E1957" s="68"/>
      <c r="F1957" s="68"/>
      <c r="G1957" s="67"/>
      <c r="H1957" s="67"/>
      <c r="I1957" s="67"/>
      <c r="J1957" s="68"/>
      <c r="K1957" s="68"/>
    </row>
    <row r="1958" spans="1:11" x14ac:dyDescent="0.25">
      <c r="A1958" s="69"/>
      <c r="B1958" s="67"/>
      <c r="C1958" s="67"/>
      <c r="D1958" s="68"/>
      <c r="E1958" s="68"/>
      <c r="F1958" s="68"/>
      <c r="G1958" s="67"/>
      <c r="H1958" s="67"/>
      <c r="I1958" s="67"/>
      <c r="J1958" s="68"/>
      <c r="K1958" s="68"/>
    </row>
    <row r="1959" spans="1:11" x14ac:dyDescent="0.25">
      <c r="A1959" s="69"/>
      <c r="B1959" s="67"/>
      <c r="C1959" s="67"/>
      <c r="D1959" s="68"/>
      <c r="E1959" s="68"/>
      <c r="F1959" s="68"/>
      <c r="G1959" s="67"/>
      <c r="H1959" s="67"/>
      <c r="I1959" s="67"/>
      <c r="J1959" s="68"/>
      <c r="K1959" s="68"/>
    </row>
    <row r="1960" spans="1:11" x14ac:dyDescent="0.25">
      <c r="A1960" s="69"/>
      <c r="B1960" s="67"/>
      <c r="C1960" s="67"/>
      <c r="D1960" s="68"/>
      <c r="E1960" s="68"/>
      <c r="F1960" s="68"/>
      <c r="G1960" s="67"/>
      <c r="H1960" s="67"/>
      <c r="I1960" s="67"/>
      <c r="J1960" s="68"/>
      <c r="K1960" s="68"/>
    </row>
    <row r="1961" spans="1:11" x14ac:dyDescent="0.25">
      <c r="A1961" s="69"/>
      <c r="B1961" s="67"/>
      <c r="C1961" s="67"/>
      <c r="D1961" s="68"/>
      <c r="E1961" s="68"/>
      <c r="F1961" s="68"/>
      <c r="G1961" s="67"/>
      <c r="H1961" s="67"/>
      <c r="I1961" s="67"/>
      <c r="J1961" s="68"/>
      <c r="K1961" s="68"/>
    </row>
    <row r="1962" spans="1:11" x14ac:dyDescent="0.25">
      <c r="A1962" s="69"/>
      <c r="B1962" s="67"/>
      <c r="C1962" s="67"/>
      <c r="D1962" s="68"/>
      <c r="E1962" s="68"/>
      <c r="F1962" s="68"/>
      <c r="G1962" s="67"/>
      <c r="H1962" s="67"/>
      <c r="I1962" s="67"/>
      <c r="J1962" s="68"/>
      <c r="K1962" s="68"/>
    </row>
    <row r="1963" spans="1:11" x14ac:dyDescent="0.25">
      <c r="A1963" s="69"/>
      <c r="B1963" s="67"/>
      <c r="C1963" s="67"/>
      <c r="D1963" s="68"/>
      <c r="E1963" s="68"/>
      <c r="F1963" s="68"/>
      <c r="G1963" s="67"/>
      <c r="H1963" s="67"/>
      <c r="I1963" s="67"/>
      <c r="J1963" s="68"/>
      <c r="K1963" s="68"/>
    </row>
    <row r="1964" spans="1:11" x14ac:dyDescent="0.25">
      <c r="A1964" s="69"/>
      <c r="B1964" s="67"/>
      <c r="C1964" s="67"/>
      <c r="D1964" s="68"/>
      <c r="E1964" s="68"/>
      <c r="F1964" s="68"/>
      <c r="G1964" s="67"/>
      <c r="H1964" s="67"/>
      <c r="I1964" s="67"/>
      <c r="J1964" s="68"/>
      <c r="K1964" s="68"/>
    </row>
    <row r="1965" spans="1:11" x14ac:dyDescent="0.25">
      <c r="A1965" s="69"/>
      <c r="B1965" s="67"/>
      <c r="C1965" s="67"/>
      <c r="D1965" s="68"/>
      <c r="E1965" s="68"/>
      <c r="F1965" s="68"/>
      <c r="G1965" s="67"/>
      <c r="H1965" s="67"/>
      <c r="I1965" s="67"/>
      <c r="J1965" s="68"/>
      <c r="K1965" s="68"/>
    </row>
    <row r="1966" spans="1:11" x14ac:dyDescent="0.25">
      <c r="A1966" s="69"/>
      <c r="B1966" s="67"/>
      <c r="C1966" s="67"/>
      <c r="D1966" s="68"/>
      <c r="E1966" s="68"/>
      <c r="F1966" s="68"/>
      <c r="G1966" s="67"/>
      <c r="H1966" s="67"/>
      <c r="I1966" s="67"/>
      <c r="J1966" s="68"/>
      <c r="K1966" s="68"/>
    </row>
    <row r="1967" spans="1:11" x14ac:dyDescent="0.25">
      <c r="A1967" s="69"/>
      <c r="B1967" s="67"/>
      <c r="C1967" s="67"/>
      <c r="D1967" s="68"/>
      <c r="E1967" s="68"/>
      <c r="F1967" s="68"/>
      <c r="G1967" s="67"/>
      <c r="H1967" s="67"/>
      <c r="I1967" s="67"/>
      <c r="J1967" s="68"/>
      <c r="K1967" s="68"/>
    </row>
    <row r="1968" spans="1:11" x14ac:dyDescent="0.25">
      <c r="A1968" s="69"/>
      <c r="B1968" s="67"/>
      <c r="C1968" s="67"/>
      <c r="D1968" s="70"/>
      <c r="E1968" s="70"/>
      <c r="F1968" s="70"/>
      <c r="G1968" s="67"/>
      <c r="H1968" s="67"/>
      <c r="I1968" s="67"/>
      <c r="J1968" s="68"/>
      <c r="K1968" s="68"/>
    </row>
    <row r="1969" spans="1:11" x14ac:dyDescent="0.25">
      <c r="A1969" s="69"/>
      <c r="B1969" s="67"/>
      <c r="C1969" s="67"/>
      <c r="D1969" s="70"/>
      <c r="E1969" s="70"/>
      <c r="F1969" s="70"/>
      <c r="G1969" s="67"/>
      <c r="H1969" s="67"/>
      <c r="I1969" s="67"/>
      <c r="J1969" s="68"/>
      <c r="K1969" s="68"/>
    </row>
    <row r="1970" spans="1:11" x14ac:dyDescent="0.25">
      <c r="A1970" s="69"/>
      <c r="B1970" s="67"/>
      <c r="C1970" s="67"/>
      <c r="D1970" s="70"/>
      <c r="E1970" s="70"/>
      <c r="F1970" s="70"/>
      <c r="G1970" s="67"/>
      <c r="H1970" s="67"/>
      <c r="I1970" s="67"/>
      <c r="J1970" s="68"/>
      <c r="K1970" s="68"/>
    </row>
    <row r="1971" spans="1:11" x14ac:dyDescent="0.25">
      <c r="A1971" s="69"/>
      <c r="B1971" s="67"/>
      <c r="C1971" s="67"/>
      <c r="D1971" s="68"/>
      <c r="E1971" s="68"/>
      <c r="F1971" s="68"/>
      <c r="G1971" s="67"/>
      <c r="H1971" s="67"/>
      <c r="I1971" s="67"/>
      <c r="J1971" s="68"/>
      <c r="K1971" s="68"/>
    </row>
    <row r="1972" spans="1:11" x14ac:dyDescent="0.25">
      <c r="A1972" s="69"/>
      <c r="B1972" s="67"/>
      <c r="C1972" s="67"/>
      <c r="D1972" s="68"/>
      <c r="E1972" s="68"/>
      <c r="F1972" s="68"/>
      <c r="G1972" s="67"/>
      <c r="H1972" s="67"/>
      <c r="I1972" s="67"/>
      <c r="J1972" s="68"/>
      <c r="K1972" s="68"/>
    </row>
    <row r="1973" spans="1:11" x14ac:dyDescent="0.25">
      <c r="A1973" s="69"/>
      <c r="B1973" s="67"/>
      <c r="C1973" s="67"/>
      <c r="D1973" s="68"/>
      <c r="E1973" s="68"/>
      <c r="F1973" s="68"/>
      <c r="G1973" s="67"/>
      <c r="H1973" s="67"/>
      <c r="I1973" s="67"/>
      <c r="J1973" s="68"/>
      <c r="K1973" s="68"/>
    </row>
    <row r="1974" spans="1:11" x14ac:dyDescent="0.25">
      <c r="A1974" s="69"/>
      <c r="B1974" s="67"/>
      <c r="C1974" s="67"/>
      <c r="D1974" s="68"/>
      <c r="E1974" s="68"/>
      <c r="F1974" s="68"/>
      <c r="G1974" s="67"/>
      <c r="H1974" s="67"/>
      <c r="I1974" s="67"/>
      <c r="J1974" s="68"/>
      <c r="K1974" s="68"/>
    </row>
    <row r="1975" spans="1:11" x14ac:dyDescent="0.25">
      <c r="A1975" s="69"/>
      <c r="B1975" s="67"/>
      <c r="C1975" s="67"/>
      <c r="D1975" s="68"/>
      <c r="E1975" s="68"/>
      <c r="F1975" s="68"/>
      <c r="G1975" s="67"/>
      <c r="H1975" s="67"/>
      <c r="I1975" s="67"/>
      <c r="J1975" s="68"/>
      <c r="K1975" s="68"/>
    </row>
    <row r="1976" spans="1:11" x14ac:dyDescent="0.25">
      <c r="A1976" s="69"/>
      <c r="B1976" s="67"/>
      <c r="C1976" s="67"/>
      <c r="D1976" s="68"/>
      <c r="E1976" s="68"/>
      <c r="F1976" s="68"/>
      <c r="G1976" s="67"/>
      <c r="H1976" s="67"/>
      <c r="I1976" s="67"/>
      <c r="J1976" s="68"/>
      <c r="K1976" s="68"/>
    </row>
    <row r="1977" spans="1:11" x14ac:dyDescent="0.25">
      <c r="A1977" s="69"/>
      <c r="B1977" s="67"/>
      <c r="C1977" s="67"/>
      <c r="D1977" s="68"/>
      <c r="E1977" s="68"/>
      <c r="F1977" s="68"/>
      <c r="G1977" s="67"/>
      <c r="H1977" s="67"/>
      <c r="I1977" s="67"/>
      <c r="J1977" s="68"/>
      <c r="K1977" s="68"/>
    </row>
    <row r="1978" spans="1:11" x14ac:dyDescent="0.25">
      <c r="A1978" s="69"/>
      <c r="B1978" s="67"/>
      <c r="C1978" s="67"/>
      <c r="D1978" s="68"/>
      <c r="E1978" s="68"/>
      <c r="F1978" s="68"/>
      <c r="G1978" s="67"/>
      <c r="H1978" s="67"/>
      <c r="I1978" s="67"/>
      <c r="J1978" s="68"/>
      <c r="K1978" s="68"/>
    </row>
    <row r="1979" spans="1:11" x14ac:dyDescent="0.25">
      <c r="A1979" s="69"/>
      <c r="B1979" s="67"/>
      <c r="C1979" s="67"/>
      <c r="D1979" s="68"/>
      <c r="E1979" s="68"/>
      <c r="F1979" s="68"/>
      <c r="G1979" s="67"/>
      <c r="H1979" s="67"/>
      <c r="I1979" s="67"/>
      <c r="J1979" s="68"/>
      <c r="K1979" s="68"/>
    </row>
    <row r="1980" spans="1:11" x14ac:dyDescent="0.25">
      <c r="A1980" s="69"/>
      <c r="B1980" s="67"/>
      <c r="C1980" s="67"/>
      <c r="D1980" s="68"/>
      <c r="E1980" s="68"/>
      <c r="F1980" s="68"/>
      <c r="G1980" s="67"/>
      <c r="H1980" s="67"/>
      <c r="I1980" s="67"/>
      <c r="J1980" s="68"/>
      <c r="K1980" s="68"/>
    </row>
    <row r="1981" spans="1:11" x14ac:dyDescent="0.25">
      <c r="A1981" s="69"/>
      <c r="B1981" s="67"/>
      <c r="C1981" s="67"/>
      <c r="D1981" s="68"/>
      <c r="E1981" s="68"/>
      <c r="F1981" s="68"/>
      <c r="G1981" s="67"/>
      <c r="H1981" s="67"/>
      <c r="I1981" s="67"/>
      <c r="J1981" s="68"/>
      <c r="K1981" s="68"/>
    </row>
    <row r="1982" spans="1:11" x14ac:dyDescent="0.25">
      <c r="A1982" s="69"/>
      <c r="B1982" s="67"/>
      <c r="C1982" s="67"/>
      <c r="D1982" s="68"/>
      <c r="E1982" s="68"/>
      <c r="F1982" s="68"/>
      <c r="G1982" s="67"/>
      <c r="H1982" s="67"/>
      <c r="I1982" s="67"/>
      <c r="J1982" s="68"/>
      <c r="K1982" s="68"/>
    </row>
    <row r="1983" spans="1:11" x14ac:dyDescent="0.25">
      <c r="A1983" s="69"/>
      <c r="B1983" s="67"/>
      <c r="C1983" s="67"/>
      <c r="D1983" s="68"/>
      <c r="E1983" s="68"/>
      <c r="F1983" s="68"/>
      <c r="G1983" s="67"/>
      <c r="H1983" s="67"/>
      <c r="I1983" s="67"/>
      <c r="J1983" s="68"/>
      <c r="K1983" s="68"/>
    </row>
    <row r="1984" spans="1:11" x14ac:dyDescent="0.25">
      <c r="A1984" s="69"/>
      <c r="B1984" s="67"/>
      <c r="C1984" s="67"/>
      <c r="D1984" s="68"/>
      <c r="E1984" s="68"/>
      <c r="F1984" s="68"/>
      <c r="G1984" s="67"/>
      <c r="H1984" s="67"/>
      <c r="I1984" s="67"/>
      <c r="J1984" s="68"/>
      <c r="K1984" s="68"/>
    </row>
    <row r="1985" spans="1:11" x14ac:dyDescent="0.25">
      <c r="A1985" s="69"/>
      <c r="B1985" s="67"/>
      <c r="C1985" s="67"/>
      <c r="D1985" s="68"/>
      <c r="E1985" s="68"/>
      <c r="F1985" s="68"/>
      <c r="G1985" s="67"/>
      <c r="H1985" s="67"/>
      <c r="I1985" s="67"/>
      <c r="J1985" s="68"/>
      <c r="K1985" s="68"/>
    </row>
    <row r="1986" spans="1:11" x14ac:dyDescent="0.25">
      <c r="A1986" s="69"/>
      <c r="B1986" s="67"/>
      <c r="C1986" s="67"/>
      <c r="D1986" s="68"/>
      <c r="E1986" s="68"/>
      <c r="F1986" s="68"/>
      <c r="G1986" s="67"/>
      <c r="H1986" s="67"/>
      <c r="I1986" s="67"/>
      <c r="J1986" s="68"/>
      <c r="K1986" s="68"/>
    </row>
    <row r="1987" spans="1:11" x14ac:dyDescent="0.25">
      <c r="A1987" s="69"/>
      <c r="B1987" s="67"/>
      <c r="C1987" s="67"/>
      <c r="D1987" s="68"/>
      <c r="E1987" s="68"/>
      <c r="F1987" s="68"/>
      <c r="G1987" s="67"/>
      <c r="H1987" s="67"/>
      <c r="I1987" s="67"/>
      <c r="J1987" s="68"/>
      <c r="K1987" s="68"/>
    </row>
    <row r="1988" spans="1:11" x14ac:dyDescent="0.25">
      <c r="A1988" s="69"/>
      <c r="B1988" s="67"/>
      <c r="C1988" s="67"/>
      <c r="D1988" s="68"/>
      <c r="E1988" s="68"/>
      <c r="F1988" s="68"/>
      <c r="G1988" s="67"/>
      <c r="H1988" s="67"/>
      <c r="I1988" s="67"/>
      <c r="J1988" s="68"/>
      <c r="K1988" s="68"/>
    </row>
    <row r="1989" spans="1:11" x14ac:dyDescent="0.25">
      <c r="A1989" s="69"/>
      <c r="B1989" s="67"/>
      <c r="C1989" s="67"/>
      <c r="D1989" s="68"/>
      <c r="E1989" s="68"/>
      <c r="F1989" s="68"/>
      <c r="G1989" s="67"/>
      <c r="H1989" s="67"/>
      <c r="I1989" s="67"/>
      <c r="J1989" s="68"/>
      <c r="K1989" s="68"/>
    </row>
    <row r="1990" spans="1:11" x14ac:dyDescent="0.25">
      <c r="A1990" s="69"/>
      <c r="B1990" s="67"/>
      <c r="C1990" s="67"/>
      <c r="D1990" s="68"/>
      <c r="E1990" s="68"/>
      <c r="F1990" s="68"/>
      <c r="G1990" s="67"/>
      <c r="H1990" s="67"/>
      <c r="I1990" s="67"/>
      <c r="J1990" s="68"/>
      <c r="K1990" s="68"/>
    </row>
    <row r="1991" spans="1:11" x14ac:dyDescent="0.25">
      <c r="A1991" s="69"/>
      <c r="B1991" s="67"/>
      <c r="C1991" s="67"/>
      <c r="D1991" s="68"/>
      <c r="E1991" s="68"/>
      <c r="F1991" s="68"/>
      <c r="G1991" s="67"/>
      <c r="H1991" s="67"/>
      <c r="I1991" s="67"/>
      <c r="J1991" s="68"/>
      <c r="K1991" s="68"/>
    </row>
    <row r="1992" spans="1:11" x14ac:dyDescent="0.25">
      <c r="A1992" s="69"/>
      <c r="B1992" s="67"/>
      <c r="C1992" s="67"/>
      <c r="D1992" s="70"/>
      <c r="E1992" s="70"/>
      <c r="F1992" s="70"/>
      <c r="G1992" s="67"/>
      <c r="H1992" s="67"/>
      <c r="I1992" s="67"/>
      <c r="J1992" s="68"/>
      <c r="K1992" s="68"/>
    </row>
    <row r="1993" spans="1:11" x14ac:dyDescent="0.25">
      <c r="A1993" s="69"/>
      <c r="B1993" s="67"/>
      <c r="C1993" s="67"/>
      <c r="D1993" s="70"/>
      <c r="E1993" s="70"/>
      <c r="F1993" s="70"/>
      <c r="G1993" s="67"/>
      <c r="H1993" s="67"/>
      <c r="I1993" s="67"/>
      <c r="J1993" s="68"/>
      <c r="K1993" s="68"/>
    </row>
    <row r="1994" spans="1:11" x14ac:dyDescent="0.25">
      <c r="A1994" s="69"/>
      <c r="B1994" s="67"/>
      <c r="C1994" s="67"/>
      <c r="D1994" s="70"/>
      <c r="E1994" s="70"/>
      <c r="F1994" s="70"/>
      <c r="G1994" s="67"/>
      <c r="H1994" s="67"/>
      <c r="I1994" s="67"/>
      <c r="J1994" s="68"/>
      <c r="K1994" s="68"/>
    </row>
    <row r="1995" spans="1:11" x14ac:dyDescent="0.25">
      <c r="A1995" s="69"/>
      <c r="B1995" s="67"/>
      <c r="C1995" s="67"/>
      <c r="D1995" s="68"/>
      <c r="E1995" s="68"/>
      <c r="F1995" s="68"/>
      <c r="G1995" s="67"/>
      <c r="H1995" s="67"/>
      <c r="I1995" s="67"/>
      <c r="J1995" s="68"/>
      <c r="K1995" s="68"/>
    </row>
    <row r="1996" spans="1:11" x14ac:dyDescent="0.25">
      <c r="A1996" s="69"/>
      <c r="B1996" s="67"/>
      <c r="C1996" s="67"/>
      <c r="D1996" s="68"/>
      <c r="E1996" s="68"/>
      <c r="F1996" s="68"/>
      <c r="G1996" s="67"/>
      <c r="H1996" s="67"/>
      <c r="I1996" s="67"/>
      <c r="J1996" s="68"/>
      <c r="K1996" s="68"/>
    </row>
    <row r="1997" spans="1:11" x14ac:dyDescent="0.25">
      <c r="A1997" s="69"/>
      <c r="B1997" s="67"/>
      <c r="C1997" s="67"/>
      <c r="D1997" s="68"/>
      <c r="E1997" s="68"/>
      <c r="F1997" s="68"/>
      <c r="G1997" s="67"/>
      <c r="H1997" s="67"/>
      <c r="I1997" s="67"/>
      <c r="J1997" s="68"/>
      <c r="K1997" s="68"/>
    </row>
    <row r="1998" spans="1:11" x14ac:dyDescent="0.25">
      <c r="A1998" s="69"/>
      <c r="B1998" s="67"/>
      <c r="C1998" s="67"/>
      <c r="D1998" s="68"/>
      <c r="E1998" s="68"/>
      <c r="F1998" s="68"/>
      <c r="G1998" s="67"/>
      <c r="H1998" s="67"/>
      <c r="I1998" s="67"/>
      <c r="J1998" s="68"/>
      <c r="K1998" s="68"/>
    </row>
    <row r="1999" spans="1:11" x14ac:dyDescent="0.25">
      <c r="A1999" s="69"/>
      <c r="B1999" s="67"/>
      <c r="C1999" s="67"/>
      <c r="D1999" s="68"/>
      <c r="E1999" s="68"/>
      <c r="F1999" s="68"/>
      <c r="G1999" s="67"/>
      <c r="H1999" s="67"/>
      <c r="I1999" s="67"/>
      <c r="J1999" s="68"/>
      <c r="K1999" s="68"/>
    </row>
    <row r="2000" spans="1:11" x14ac:dyDescent="0.25">
      <c r="A2000" s="69"/>
      <c r="B2000" s="67"/>
      <c r="C2000" s="67"/>
      <c r="D2000" s="68"/>
      <c r="E2000" s="68"/>
      <c r="F2000" s="68"/>
      <c r="G2000" s="67"/>
      <c r="H2000" s="67"/>
      <c r="I2000" s="67"/>
      <c r="J2000" s="68"/>
      <c r="K2000" s="68"/>
    </row>
    <row r="2001" spans="1:11" x14ac:dyDescent="0.25">
      <c r="A2001" s="69"/>
      <c r="B2001" s="67"/>
      <c r="C2001" s="67"/>
      <c r="D2001" s="68"/>
      <c r="E2001" s="68"/>
      <c r="F2001" s="68"/>
      <c r="G2001" s="67"/>
      <c r="H2001" s="67"/>
      <c r="I2001" s="67"/>
      <c r="J2001" s="68"/>
      <c r="K2001" s="68"/>
    </row>
    <row r="2002" spans="1:11" x14ac:dyDescent="0.25">
      <c r="A2002" s="69"/>
      <c r="B2002" s="67"/>
      <c r="C2002" s="67"/>
      <c r="D2002" s="68"/>
      <c r="E2002" s="68"/>
      <c r="F2002" s="68"/>
      <c r="G2002" s="67"/>
      <c r="H2002" s="67"/>
      <c r="I2002" s="67"/>
      <c r="J2002" s="68"/>
      <c r="K2002" s="68"/>
    </row>
    <row r="2003" spans="1:11" x14ac:dyDescent="0.25">
      <c r="A2003" s="69"/>
      <c r="B2003" s="67"/>
      <c r="C2003" s="67"/>
      <c r="D2003" s="68"/>
      <c r="E2003" s="68"/>
      <c r="F2003" s="68"/>
      <c r="G2003" s="67"/>
      <c r="H2003" s="67"/>
      <c r="I2003" s="67"/>
      <c r="J2003" s="68"/>
      <c r="K2003" s="68"/>
    </row>
    <row r="2004" spans="1:11" x14ac:dyDescent="0.25">
      <c r="A2004" s="69"/>
      <c r="B2004" s="67"/>
      <c r="C2004" s="67"/>
      <c r="D2004" s="68"/>
      <c r="E2004" s="68"/>
      <c r="F2004" s="68"/>
      <c r="G2004" s="67"/>
      <c r="H2004" s="67"/>
      <c r="I2004" s="67"/>
      <c r="J2004" s="68"/>
      <c r="K2004" s="68"/>
    </row>
    <row r="2005" spans="1:11" x14ac:dyDescent="0.25">
      <c r="A2005" s="69"/>
      <c r="B2005" s="67"/>
      <c r="C2005" s="67"/>
      <c r="D2005" s="68"/>
      <c r="E2005" s="68"/>
      <c r="F2005" s="68"/>
      <c r="G2005" s="67"/>
      <c r="H2005" s="67"/>
      <c r="I2005" s="67"/>
      <c r="J2005" s="68"/>
      <c r="K2005" s="68"/>
    </row>
    <row r="2006" spans="1:11" x14ac:dyDescent="0.25">
      <c r="A2006" s="69"/>
      <c r="B2006" s="67"/>
      <c r="C2006" s="67"/>
      <c r="D2006" s="68"/>
      <c r="E2006" s="68"/>
      <c r="F2006" s="68"/>
      <c r="G2006" s="67"/>
      <c r="H2006" s="67"/>
      <c r="I2006" s="67"/>
      <c r="J2006" s="68"/>
      <c r="K2006" s="68"/>
    </row>
    <row r="2007" spans="1:11" x14ac:dyDescent="0.25">
      <c r="A2007" s="69"/>
      <c r="B2007" s="67"/>
      <c r="C2007" s="67"/>
      <c r="D2007" s="68"/>
      <c r="E2007" s="68"/>
      <c r="F2007" s="68"/>
      <c r="G2007" s="67"/>
      <c r="H2007" s="67"/>
      <c r="I2007" s="67"/>
      <c r="J2007" s="68"/>
      <c r="K2007" s="68"/>
    </row>
    <row r="2008" spans="1:11" x14ac:dyDescent="0.25">
      <c r="A2008" s="69"/>
      <c r="B2008" s="67"/>
      <c r="C2008" s="67"/>
      <c r="D2008" s="68"/>
      <c r="E2008" s="68"/>
      <c r="F2008" s="68"/>
      <c r="G2008" s="67"/>
      <c r="H2008" s="67"/>
      <c r="I2008" s="67"/>
      <c r="J2008" s="68"/>
      <c r="K2008" s="68"/>
    </row>
    <row r="2009" spans="1:11" x14ac:dyDescent="0.25">
      <c r="A2009" s="69"/>
      <c r="B2009" s="67"/>
      <c r="C2009" s="67"/>
      <c r="D2009" s="68"/>
      <c r="E2009" s="68"/>
      <c r="F2009" s="68"/>
      <c r="G2009" s="67"/>
      <c r="H2009" s="67"/>
      <c r="I2009" s="67"/>
      <c r="J2009" s="68"/>
      <c r="K2009" s="68"/>
    </row>
    <row r="2010" spans="1:11" x14ac:dyDescent="0.25">
      <c r="A2010" s="69"/>
      <c r="B2010" s="67"/>
      <c r="C2010" s="67"/>
      <c r="D2010" s="68"/>
      <c r="E2010" s="68"/>
      <c r="F2010" s="68"/>
      <c r="G2010" s="67"/>
      <c r="H2010" s="67"/>
      <c r="I2010" s="67"/>
      <c r="J2010" s="68"/>
      <c r="K2010" s="68"/>
    </row>
    <row r="2011" spans="1:11" x14ac:dyDescent="0.25">
      <c r="A2011" s="69"/>
      <c r="B2011" s="67"/>
      <c r="C2011" s="67"/>
      <c r="D2011" s="68"/>
      <c r="E2011" s="68"/>
      <c r="F2011" s="68"/>
      <c r="G2011" s="67"/>
      <c r="H2011" s="67"/>
      <c r="I2011" s="67"/>
      <c r="J2011" s="68"/>
      <c r="K2011" s="68"/>
    </row>
    <row r="2012" spans="1:11" x14ac:dyDescent="0.25">
      <c r="A2012" s="69"/>
      <c r="B2012" s="67"/>
      <c r="C2012" s="67"/>
      <c r="D2012" s="68"/>
      <c r="E2012" s="68"/>
      <c r="F2012" s="68"/>
      <c r="G2012" s="67"/>
      <c r="H2012" s="67"/>
      <c r="I2012" s="67"/>
      <c r="J2012" s="68"/>
      <c r="K2012" s="68"/>
    </row>
    <row r="2013" spans="1:11" x14ac:dyDescent="0.25">
      <c r="A2013" s="69"/>
      <c r="B2013" s="67"/>
      <c r="C2013" s="67"/>
      <c r="D2013" s="68"/>
      <c r="E2013" s="68"/>
      <c r="F2013" s="68"/>
      <c r="G2013" s="67"/>
      <c r="H2013" s="67"/>
      <c r="I2013" s="67"/>
      <c r="J2013" s="68"/>
      <c r="K2013" s="68"/>
    </row>
    <row r="2014" spans="1:11" x14ac:dyDescent="0.25">
      <c r="A2014" s="69"/>
      <c r="B2014" s="67"/>
      <c r="C2014" s="67"/>
      <c r="D2014" s="68"/>
      <c r="E2014" s="68"/>
      <c r="F2014" s="68"/>
      <c r="G2014" s="67"/>
      <c r="H2014" s="67"/>
      <c r="I2014" s="67"/>
      <c r="J2014" s="68"/>
      <c r="K2014" s="68"/>
    </row>
    <row r="2015" spans="1:11" x14ac:dyDescent="0.25">
      <c r="A2015" s="69"/>
      <c r="B2015" s="67"/>
      <c r="C2015" s="67"/>
      <c r="D2015" s="68"/>
      <c r="E2015" s="68"/>
      <c r="F2015" s="68"/>
      <c r="G2015" s="67"/>
      <c r="H2015" s="67"/>
      <c r="I2015" s="67"/>
      <c r="J2015" s="68"/>
      <c r="K2015" s="68"/>
    </row>
    <row r="2016" spans="1:11" x14ac:dyDescent="0.25">
      <c r="A2016" s="69"/>
      <c r="B2016" s="67"/>
      <c r="C2016" s="67"/>
      <c r="D2016" s="70"/>
      <c r="E2016" s="70"/>
      <c r="F2016" s="70"/>
      <c r="G2016" s="67"/>
      <c r="H2016" s="67"/>
      <c r="I2016" s="67"/>
      <c r="J2016" s="68"/>
      <c r="K2016" s="68"/>
    </row>
    <row r="2017" spans="1:11" x14ac:dyDescent="0.25">
      <c r="A2017" s="69"/>
      <c r="B2017" s="67"/>
      <c r="C2017" s="67"/>
      <c r="D2017" s="70"/>
      <c r="E2017" s="70"/>
      <c r="F2017" s="70"/>
      <c r="G2017" s="67"/>
      <c r="H2017" s="67"/>
      <c r="I2017" s="67"/>
      <c r="J2017" s="68"/>
      <c r="K2017" s="68"/>
    </row>
    <row r="2018" spans="1:11" x14ac:dyDescent="0.25">
      <c r="A2018" s="69"/>
      <c r="B2018" s="67"/>
      <c r="C2018" s="67"/>
      <c r="D2018" s="70"/>
      <c r="E2018" s="70"/>
      <c r="F2018" s="70"/>
      <c r="G2018" s="67"/>
      <c r="H2018" s="67"/>
      <c r="I2018" s="67"/>
      <c r="J2018" s="68"/>
      <c r="K2018" s="68"/>
    </row>
    <row r="2019" spans="1:11" x14ac:dyDescent="0.25">
      <c r="A2019" s="69"/>
      <c r="B2019" s="67"/>
      <c r="C2019" s="67"/>
      <c r="D2019" s="68"/>
      <c r="E2019" s="68"/>
      <c r="F2019" s="68"/>
      <c r="G2019" s="67"/>
      <c r="H2019" s="67"/>
      <c r="I2019" s="67"/>
      <c r="J2019" s="68"/>
      <c r="K2019" s="68"/>
    </row>
    <row r="2020" spans="1:11" x14ac:dyDescent="0.25">
      <c r="A2020" s="69"/>
      <c r="B2020" s="67"/>
      <c r="C2020" s="67"/>
      <c r="D2020" s="68"/>
      <c r="E2020" s="68"/>
      <c r="F2020" s="68"/>
      <c r="G2020" s="67"/>
      <c r="H2020" s="67"/>
      <c r="I2020" s="67"/>
      <c r="J2020" s="68"/>
      <c r="K2020" s="68"/>
    </row>
    <row r="2021" spans="1:11" x14ac:dyDescent="0.25">
      <c r="A2021" s="69"/>
      <c r="B2021" s="67"/>
      <c r="C2021" s="67"/>
      <c r="D2021" s="68"/>
      <c r="E2021" s="68"/>
      <c r="F2021" s="68"/>
      <c r="G2021" s="67"/>
      <c r="H2021" s="67"/>
      <c r="I2021" s="67"/>
      <c r="J2021" s="68"/>
      <c r="K2021" s="68"/>
    </row>
    <row r="2022" spans="1:11" x14ac:dyDescent="0.25">
      <c r="A2022" s="69"/>
      <c r="B2022" s="67"/>
      <c r="C2022" s="67"/>
      <c r="D2022" s="68"/>
      <c r="E2022" s="68"/>
      <c r="F2022" s="68"/>
      <c r="G2022" s="67"/>
      <c r="H2022" s="67"/>
      <c r="I2022" s="67"/>
      <c r="J2022" s="68"/>
      <c r="K2022" s="68"/>
    </row>
    <row r="2023" spans="1:11" x14ac:dyDescent="0.25">
      <c r="A2023" s="69"/>
      <c r="B2023" s="67"/>
      <c r="C2023" s="67"/>
      <c r="D2023" s="68"/>
      <c r="E2023" s="68"/>
      <c r="F2023" s="68"/>
      <c r="G2023" s="67"/>
      <c r="H2023" s="67"/>
      <c r="I2023" s="67"/>
      <c r="J2023" s="68"/>
      <c r="K2023" s="68"/>
    </row>
    <row r="2024" spans="1:11" x14ac:dyDescent="0.25">
      <c r="A2024" s="69"/>
      <c r="B2024" s="67"/>
      <c r="C2024" s="67"/>
      <c r="D2024" s="68"/>
      <c r="E2024" s="68"/>
      <c r="F2024" s="68"/>
      <c r="G2024" s="67"/>
      <c r="H2024" s="67"/>
      <c r="I2024" s="67"/>
      <c r="J2024" s="68"/>
      <c r="K2024" s="68"/>
    </row>
    <row r="2025" spans="1:11" x14ac:dyDescent="0.25">
      <c r="A2025" s="69"/>
      <c r="B2025" s="67"/>
      <c r="C2025" s="67"/>
      <c r="D2025" s="68"/>
      <c r="E2025" s="68"/>
      <c r="F2025" s="68"/>
      <c r="G2025" s="67"/>
      <c r="H2025" s="67"/>
      <c r="I2025" s="67"/>
      <c r="J2025" s="68"/>
      <c r="K2025" s="68"/>
    </row>
    <row r="2026" spans="1:11" x14ac:dyDescent="0.25">
      <c r="A2026" s="69"/>
      <c r="B2026" s="67"/>
      <c r="C2026" s="67"/>
      <c r="D2026" s="68"/>
      <c r="E2026" s="68"/>
      <c r="F2026" s="68"/>
      <c r="G2026" s="67"/>
      <c r="H2026" s="67"/>
      <c r="I2026" s="67"/>
      <c r="J2026" s="68"/>
      <c r="K2026" s="68"/>
    </row>
    <row r="2027" spans="1:11" x14ac:dyDescent="0.25">
      <c r="A2027" s="69"/>
      <c r="B2027" s="67"/>
      <c r="C2027" s="67"/>
      <c r="D2027" s="68"/>
      <c r="E2027" s="68"/>
      <c r="F2027" s="68"/>
      <c r="G2027" s="67"/>
      <c r="H2027" s="67"/>
      <c r="I2027" s="67"/>
      <c r="J2027" s="68"/>
      <c r="K2027" s="68"/>
    </row>
    <row r="2028" spans="1:11" x14ac:dyDescent="0.25">
      <c r="A2028" s="69"/>
      <c r="B2028" s="67"/>
      <c r="C2028" s="67"/>
      <c r="D2028" s="68"/>
      <c r="E2028" s="68"/>
      <c r="F2028" s="68"/>
      <c r="G2028" s="67"/>
      <c r="H2028" s="67"/>
      <c r="I2028" s="67"/>
      <c r="J2028" s="68"/>
      <c r="K2028" s="68"/>
    </row>
    <row r="2029" spans="1:11" x14ac:dyDescent="0.25">
      <c r="A2029" s="69"/>
      <c r="B2029" s="67"/>
      <c r="C2029" s="67"/>
      <c r="D2029" s="68"/>
      <c r="E2029" s="68"/>
      <c r="F2029" s="68"/>
      <c r="G2029" s="67"/>
      <c r="H2029" s="67"/>
      <c r="I2029" s="67"/>
      <c r="J2029" s="68"/>
      <c r="K2029" s="68"/>
    </row>
    <row r="2030" spans="1:11" x14ac:dyDescent="0.25">
      <c r="A2030" s="69"/>
      <c r="B2030" s="67"/>
      <c r="C2030" s="67"/>
      <c r="D2030" s="68"/>
      <c r="E2030" s="68"/>
      <c r="F2030" s="68"/>
      <c r="G2030" s="67"/>
      <c r="H2030" s="67"/>
      <c r="I2030" s="67"/>
      <c r="J2030" s="68"/>
      <c r="K2030" s="68"/>
    </row>
    <row r="2031" spans="1:11" x14ac:dyDescent="0.25">
      <c r="A2031" s="69"/>
      <c r="B2031" s="67"/>
      <c r="C2031" s="67"/>
      <c r="D2031" s="68"/>
      <c r="E2031" s="68"/>
      <c r="F2031" s="68"/>
      <c r="G2031" s="67"/>
      <c r="H2031" s="67"/>
      <c r="I2031" s="67"/>
      <c r="J2031" s="68"/>
      <c r="K2031" s="68"/>
    </row>
    <row r="2032" spans="1:11" x14ac:dyDescent="0.25">
      <c r="A2032" s="69"/>
      <c r="B2032" s="67"/>
      <c r="C2032" s="67"/>
      <c r="D2032" s="68"/>
      <c r="E2032" s="68"/>
      <c r="F2032" s="68"/>
      <c r="G2032" s="67"/>
      <c r="H2032" s="67"/>
      <c r="I2032" s="67"/>
      <c r="J2032" s="68"/>
      <c r="K2032" s="68"/>
    </row>
    <row r="2033" spans="1:11" x14ac:dyDescent="0.25">
      <c r="A2033" s="69"/>
      <c r="B2033" s="67"/>
      <c r="C2033" s="67"/>
      <c r="D2033" s="68"/>
      <c r="E2033" s="68"/>
      <c r="F2033" s="68"/>
      <c r="G2033" s="67"/>
      <c r="H2033" s="67"/>
      <c r="I2033" s="67"/>
      <c r="J2033" s="68"/>
      <c r="K2033" s="68"/>
    </row>
    <row r="2034" spans="1:11" x14ac:dyDescent="0.25">
      <c r="A2034" s="69"/>
      <c r="B2034" s="67"/>
      <c r="C2034" s="67"/>
      <c r="D2034" s="68"/>
      <c r="E2034" s="68"/>
      <c r="F2034" s="68"/>
      <c r="G2034" s="67"/>
      <c r="H2034" s="67"/>
      <c r="I2034" s="67"/>
      <c r="J2034" s="68"/>
      <c r="K2034" s="68"/>
    </row>
    <row r="2035" spans="1:11" x14ac:dyDescent="0.25">
      <c r="A2035" s="69"/>
      <c r="B2035" s="67"/>
      <c r="C2035" s="67"/>
      <c r="D2035" s="68"/>
      <c r="E2035" s="68"/>
      <c r="F2035" s="68"/>
      <c r="G2035" s="67"/>
      <c r="H2035" s="67"/>
      <c r="I2035" s="67"/>
      <c r="J2035" s="68"/>
      <c r="K2035" s="68"/>
    </row>
    <row r="2036" spans="1:11" x14ac:dyDescent="0.25">
      <c r="A2036" s="69"/>
      <c r="B2036" s="67"/>
      <c r="C2036" s="67"/>
      <c r="D2036" s="68"/>
      <c r="E2036" s="68"/>
      <c r="F2036" s="68"/>
      <c r="G2036" s="67"/>
      <c r="H2036" s="67"/>
      <c r="I2036" s="67"/>
      <c r="J2036" s="68"/>
      <c r="K2036" s="68"/>
    </row>
    <row r="2037" spans="1:11" x14ac:dyDescent="0.25">
      <c r="A2037" s="69"/>
      <c r="B2037" s="67"/>
      <c r="C2037" s="67"/>
      <c r="D2037" s="68"/>
      <c r="E2037" s="68"/>
      <c r="F2037" s="68"/>
      <c r="G2037" s="67"/>
      <c r="H2037" s="67"/>
      <c r="I2037" s="67"/>
      <c r="J2037" s="68"/>
      <c r="K2037" s="68"/>
    </row>
    <row r="2038" spans="1:11" x14ac:dyDescent="0.25">
      <c r="A2038" s="69"/>
      <c r="B2038" s="67"/>
      <c r="C2038" s="67"/>
      <c r="D2038" s="68"/>
      <c r="E2038" s="68"/>
      <c r="F2038" s="68"/>
      <c r="G2038" s="67"/>
      <c r="H2038" s="67"/>
      <c r="I2038" s="67"/>
      <c r="J2038" s="68"/>
      <c r="K2038" s="68"/>
    </row>
    <row r="2039" spans="1:11" x14ac:dyDescent="0.25">
      <c r="A2039" s="69"/>
      <c r="B2039" s="67"/>
      <c r="C2039" s="67"/>
      <c r="D2039" s="68"/>
      <c r="E2039" s="68"/>
      <c r="F2039" s="68"/>
      <c r="G2039" s="67"/>
      <c r="H2039" s="67"/>
      <c r="I2039" s="67"/>
      <c r="J2039" s="68"/>
      <c r="K2039" s="68"/>
    </row>
    <row r="2040" spans="1:11" x14ac:dyDescent="0.25">
      <c r="A2040" s="69"/>
      <c r="B2040" s="67"/>
      <c r="C2040" s="67"/>
      <c r="D2040" s="70"/>
      <c r="E2040" s="70"/>
      <c r="F2040" s="70"/>
      <c r="G2040" s="67"/>
      <c r="H2040" s="67"/>
      <c r="I2040" s="67"/>
      <c r="J2040" s="68"/>
      <c r="K2040" s="68"/>
    </row>
    <row r="2041" spans="1:11" x14ac:dyDescent="0.25">
      <c r="A2041" s="69"/>
      <c r="B2041" s="67"/>
      <c r="C2041" s="67"/>
      <c r="D2041" s="70"/>
      <c r="E2041" s="70"/>
      <c r="F2041" s="70"/>
      <c r="G2041" s="67"/>
      <c r="H2041" s="67"/>
      <c r="I2041" s="67"/>
      <c r="J2041" s="68"/>
      <c r="K2041" s="68"/>
    </row>
    <row r="2042" spans="1:11" x14ac:dyDescent="0.25">
      <c r="A2042" s="69"/>
      <c r="B2042" s="67"/>
      <c r="C2042" s="67"/>
      <c r="D2042" s="70"/>
      <c r="E2042" s="70"/>
      <c r="F2042" s="70"/>
      <c r="G2042" s="67"/>
      <c r="H2042" s="67"/>
      <c r="I2042" s="67"/>
      <c r="J2042" s="68"/>
      <c r="K2042" s="68"/>
    </row>
    <row r="2043" spans="1:11" x14ac:dyDescent="0.25">
      <c r="A2043" s="69"/>
      <c r="B2043" s="67"/>
      <c r="C2043" s="67"/>
      <c r="D2043" s="68"/>
      <c r="E2043" s="68"/>
      <c r="F2043" s="68"/>
      <c r="G2043" s="67"/>
      <c r="H2043" s="67"/>
      <c r="I2043" s="67"/>
      <c r="J2043" s="68"/>
      <c r="K2043" s="68"/>
    </row>
    <row r="2044" spans="1:11" x14ac:dyDescent="0.25">
      <c r="A2044" s="69"/>
      <c r="B2044" s="67"/>
      <c r="C2044" s="67"/>
      <c r="D2044" s="68"/>
      <c r="E2044" s="68"/>
      <c r="F2044" s="68"/>
      <c r="G2044" s="67"/>
      <c r="H2044" s="67"/>
      <c r="I2044" s="67"/>
      <c r="J2044" s="68"/>
      <c r="K2044" s="68"/>
    </row>
    <row r="2045" spans="1:11" x14ac:dyDescent="0.25">
      <c r="A2045" s="69"/>
      <c r="B2045" s="67"/>
      <c r="C2045" s="67"/>
      <c r="D2045" s="68"/>
      <c r="E2045" s="68"/>
      <c r="F2045" s="68"/>
      <c r="G2045" s="67"/>
      <c r="H2045" s="67"/>
      <c r="I2045" s="67"/>
      <c r="J2045" s="68"/>
      <c r="K2045" s="68"/>
    </row>
    <row r="2046" spans="1:11" x14ac:dyDescent="0.25">
      <c r="A2046" s="69"/>
      <c r="B2046" s="67"/>
      <c r="C2046" s="67"/>
      <c r="D2046" s="68"/>
      <c r="E2046" s="68"/>
      <c r="F2046" s="68"/>
      <c r="G2046" s="67"/>
      <c r="H2046" s="67"/>
      <c r="I2046" s="67"/>
      <c r="J2046" s="68"/>
      <c r="K2046" s="68"/>
    </row>
    <row r="2047" spans="1:11" x14ac:dyDescent="0.25">
      <c r="A2047" s="69"/>
      <c r="B2047" s="67"/>
      <c r="C2047" s="67"/>
      <c r="D2047" s="68"/>
      <c r="E2047" s="68"/>
      <c r="F2047" s="68"/>
      <c r="G2047" s="67"/>
      <c r="H2047" s="67"/>
      <c r="I2047" s="67"/>
      <c r="J2047" s="68"/>
      <c r="K2047" s="68"/>
    </row>
    <row r="2048" spans="1:11" x14ac:dyDescent="0.25">
      <c r="A2048" s="69"/>
      <c r="B2048" s="67"/>
      <c r="C2048" s="67"/>
      <c r="D2048" s="68"/>
      <c r="E2048" s="68"/>
      <c r="F2048" s="68"/>
      <c r="G2048" s="67"/>
      <c r="H2048" s="67"/>
      <c r="I2048" s="67"/>
      <c r="J2048" s="68"/>
      <c r="K2048" s="68"/>
    </row>
    <row r="2049" spans="1:11" x14ac:dyDescent="0.25">
      <c r="A2049" s="69"/>
      <c r="B2049" s="67"/>
      <c r="C2049" s="67"/>
      <c r="D2049" s="68"/>
      <c r="E2049" s="68"/>
      <c r="F2049" s="68"/>
      <c r="G2049" s="67"/>
      <c r="H2049" s="67"/>
      <c r="I2049" s="67"/>
      <c r="J2049" s="68"/>
      <c r="K2049" s="68"/>
    </row>
    <row r="2050" spans="1:11" x14ac:dyDescent="0.25">
      <c r="A2050" s="69"/>
      <c r="B2050" s="67"/>
      <c r="C2050" s="67"/>
      <c r="D2050" s="68"/>
      <c r="E2050" s="68"/>
      <c r="F2050" s="68"/>
      <c r="G2050" s="67"/>
      <c r="H2050" s="67"/>
      <c r="I2050" s="67"/>
      <c r="J2050" s="68"/>
      <c r="K2050" s="68"/>
    </row>
    <row r="2051" spans="1:11" x14ac:dyDescent="0.25">
      <c r="A2051" s="69"/>
      <c r="B2051" s="67"/>
      <c r="C2051" s="67"/>
      <c r="D2051" s="68"/>
      <c r="E2051" s="68"/>
      <c r="F2051" s="68"/>
      <c r="G2051" s="67"/>
      <c r="H2051" s="67"/>
      <c r="I2051" s="67"/>
      <c r="J2051" s="68"/>
      <c r="K2051" s="68"/>
    </row>
    <row r="2052" spans="1:11" x14ac:dyDescent="0.25">
      <c r="A2052" s="69"/>
      <c r="B2052" s="67"/>
      <c r="C2052" s="67"/>
      <c r="D2052" s="68"/>
      <c r="E2052" s="68"/>
      <c r="F2052" s="68"/>
      <c r="G2052" s="67"/>
      <c r="H2052" s="67"/>
      <c r="I2052" s="67"/>
      <c r="J2052" s="68"/>
      <c r="K2052" s="68"/>
    </row>
    <row r="2053" spans="1:11" x14ac:dyDescent="0.25">
      <c r="A2053" s="69"/>
      <c r="B2053" s="67"/>
      <c r="C2053" s="67"/>
      <c r="D2053" s="68"/>
      <c r="E2053" s="68"/>
      <c r="F2053" s="68"/>
      <c r="G2053" s="67"/>
      <c r="H2053" s="67"/>
      <c r="I2053" s="67"/>
      <c r="J2053" s="68"/>
      <c r="K2053" s="68"/>
    </row>
    <row r="2054" spans="1:11" x14ac:dyDescent="0.25">
      <c r="A2054" s="69"/>
      <c r="B2054" s="67"/>
      <c r="C2054" s="67"/>
      <c r="D2054" s="68"/>
      <c r="E2054" s="68"/>
      <c r="F2054" s="68"/>
      <c r="G2054" s="67"/>
      <c r="H2054" s="67"/>
      <c r="I2054" s="67"/>
      <c r="J2054" s="68"/>
      <c r="K2054" s="68"/>
    </row>
    <row r="2055" spans="1:11" x14ac:dyDescent="0.25">
      <c r="A2055" s="69"/>
      <c r="B2055" s="67"/>
      <c r="C2055" s="67"/>
      <c r="D2055" s="68"/>
      <c r="E2055" s="68"/>
      <c r="F2055" s="68"/>
      <c r="G2055" s="67"/>
      <c r="H2055" s="67"/>
      <c r="I2055" s="67"/>
      <c r="J2055" s="68"/>
      <c r="K2055" s="68"/>
    </row>
    <row r="2056" spans="1:11" x14ac:dyDescent="0.25">
      <c r="A2056" s="69"/>
      <c r="B2056" s="67"/>
      <c r="C2056" s="67"/>
      <c r="D2056" s="68"/>
      <c r="E2056" s="68"/>
      <c r="F2056" s="68"/>
      <c r="G2056" s="67"/>
      <c r="H2056" s="67"/>
      <c r="I2056" s="67"/>
      <c r="J2056" s="68"/>
      <c r="K2056" s="68"/>
    </row>
    <row r="2057" spans="1:11" x14ac:dyDescent="0.25">
      <c r="A2057" s="69"/>
      <c r="B2057" s="67"/>
      <c r="C2057" s="67"/>
      <c r="D2057" s="68"/>
      <c r="E2057" s="68"/>
      <c r="F2057" s="68"/>
      <c r="G2057" s="67"/>
      <c r="H2057" s="67"/>
      <c r="I2057" s="67"/>
      <c r="J2057" s="68"/>
      <c r="K2057" s="68"/>
    </row>
    <row r="2058" spans="1:11" x14ac:dyDescent="0.25">
      <c r="A2058" s="69"/>
      <c r="B2058" s="67"/>
      <c r="C2058" s="67"/>
      <c r="D2058" s="68"/>
      <c r="E2058" s="68"/>
      <c r="F2058" s="68"/>
      <c r="G2058" s="67"/>
      <c r="H2058" s="67"/>
      <c r="I2058" s="67"/>
      <c r="J2058" s="68"/>
      <c r="K2058" s="68"/>
    </row>
    <row r="2059" spans="1:11" x14ac:dyDescent="0.25">
      <c r="A2059" s="69"/>
      <c r="B2059" s="67"/>
      <c r="C2059" s="67"/>
      <c r="D2059" s="68"/>
      <c r="E2059" s="68"/>
      <c r="F2059" s="68"/>
      <c r="G2059" s="67"/>
      <c r="H2059" s="67"/>
      <c r="I2059" s="67"/>
      <c r="J2059" s="68"/>
      <c r="K2059" s="68"/>
    </row>
    <row r="2060" spans="1:11" x14ac:dyDescent="0.25">
      <c r="A2060" s="69"/>
      <c r="B2060" s="67"/>
      <c r="C2060" s="67"/>
      <c r="D2060" s="68"/>
      <c r="E2060" s="68"/>
      <c r="F2060" s="68"/>
      <c r="G2060" s="67"/>
      <c r="H2060" s="67"/>
      <c r="I2060" s="67"/>
      <c r="J2060" s="68"/>
      <c r="K2060" s="68"/>
    </row>
    <row r="2061" spans="1:11" x14ac:dyDescent="0.25">
      <c r="A2061" s="69"/>
      <c r="B2061" s="67"/>
      <c r="C2061" s="67"/>
      <c r="D2061" s="68"/>
      <c r="E2061" s="68"/>
      <c r="F2061" s="68"/>
      <c r="G2061" s="67"/>
      <c r="H2061" s="67"/>
      <c r="I2061" s="67"/>
      <c r="J2061" s="68"/>
      <c r="K2061" s="68"/>
    </row>
    <row r="2062" spans="1:11" x14ac:dyDescent="0.25">
      <c r="A2062" s="69"/>
      <c r="B2062" s="67"/>
      <c r="C2062" s="67"/>
      <c r="D2062" s="68"/>
      <c r="E2062" s="68"/>
      <c r="F2062" s="68"/>
      <c r="G2062" s="67"/>
      <c r="H2062" s="67"/>
      <c r="I2062" s="67"/>
      <c r="J2062" s="68"/>
      <c r="K2062" s="68"/>
    </row>
    <row r="2063" spans="1:11" x14ac:dyDescent="0.25">
      <c r="A2063" s="69"/>
      <c r="B2063" s="67"/>
      <c r="C2063" s="67"/>
      <c r="D2063" s="68"/>
      <c r="E2063" s="68"/>
      <c r="F2063" s="68"/>
      <c r="G2063" s="67"/>
      <c r="H2063" s="67"/>
      <c r="I2063" s="67"/>
      <c r="J2063" s="68"/>
      <c r="K2063" s="68"/>
    </row>
    <row r="2064" spans="1:11" x14ac:dyDescent="0.25">
      <c r="A2064" s="69"/>
      <c r="B2064" s="67"/>
      <c r="C2064" s="67"/>
      <c r="D2064" s="70"/>
      <c r="E2064" s="70"/>
      <c r="F2064" s="70"/>
      <c r="G2064" s="67"/>
      <c r="H2064" s="67"/>
      <c r="I2064" s="67"/>
      <c r="J2064" s="68"/>
      <c r="K2064" s="68"/>
    </row>
    <row r="2065" spans="1:11" x14ac:dyDescent="0.25">
      <c r="A2065" s="69"/>
      <c r="B2065" s="67"/>
      <c r="C2065" s="67"/>
      <c r="D2065" s="70"/>
      <c r="E2065" s="70"/>
      <c r="F2065" s="70"/>
      <c r="G2065" s="67"/>
      <c r="H2065" s="67"/>
      <c r="I2065" s="67"/>
      <c r="J2065" s="68"/>
      <c r="K2065" s="68"/>
    </row>
    <row r="2066" spans="1:11" x14ac:dyDescent="0.25">
      <c r="A2066" s="69"/>
      <c r="B2066" s="67"/>
      <c r="C2066" s="67"/>
      <c r="D2066" s="70"/>
      <c r="E2066" s="70"/>
      <c r="F2066" s="70"/>
      <c r="G2066" s="67"/>
      <c r="H2066" s="67"/>
      <c r="I2066" s="67"/>
      <c r="J2066" s="68"/>
      <c r="K2066" s="68"/>
    </row>
    <row r="2067" spans="1:11" x14ac:dyDescent="0.25">
      <c r="A2067" s="69"/>
      <c r="B2067" s="67"/>
      <c r="C2067" s="67"/>
      <c r="D2067" s="68"/>
      <c r="E2067" s="68"/>
      <c r="F2067" s="68"/>
      <c r="G2067" s="67"/>
      <c r="H2067" s="67"/>
      <c r="I2067" s="67"/>
      <c r="J2067" s="68"/>
      <c r="K2067" s="68"/>
    </row>
    <row r="2068" spans="1:11" x14ac:dyDescent="0.25">
      <c r="A2068" s="69"/>
      <c r="B2068" s="67"/>
      <c r="C2068" s="67"/>
      <c r="D2068" s="68"/>
      <c r="E2068" s="68"/>
      <c r="F2068" s="68"/>
      <c r="G2068" s="67"/>
      <c r="H2068" s="67"/>
      <c r="I2068" s="67"/>
      <c r="J2068" s="68"/>
      <c r="K2068" s="68"/>
    </row>
    <row r="2069" spans="1:11" x14ac:dyDescent="0.25">
      <c r="A2069" s="69"/>
      <c r="B2069" s="67"/>
      <c r="C2069" s="67"/>
      <c r="D2069" s="68"/>
      <c r="E2069" s="68"/>
      <c r="F2069" s="68"/>
      <c r="G2069" s="67"/>
      <c r="H2069" s="67"/>
      <c r="I2069" s="67"/>
      <c r="J2069" s="68"/>
      <c r="K2069" s="68"/>
    </row>
    <row r="2070" spans="1:11" x14ac:dyDescent="0.25">
      <c r="A2070" s="69"/>
      <c r="B2070" s="67"/>
      <c r="C2070" s="67"/>
      <c r="D2070" s="68"/>
      <c r="E2070" s="68"/>
      <c r="F2070" s="68"/>
      <c r="G2070" s="67"/>
      <c r="H2070" s="67"/>
      <c r="I2070" s="67"/>
      <c r="J2070" s="68"/>
      <c r="K2070" s="68"/>
    </row>
    <row r="2071" spans="1:11" x14ac:dyDescent="0.25">
      <c r="A2071" s="69"/>
      <c r="B2071" s="67"/>
      <c r="C2071" s="67"/>
      <c r="D2071" s="68"/>
      <c r="E2071" s="68"/>
      <c r="F2071" s="68"/>
      <c r="G2071" s="67"/>
      <c r="H2071" s="67"/>
      <c r="I2071" s="67"/>
      <c r="J2071" s="68"/>
      <c r="K2071" s="68"/>
    </row>
    <row r="2072" spans="1:11" x14ac:dyDescent="0.25">
      <c r="A2072" s="69"/>
      <c r="B2072" s="67"/>
      <c r="C2072" s="67"/>
      <c r="D2072" s="68"/>
      <c r="E2072" s="68"/>
      <c r="F2072" s="68"/>
      <c r="G2072" s="67"/>
      <c r="H2072" s="67"/>
      <c r="I2072" s="67"/>
      <c r="J2072" s="68"/>
      <c r="K2072" s="68"/>
    </row>
    <row r="2073" spans="1:11" x14ac:dyDescent="0.25">
      <c r="A2073" s="69"/>
      <c r="B2073" s="67"/>
      <c r="C2073" s="67"/>
      <c r="D2073" s="68"/>
      <c r="E2073" s="68"/>
      <c r="F2073" s="68"/>
      <c r="G2073" s="67"/>
      <c r="H2073" s="67"/>
      <c r="I2073" s="67"/>
      <c r="J2073" s="68"/>
      <c r="K2073" s="68"/>
    </row>
    <row r="2074" spans="1:11" x14ac:dyDescent="0.25">
      <c r="A2074" s="69"/>
      <c r="B2074" s="67"/>
      <c r="C2074" s="67"/>
      <c r="D2074" s="68"/>
      <c r="E2074" s="68"/>
      <c r="F2074" s="68"/>
      <c r="G2074" s="67"/>
      <c r="H2074" s="67"/>
      <c r="I2074" s="67"/>
      <c r="J2074" s="68"/>
      <c r="K2074" s="68"/>
    </row>
    <row r="2075" spans="1:11" x14ac:dyDescent="0.25">
      <c r="A2075" s="69"/>
      <c r="B2075" s="67"/>
      <c r="C2075" s="67"/>
      <c r="D2075" s="68"/>
      <c r="E2075" s="68"/>
      <c r="F2075" s="68"/>
      <c r="G2075" s="67"/>
      <c r="H2075" s="67"/>
      <c r="I2075" s="67"/>
      <c r="J2075" s="68"/>
      <c r="K2075" s="68"/>
    </row>
    <row r="2076" spans="1:11" x14ac:dyDescent="0.25">
      <c r="A2076" s="69"/>
      <c r="B2076" s="67"/>
      <c r="C2076" s="67"/>
      <c r="D2076" s="68"/>
      <c r="E2076" s="68"/>
      <c r="F2076" s="68"/>
      <c r="G2076" s="67"/>
      <c r="H2076" s="67"/>
      <c r="I2076" s="67"/>
      <c r="J2076" s="68"/>
      <c r="K2076" s="68"/>
    </row>
    <row r="2077" spans="1:11" x14ac:dyDescent="0.25">
      <c r="A2077" s="69"/>
      <c r="B2077" s="67"/>
      <c r="C2077" s="67"/>
      <c r="D2077" s="68"/>
      <c r="E2077" s="68"/>
      <c r="F2077" s="68"/>
      <c r="G2077" s="67"/>
      <c r="H2077" s="67"/>
      <c r="I2077" s="67"/>
      <c r="J2077" s="68"/>
      <c r="K2077" s="68"/>
    </row>
    <row r="2078" spans="1:11" x14ac:dyDescent="0.25">
      <c r="A2078" s="69"/>
      <c r="B2078" s="67"/>
      <c r="C2078" s="67"/>
      <c r="D2078" s="68"/>
      <c r="E2078" s="68"/>
      <c r="F2078" s="68"/>
      <c r="G2078" s="67"/>
      <c r="H2078" s="67"/>
      <c r="I2078" s="67"/>
      <c r="J2078" s="68"/>
      <c r="K2078" s="68"/>
    </row>
    <row r="2079" spans="1:11" x14ac:dyDescent="0.25">
      <c r="A2079" s="69"/>
      <c r="B2079" s="67"/>
      <c r="C2079" s="67"/>
      <c r="D2079" s="68"/>
      <c r="E2079" s="68"/>
      <c r="F2079" s="68"/>
      <c r="G2079" s="67"/>
      <c r="H2079" s="67"/>
      <c r="I2079" s="67"/>
      <c r="J2079" s="68"/>
      <c r="K2079" s="68"/>
    </row>
    <row r="2080" spans="1:11" x14ac:dyDescent="0.25">
      <c r="A2080" s="69"/>
      <c r="B2080" s="67"/>
      <c r="C2080" s="67"/>
      <c r="D2080" s="68"/>
      <c r="E2080" s="68"/>
      <c r="F2080" s="68"/>
      <c r="G2080" s="67"/>
      <c r="H2080" s="67"/>
      <c r="I2080" s="67"/>
      <c r="J2080" s="68"/>
      <c r="K2080" s="68"/>
    </row>
    <row r="2081" spans="1:11" x14ac:dyDescent="0.25">
      <c r="A2081" s="69"/>
      <c r="B2081" s="67"/>
      <c r="C2081" s="67"/>
      <c r="D2081" s="68"/>
      <c r="E2081" s="68"/>
      <c r="F2081" s="68"/>
      <c r="G2081" s="67"/>
      <c r="H2081" s="67"/>
      <c r="I2081" s="67"/>
      <c r="J2081" s="68"/>
      <c r="K2081" s="68"/>
    </row>
    <row r="2082" spans="1:11" x14ac:dyDescent="0.25">
      <c r="A2082" s="69"/>
      <c r="B2082" s="67"/>
      <c r="C2082" s="67"/>
      <c r="D2082" s="68"/>
      <c r="E2082" s="68"/>
      <c r="F2082" s="68"/>
      <c r="G2082" s="67"/>
      <c r="H2082" s="67"/>
      <c r="I2082" s="67"/>
      <c r="J2082" s="68"/>
      <c r="K2082" s="68"/>
    </row>
    <row r="2083" spans="1:11" x14ac:dyDescent="0.25">
      <c r="A2083" s="69"/>
      <c r="B2083" s="67"/>
      <c r="C2083" s="67"/>
      <c r="D2083" s="68"/>
      <c r="E2083" s="68"/>
      <c r="F2083" s="68"/>
      <c r="G2083" s="67"/>
      <c r="H2083" s="67"/>
      <c r="I2083" s="67"/>
      <c r="J2083" s="68"/>
      <c r="K2083" s="68"/>
    </row>
    <row r="2084" spans="1:11" x14ac:dyDescent="0.25">
      <c r="A2084" s="69"/>
      <c r="B2084" s="67"/>
      <c r="C2084" s="67"/>
      <c r="D2084" s="68"/>
      <c r="E2084" s="68"/>
      <c r="F2084" s="68"/>
      <c r="G2084" s="67"/>
      <c r="H2084" s="67"/>
      <c r="I2084" s="67"/>
      <c r="J2084" s="68"/>
      <c r="K2084" s="68"/>
    </row>
    <row r="2085" spans="1:11" x14ac:dyDescent="0.25">
      <c r="A2085" s="69"/>
      <c r="B2085" s="67"/>
      <c r="C2085" s="67"/>
      <c r="D2085" s="68"/>
      <c r="E2085" s="68"/>
      <c r="F2085" s="68"/>
      <c r="G2085" s="67"/>
      <c r="H2085" s="67"/>
      <c r="I2085" s="67"/>
      <c r="J2085" s="68"/>
      <c r="K2085" s="68"/>
    </row>
    <row r="2086" spans="1:11" x14ac:dyDescent="0.25">
      <c r="A2086" s="69"/>
      <c r="B2086" s="67"/>
      <c r="C2086" s="67"/>
      <c r="D2086" s="68"/>
      <c r="E2086" s="68"/>
      <c r="F2086" s="68"/>
      <c r="G2086" s="67"/>
      <c r="H2086" s="67"/>
      <c r="I2086" s="67"/>
      <c r="J2086" s="68"/>
      <c r="K2086" s="68"/>
    </row>
    <row r="2087" spans="1:11" x14ac:dyDescent="0.25">
      <c r="A2087" s="69"/>
      <c r="B2087" s="67"/>
      <c r="C2087" s="67"/>
      <c r="D2087" s="68"/>
      <c r="E2087" s="68"/>
      <c r="F2087" s="68"/>
      <c r="G2087" s="67"/>
      <c r="H2087" s="67"/>
      <c r="I2087" s="67"/>
      <c r="J2087" s="68"/>
      <c r="K2087" s="68"/>
    </row>
    <row r="2088" spans="1:11" x14ac:dyDescent="0.25">
      <c r="A2088" s="69"/>
      <c r="B2088" s="67"/>
      <c r="C2088" s="67"/>
      <c r="D2088" s="70"/>
      <c r="E2088" s="70"/>
      <c r="F2088" s="70"/>
      <c r="G2088" s="67"/>
      <c r="H2088" s="67"/>
      <c r="I2088" s="67"/>
      <c r="J2088" s="68"/>
      <c r="K2088" s="68"/>
    </row>
    <row r="2089" spans="1:11" x14ac:dyDescent="0.25">
      <c r="A2089" s="69"/>
      <c r="B2089" s="67"/>
      <c r="C2089" s="67"/>
      <c r="D2089" s="70"/>
      <c r="E2089" s="70"/>
      <c r="F2089" s="70"/>
      <c r="G2089" s="67"/>
      <c r="H2089" s="67"/>
      <c r="I2089" s="67"/>
      <c r="J2089" s="68"/>
      <c r="K2089" s="68"/>
    </row>
    <row r="2090" spans="1:11" x14ac:dyDescent="0.25">
      <c r="A2090" s="69"/>
      <c r="B2090" s="67"/>
      <c r="C2090" s="67"/>
      <c r="D2090" s="70"/>
      <c r="E2090" s="70"/>
      <c r="F2090" s="70"/>
      <c r="G2090" s="67"/>
      <c r="H2090" s="67"/>
      <c r="I2090" s="67"/>
      <c r="J2090" s="68"/>
      <c r="K2090" s="68"/>
    </row>
    <row r="2091" spans="1:11" x14ac:dyDescent="0.25">
      <c r="A2091" s="69"/>
      <c r="B2091" s="67"/>
      <c r="C2091" s="67"/>
      <c r="D2091" s="68"/>
      <c r="E2091" s="68"/>
      <c r="F2091" s="68"/>
      <c r="G2091" s="67"/>
      <c r="H2091" s="67"/>
      <c r="I2091" s="67"/>
      <c r="J2091" s="68"/>
      <c r="K2091" s="68"/>
    </row>
    <row r="2092" spans="1:11" x14ac:dyDescent="0.25">
      <c r="A2092" s="69"/>
      <c r="B2092" s="67"/>
      <c r="C2092" s="67"/>
      <c r="D2092" s="68"/>
      <c r="E2092" s="68"/>
      <c r="F2092" s="68"/>
      <c r="G2092" s="67"/>
      <c r="H2092" s="67"/>
      <c r="I2092" s="67"/>
      <c r="J2092" s="68"/>
      <c r="K2092" s="68"/>
    </row>
    <row r="2093" spans="1:11" x14ac:dyDescent="0.25">
      <c r="A2093" s="69"/>
      <c r="B2093" s="67"/>
      <c r="C2093" s="67"/>
      <c r="D2093" s="68"/>
      <c r="E2093" s="68"/>
      <c r="F2093" s="68"/>
      <c r="G2093" s="67"/>
      <c r="H2093" s="67"/>
      <c r="I2093" s="67"/>
      <c r="J2093" s="68"/>
      <c r="K2093" s="68"/>
    </row>
    <row r="2094" spans="1:11" x14ac:dyDescent="0.25">
      <c r="A2094" s="69"/>
      <c r="B2094" s="67"/>
      <c r="C2094" s="67"/>
      <c r="D2094" s="68"/>
      <c r="E2094" s="68"/>
      <c r="F2094" s="68"/>
      <c r="G2094" s="67"/>
      <c r="H2094" s="67"/>
      <c r="I2094" s="67"/>
      <c r="J2094" s="68"/>
      <c r="K2094" s="68"/>
    </row>
    <row r="2095" spans="1:11" x14ac:dyDescent="0.25">
      <c r="A2095" s="69"/>
      <c r="B2095" s="67"/>
      <c r="C2095" s="67"/>
      <c r="D2095" s="68"/>
      <c r="E2095" s="68"/>
      <c r="F2095" s="68"/>
      <c r="G2095" s="67"/>
      <c r="H2095" s="67"/>
      <c r="I2095" s="67"/>
      <c r="J2095" s="68"/>
      <c r="K2095" s="68"/>
    </row>
    <row r="2096" spans="1:11" x14ac:dyDescent="0.25">
      <c r="A2096" s="69"/>
      <c r="B2096" s="67"/>
      <c r="C2096" s="67"/>
      <c r="D2096" s="68"/>
      <c r="E2096" s="68"/>
      <c r="F2096" s="68"/>
      <c r="G2096" s="67"/>
      <c r="H2096" s="67"/>
      <c r="I2096" s="67"/>
      <c r="J2096" s="68"/>
      <c r="K2096" s="68"/>
    </row>
    <row r="2097" spans="1:11" x14ac:dyDescent="0.25">
      <c r="A2097" s="69"/>
      <c r="B2097" s="67"/>
      <c r="C2097" s="67"/>
      <c r="D2097" s="68"/>
      <c r="E2097" s="68"/>
      <c r="F2097" s="68"/>
      <c r="G2097" s="67"/>
      <c r="H2097" s="67"/>
      <c r="I2097" s="67"/>
      <c r="J2097" s="68"/>
      <c r="K2097" s="68"/>
    </row>
    <row r="2098" spans="1:11" x14ac:dyDescent="0.25">
      <c r="A2098" s="69"/>
      <c r="B2098" s="67"/>
      <c r="C2098" s="67"/>
      <c r="D2098" s="68"/>
      <c r="E2098" s="68"/>
      <c r="F2098" s="68"/>
      <c r="G2098" s="67"/>
      <c r="H2098" s="67"/>
      <c r="I2098" s="67"/>
      <c r="J2098" s="68"/>
      <c r="K2098" s="68"/>
    </row>
    <row r="2099" spans="1:11" x14ac:dyDescent="0.25">
      <c r="A2099" s="69"/>
      <c r="B2099" s="67"/>
      <c r="C2099" s="67"/>
      <c r="D2099" s="68"/>
      <c r="E2099" s="68"/>
      <c r="F2099" s="68"/>
      <c r="G2099" s="67"/>
      <c r="H2099" s="67"/>
      <c r="I2099" s="67"/>
      <c r="J2099" s="68"/>
      <c r="K2099" s="68"/>
    </row>
    <row r="2100" spans="1:11" x14ac:dyDescent="0.25">
      <c r="A2100" s="69"/>
      <c r="B2100" s="67"/>
      <c r="C2100" s="67"/>
      <c r="D2100" s="68"/>
      <c r="E2100" s="68"/>
      <c r="F2100" s="68"/>
      <c r="G2100" s="67"/>
      <c r="H2100" s="67"/>
      <c r="I2100" s="67"/>
      <c r="J2100" s="68"/>
      <c r="K2100" s="68"/>
    </row>
    <row r="2101" spans="1:11" x14ac:dyDescent="0.25">
      <c r="A2101" s="69"/>
      <c r="B2101" s="67"/>
      <c r="C2101" s="67"/>
      <c r="D2101" s="68"/>
      <c r="E2101" s="68"/>
      <c r="F2101" s="68"/>
      <c r="G2101" s="67"/>
      <c r="H2101" s="67"/>
      <c r="I2101" s="67"/>
      <c r="J2101" s="68"/>
      <c r="K2101" s="68"/>
    </row>
    <row r="2102" spans="1:11" x14ac:dyDescent="0.25">
      <c r="A2102" s="69"/>
      <c r="B2102" s="67"/>
      <c r="C2102" s="67"/>
      <c r="D2102" s="68"/>
      <c r="E2102" s="68"/>
      <c r="F2102" s="68"/>
      <c r="G2102" s="67"/>
      <c r="H2102" s="67"/>
      <c r="I2102" s="67"/>
      <c r="J2102" s="68"/>
      <c r="K2102" s="68"/>
    </row>
    <row r="2103" spans="1:11" x14ac:dyDescent="0.25">
      <c r="A2103" s="69"/>
      <c r="B2103" s="67"/>
      <c r="C2103" s="67"/>
      <c r="D2103" s="68"/>
      <c r="E2103" s="68"/>
      <c r="F2103" s="68"/>
      <c r="G2103" s="67"/>
      <c r="H2103" s="67"/>
      <c r="I2103" s="67"/>
      <c r="J2103" s="68"/>
      <c r="K2103" s="68"/>
    </row>
    <row r="2104" spans="1:11" x14ac:dyDescent="0.25">
      <c r="A2104" s="69"/>
      <c r="B2104" s="67"/>
      <c r="C2104" s="67"/>
      <c r="D2104" s="68"/>
      <c r="E2104" s="68"/>
      <c r="F2104" s="68"/>
      <c r="G2104" s="67"/>
      <c r="H2104" s="67"/>
      <c r="I2104" s="67"/>
      <c r="J2104" s="68"/>
      <c r="K2104" s="68"/>
    </row>
    <row r="2105" spans="1:11" x14ac:dyDescent="0.25">
      <c r="A2105" s="69"/>
      <c r="B2105" s="67"/>
      <c r="C2105" s="67"/>
      <c r="D2105" s="68"/>
      <c r="E2105" s="68"/>
      <c r="F2105" s="68"/>
      <c r="G2105" s="67"/>
      <c r="H2105" s="67"/>
      <c r="I2105" s="67"/>
      <c r="J2105" s="68"/>
      <c r="K2105" s="68"/>
    </row>
    <row r="2106" spans="1:11" x14ac:dyDescent="0.25">
      <c r="A2106" s="69"/>
      <c r="B2106" s="67"/>
      <c r="C2106" s="67"/>
      <c r="D2106" s="68"/>
      <c r="E2106" s="68"/>
      <c r="F2106" s="68"/>
      <c r="G2106" s="67"/>
      <c r="H2106" s="67"/>
      <c r="I2106" s="67"/>
      <c r="J2106" s="68"/>
      <c r="K2106" s="68"/>
    </row>
    <row r="2107" spans="1:11" x14ac:dyDescent="0.25">
      <c r="A2107" s="69"/>
      <c r="B2107" s="67"/>
      <c r="C2107" s="67"/>
      <c r="D2107" s="68"/>
      <c r="E2107" s="68"/>
      <c r="F2107" s="68"/>
      <c r="G2107" s="67"/>
      <c r="H2107" s="67"/>
      <c r="I2107" s="67"/>
      <c r="J2107" s="68"/>
      <c r="K2107" s="68"/>
    </row>
    <row r="2108" spans="1:11" x14ac:dyDescent="0.25">
      <c r="A2108" s="69"/>
      <c r="B2108" s="67"/>
      <c r="C2108" s="67"/>
      <c r="D2108" s="68"/>
      <c r="E2108" s="68"/>
      <c r="F2108" s="68"/>
      <c r="G2108" s="67"/>
      <c r="H2108" s="67"/>
      <c r="I2108" s="67"/>
      <c r="J2108" s="68"/>
      <c r="K2108" s="68"/>
    </row>
    <row r="2109" spans="1:11" x14ac:dyDescent="0.25">
      <c r="A2109" s="69"/>
      <c r="B2109" s="67"/>
      <c r="C2109" s="67"/>
      <c r="D2109" s="68"/>
      <c r="E2109" s="68"/>
      <c r="F2109" s="68"/>
      <c r="G2109" s="67"/>
      <c r="H2109" s="67"/>
      <c r="I2109" s="67"/>
      <c r="J2109" s="68"/>
      <c r="K2109" s="68"/>
    </row>
    <row r="2110" spans="1:11" x14ac:dyDescent="0.25">
      <c r="A2110" s="69"/>
      <c r="B2110" s="67"/>
      <c r="C2110" s="67"/>
      <c r="D2110" s="68"/>
      <c r="E2110" s="68"/>
      <c r="F2110" s="68"/>
      <c r="G2110" s="67"/>
      <c r="H2110" s="67"/>
      <c r="I2110" s="67"/>
      <c r="J2110" s="68"/>
      <c r="K2110" s="68"/>
    </row>
    <row r="2111" spans="1:11" x14ac:dyDescent="0.25">
      <c r="A2111" s="69"/>
      <c r="B2111" s="67"/>
      <c r="C2111" s="67"/>
      <c r="D2111" s="68"/>
      <c r="E2111" s="68"/>
      <c r="F2111" s="68"/>
      <c r="G2111" s="67"/>
      <c r="H2111" s="67"/>
      <c r="I2111" s="67"/>
      <c r="J2111" s="68"/>
      <c r="K2111" s="68"/>
    </row>
    <row r="2112" spans="1:11" x14ac:dyDescent="0.25">
      <c r="A2112" s="69"/>
      <c r="B2112" s="67"/>
      <c r="C2112" s="67"/>
      <c r="D2112" s="70"/>
      <c r="E2112" s="70"/>
      <c r="F2112" s="70"/>
      <c r="G2112" s="67"/>
      <c r="H2112" s="67"/>
      <c r="I2112" s="67"/>
      <c r="J2112" s="68"/>
      <c r="K2112" s="68"/>
    </row>
    <row r="2113" spans="1:11" x14ac:dyDescent="0.25">
      <c r="A2113" s="69"/>
      <c r="B2113" s="67"/>
      <c r="C2113" s="67"/>
      <c r="D2113" s="70"/>
      <c r="E2113" s="70"/>
      <c r="F2113" s="70"/>
      <c r="G2113" s="67"/>
      <c r="H2113" s="67"/>
      <c r="I2113" s="67"/>
      <c r="J2113" s="68"/>
      <c r="K2113" s="68"/>
    </row>
    <row r="2114" spans="1:11" x14ac:dyDescent="0.25">
      <c r="A2114" s="69"/>
      <c r="B2114" s="67"/>
      <c r="C2114" s="67"/>
      <c r="D2114" s="70"/>
      <c r="E2114" s="70"/>
      <c r="F2114" s="70"/>
      <c r="G2114" s="67"/>
      <c r="H2114" s="67"/>
      <c r="I2114" s="67"/>
      <c r="J2114" s="68"/>
      <c r="K2114" s="68"/>
    </row>
    <row r="2115" spans="1:11" x14ac:dyDescent="0.25">
      <c r="A2115" s="69"/>
      <c r="B2115" s="67"/>
      <c r="C2115" s="67"/>
      <c r="D2115" s="68"/>
      <c r="E2115" s="68"/>
      <c r="F2115" s="68"/>
      <c r="G2115" s="67"/>
      <c r="H2115" s="67"/>
      <c r="I2115" s="67"/>
      <c r="J2115" s="68"/>
      <c r="K2115" s="68"/>
    </row>
    <row r="2116" spans="1:11" x14ac:dyDescent="0.25">
      <c r="A2116" s="69"/>
      <c r="B2116" s="67"/>
      <c r="C2116" s="67"/>
      <c r="D2116" s="68"/>
      <c r="E2116" s="68"/>
      <c r="F2116" s="68"/>
      <c r="G2116" s="67"/>
      <c r="H2116" s="67"/>
      <c r="I2116" s="67"/>
      <c r="J2116" s="68"/>
      <c r="K2116" s="68"/>
    </row>
    <row r="2117" spans="1:11" x14ac:dyDescent="0.25">
      <c r="A2117" s="69"/>
      <c r="B2117" s="67"/>
      <c r="C2117" s="67"/>
      <c r="D2117" s="68"/>
      <c r="E2117" s="68"/>
      <c r="F2117" s="68"/>
      <c r="G2117" s="67"/>
      <c r="H2117" s="67"/>
      <c r="I2117" s="67"/>
      <c r="J2117" s="68"/>
      <c r="K2117" s="68"/>
    </row>
    <row r="2118" spans="1:11" x14ac:dyDescent="0.25">
      <c r="A2118" s="69"/>
      <c r="B2118" s="67"/>
      <c r="C2118" s="67"/>
      <c r="D2118" s="68"/>
      <c r="E2118" s="68"/>
      <c r="F2118" s="68"/>
      <c r="G2118" s="67"/>
      <c r="H2118" s="67"/>
      <c r="I2118" s="67"/>
      <c r="J2118" s="68"/>
      <c r="K2118" s="68"/>
    </row>
    <row r="2119" spans="1:11" x14ac:dyDescent="0.25">
      <c r="A2119" s="69"/>
      <c r="B2119" s="67"/>
      <c r="C2119" s="67"/>
      <c r="D2119" s="68"/>
      <c r="E2119" s="68"/>
      <c r="F2119" s="68"/>
      <c r="G2119" s="67"/>
      <c r="H2119" s="67"/>
      <c r="I2119" s="67"/>
      <c r="J2119" s="68"/>
      <c r="K2119" s="68"/>
    </row>
    <row r="2120" spans="1:11" x14ac:dyDescent="0.25">
      <c r="A2120" s="69"/>
      <c r="B2120" s="67"/>
      <c r="C2120" s="67"/>
      <c r="D2120" s="68"/>
      <c r="E2120" s="68"/>
      <c r="F2120" s="68"/>
      <c r="G2120" s="67"/>
      <c r="H2120" s="67"/>
      <c r="I2120" s="67"/>
      <c r="J2120" s="68"/>
      <c r="K2120" s="68"/>
    </row>
    <row r="2121" spans="1:11" x14ac:dyDescent="0.25">
      <c r="A2121" s="69"/>
      <c r="B2121" s="67"/>
      <c r="C2121" s="67"/>
      <c r="D2121" s="68"/>
      <c r="E2121" s="68"/>
      <c r="F2121" s="68"/>
      <c r="G2121" s="67"/>
      <c r="H2121" s="67"/>
      <c r="I2121" s="67"/>
      <c r="J2121" s="68"/>
      <c r="K2121" s="68"/>
    </row>
    <row r="2122" spans="1:11" x14ac:dyDescent="0.25">
      <c r="A2122" s="69"/>
      <c r="B2122" s="67"/>
      <c r="C2122" s="67"/>
      <c r="D2122" s="68"/>
      <c r="E2122" s="68"/>
      <c r="F2122" s="68"/>
      <c r="G2122" s="67"/>
      <c r="H2122" s="67"/>
      <c r="I2122" s="67"/>
      <c r="J2122" s="68"/>
      <c r="K2122" s="68"/>
    </row>
    <row r="2123" spans="1:11" x14ac:dyDescent="0.25">
      <c r="A2123" s="69"/>
      <c r="B2123" s="67"/>
      <c r="C2123" s="67"/>
      <c r="D2123" s="68"/>
      <c r="E2123" s="68"/>
      <c r="F2123" s="68"/>
      <c r="G2123" s="67"/>
      <c r="H2123" s="67"/>
      <c r="I2123" s="67"/>
      <c r="J2123" s="68"/>
      <c r="K2123" s="68"/>
    </row>
    <row r="2124" spans="1:11" x14ac:dyDescent="0.25">
      <c r="A2124" s="69"/>
      <c r="B2124" s="67"/>
      <c r="C2124" s="67"/>
      <c r="D2124" s="68"/>
      <c r="E2124" s="68"/>
      <c r="F2124" s="68"/>
      <c r="G2124" s="67"/>
      <c r="H2124" s="67"/>
      <c r="I2124" s="67"/>
      <c r="J2124" s="68"/>
      <c r="K2124" s="68"/>
    </row>
    <row r="2125" spans="1:11" x14ac:dyDescent="0.25">
      <c r="A2125" s="69"/>
      <c r="B2125" s="67"/>
      <c r="C2125" s="67"/>
      <c r="D2125" s="68"/>
      <c r="E2125" s="68"/>
      <c r="F2125" s="68"/>
      <c r="G2125" s="67"/>
      <c r="H2125" s="67"/>
      <c r="I2125" s="67"/>
      <c r="J2125" s="68"/>
      <c r="K2125" s="68"/>
    </row>
    <row r="2126" spans="1:11" x14ac:dyDescent="0.25">
      <c r="A2126" s="69"/>
      <c r="B2126" s="67"/>
      <c r="C2126" s="67"/>
      <c r="D2126" s="68"/>
      <c r="E2126" s="68"/>
      <c r="F2126" s="68"/>
      <c r="G2126" s="67"/>
      <c r="H2126" s="67"/>
      <c r="I2126" s="67"/>
      <c r="J2126" s="68"/>
      <c r="K2126" s="68"/>
    </row>
    <row r="2127" spans="1:11" x14ac:dyDescent="0.25">
      <c r="A2127" s="69"/>
      <c r="B2127" s="67"/>
      <c r="C2127" s="67"/>
      <c r="D2127" s="68"/>
      <c r="E2127" s="68"/>
      <c r="F2127" s="68"/>
      <c r="G2127" s="67"/>
      <c r="H2127" s="67"/>
      <c r="I2127" s="67"/>
      <c r="J2127" s="68"/>
      <c r="K2127" s="68"/>
    </row>
    <row r="2128" spans="1:11" x14ac:dyDescent="0.25">
      <c r="A2128" s="69"/>
      <c r="B2128" s="67"/>
      <c r="C2128" s="67"/>
      <c r="D2128" s="68"/>
      <c r="E2128" s="68"/>
      <c r="F2128" s="68"/>
      <c r="G2128" s="67"/>
      <c r="H2128" s="67"/>
      <c r="I2128" s="67"/>
      <c r="J2128" s="68"/>
      <c r="K2128" s="68"/>
    </row>
    <row r="2129" spans="1:11" x14ac:dyDescent="0.25">
      <c r="A2129" s="69"/>
      <c r="B2129" s="67"/>
      <c r="C2129" s="67"/>
      <c r="D2129" s="68"/>
      <c r="E2129" s="68"/>
      <c r="F2129" s="68"/>
      <c r="G2129" s="67"/>
      <c r="H2129" s="67"/>
      <c r="I2129" s="67"/>
      <c r="J2129" s="68"/>
      <c r="K2129" s="68"/>
    </row>
    <row r="2130" spans="1:11" x14ac:dyDescent="0.25">
      <c r="A2130" s="69"/>
      <c r="B2130" s="67"/>
      <c r="C2130" s="67"/>
      <c r="D2130" s="68"/>
      <c r="E2130" s="68"/>
      <c r="F2130" s="68"/>
      <c r="G2130" s="67"/>
      <c r="H2130" s="67"/>
      <c r="I2130" s="67"/>
      <c r="J2130" s="68"/>
      <c r="K2130" s="68"/>
    </row>
    <row r="2131" spans="1:11" x14ac:dyDescent="0.25">
      <c r="A2131" s="69"/>
      <c r="B2131" s="67"/>
      <c r="C2131" s="67"/>
      <c r="D2131" s="68"/>
      <c r="E2131" s="68"/>
      <c r="F2131" s="68"/>
      <c r="G2131" s="67"/>
      <c r="H2131" s="67"/>
      <c r="I2131" s="67"/>
      <c r="J2131" s="68"/>
      <c r="K2131" s="68"/>
    </row>
    <row r="2132" spans="1:11" x14ac:dyDescent="0.25">
      <c r="A2132" s="69"/>
      <c r="B2132" s="67"/>
      <c r="C2132" s="67"/>
      <c r="D2132" s="68"/>
      <c r="E2132" s="68"/>
      <c r="F2132" s="68"/>
      <c r="G2132" s="67"/>
      <c r="H2132" s="67"/>
      <c r="I2132" s="67"/>
      <c r="J2132" s="68"/>
      <c r="K2132" s="68"/>
    </row>
    <row r="2133" spans="1:11" x14ac:dyDescent="0.25">
      <c r="A2133" s="69"/>
      <c r="B2133" s="67"/>
      <c r="C2133" s="67"/>
      <c r="D2133" s="68"/>
      <c r="E2133" s="68"/>
      <c r="F2133" s="68"/>
      <c r="G2133" s="67"/>
      <c r="H2133" s="67"/>
      <c r="I2133" s="67"/>
      <c r="J2133" s="68"/>
      <c r="K2133" s="68"/>
    </row>
    <row r="2134" spans="1:11" x14ac:dyDescent="0.25">
      <c r="A2134" s="69"/>
      <c r="B2134" s="67"/>
      <c r="C2134" s="67"/>
      <c r="D2134" s="68"/>
      <c r="E2134" s="68"/>
      <c r="F2134" s="68"/>
      <c r="G2134" s="67"/>
      <c r="H2134" s="67"/>
      <c r="I2134" s="67"/>
      <c r="J2134" s="68"/>
      <c r="K2134" s="68"/>
    </row>
    <row r="2135" spans="1:11" x14ac:dyDescent="0.25">
      <c r="A2135" s="69"/>
      <c r="B2135" s="67"/>
      <c r="C2135" s="67"/>
      <c r="D2135" s="68"/>
      <c r="E2135" s="68"/>
      <c r="F2135" s="68"/>
      <c r="G2135" s="67"/>
      <c r="H2135" s="67"/>
      <c r="I2135" s="67"/>
      <c r="J2135" s="68"/>
      <c r="K2135" s="68"/>
    </row>
    <row r="2136" spans="1:11" x14ac:dyDescent="0.25">
      <c r="A2136" s="69"/>
      <c r="B2136" s="67"/>
      <c r="C2136" s="67"/>
      <c r="D2136" s="70"/>
      <c r="E2136" s="70"/>
      <c r="F2136" s="70"/>
      <c r="G2136" s="67"/>
      <c r="H2136" s="67"/>
      <c r="I2136" s="67"/>
      <c r="J2136" s="68"/>
      <c r="K2136" s="68"/>
    </row>
    <row r="2137" spans="1:11" x14ac:dyDescent="0.25">
      <c r="A2137" s="69"/>
      <c r="B2137" s="67"/>
      <c r="C2137" s="67"/>
      <c r="D2137" s="70"/>
      <c r="E2137" s="70"/>
      <c r="F2137" s="70"/>
      <c r="G2137" s="67"/>
      <c r="H2137" s="67"/>
      <c r="I2137" s="67"/>
      <c r="J2137" s="68"/>
      <c r="K2137" s="68"/>
    </row>
    <row r="2138" spans="1:11" x14ac:dyDescent="0.25">
      <c r="A2138" s="69"/>
      <c r="B2138" s="67"/>
      <c r="C2138" s="67"/>
      <c r="D2138" s="70"/>
      <c r="E2138" s="70"/>
      <c r="F2138" s="70"/>
      <c r="G2138" s="67"/>
      <c r="H2138" s="67"/>
      <c r="I2138" s="67"/>
      <c r="J2138" s="68"/>
      <c r="K2138" s="68"/>
    </row>
    <row r="2139" spans="1:11" x14ac:dyDescent="0.25">
      <c r="A2139" s="69"/>
      <c r="B2139" s="67"/>
      <c r="C2139" s="67"/>
      <c r="D2139" s="68"/>
      <c r="E2139" s="68"/>
      <c r="F2139" s="68"/>
      <c r="G2139" s="67"/>
      <c r="H2139" s="67"/>
      <c r="I2139" s="67"/>
      <c r="J2139" s="68"/>
      <c r="K2139" s="68"/>
    </row>
    <row r="2140" spans="1:11" x14ac:dyDescent="0.25">
      <c r="A2140" s="69"/>
      <c r="B2140" s="67"/>
      <c r="C2140" s="67"/>
      <c r="D2140" s="68"/>
      <c r="E2140" s="68"/>
      <c r="F2140" s="68"/>
      <c r="G2140" s="67"/>
      <c r="H2140" s="67"/>
      <c r="I2140" s="67"/>
      <c r="J2140" s="68"/>
      <c r="K2140" s="68"/>
    </row>
    <row r="2141" spans="1:11" x14ac:dyDescent="0.25">
      <c r="A2141" s="69"/>
      <c r="B2141" s="67"/>
      <c r="C2141" s="67"/>
      <c r="D2141" s="68"/>
      <c r="E2141" s="68"/>
      <c r="F2141" s="68"/>
      <c r="G2141" s="67"/>
      <c r="H2141" s="67"/>
      <c r="I2141" s="67"/>
      <c r="J2141" s="68"/>
      <c r="K2141" s="68"/>
    </row>
    <row r="2142" spans="1:11" x14ac:dyDescent="0.25">
      <c r="A2142" s="69"/>
      <c r="B2142" s="67"/>
      <c r="C2142" s="67"/>
      <c r="D2142" s="68"/>
      <c r="E2142" s="68"/>
      <c r="F2142" s="68"/>
      <c r="G2142" s="67"/>
      <c r="H2142" s="67"/>
      <c r="I2142" s="67"/>
      <c r="J2142" s="68"/>
      <c r="K2142" s="68"/>
    </row>
    <row r="2143" spans="1:11" x14ac:dyDescent="0.25">
      <c r="A2143" s="69"/>
      <c r="B2143" s="67"/>
      <c r="C2143" s="67"/>
      <c r="D2143" s="68"/>
      <c r="E2143" s="68"/>
      <c r="F2143" s="68"/>
      <c r="G2143" s="67"/>
      <c r="H2143" s="67"/>
      <c r="I2143" s="67"/>
      <c r="J2143" s="68"/>
      <c r="K2143" s="68"/>
    </row>
    <row r="2144" spans="1:11" x14ac:dyDescent="0.25">
      <c r="A2144" s="69"/>
      <c r="B2144" s="67"/>
      <c r="C2144" s="67"/>
      <c r="D2144" s="68"/>
      <c r="E2144" s="68"/>
      <c r="F2144" s="68"/>
      <c r="G2144" s="67"/>
      <c r="H2144" s="67"/>
      <c r="I2144" s="67"/>
      <c r="J2144" s="68"/>
      <c r="K2144" s="68"/>
    </row>
    <row r="2145" spans="1:11" x14ac:dyDescent="0.25">
      <c r="A2145" s="69"/>
      <c r="B2145" s="67"/>
      <c r="C2145" s="67"/>
      <c r="D2145" s="68"/>
      <c r="E2145" s="68"/>
      <c r="F2145" s="68"/>
      <c r="G2145" s="67"/>
      <c r="H2145" s="67"/>
      <c r="I2145" s="67"/>
      <c r="J2145" s="68"/>
      <c r="K2145" s="68"/>
    </row>
    <row r="2146" spans="1:11" x14ac:dyDescent="0.25">
      <c r="A2146" s="69"/>
      <c r="B2146" s="67"/>
      <c r="C2146" s="67"/>
      <c r="D2146" s="68"/>
      <c r="E2146" s="68"/>
      <c r="F2146" s="68"/>
      <c r="G2146" s="67"/>
      <c r="H2146" s="67"/>
      <c r="I2146" s="67"/>
      <c r="J2146" s="68"/>
      <c r="K2146" s="68"/>
    </row>
    <row r="2147" spans="1:11" x14ac:dyDescent="0.25">
      <c r="A2147" s="69"/>
      <c r="B2147" s="67"/>
      <c r="C2147" s="67"/>
      <c r="D2147" s="68"/>
      <c r="E2147" s="68"/>
      <c r="F2147" s="68"/>
      <c r="G2147" s="67"/>
      <c r="H2147" s="67"/>
      <c r="I2147" s="67"/>
      <c r="J2147" s="68"/>
      <c r="K2147" s="68"/>
    </row>
    <row r="2148" spans="1:11" x14ac:dyDescent="0.25">
      <c r="A2148" s="69"/>
      <c r="B2148" s="67"/>
      <c r="C2148" s="67"/>
      <c r="D2148" s="68"/>
      <c r="E2148" s="68"/>
      <c r="F2148" s="68"/>
      <c r="G2148" s="67"/>
      <c r="H2148" s="67"/>
      <c r="I2148" s="67"/>
      <c r="J2148" s="68"/>
      <c r="K2148" s="68"/>
    </row>
    <row r="2149" spans="1:11" x14ac:dyDescent="0.25">
      <c r="A2149" s="69"/>
      <c r="B2149" s="67"/>
      <c r="C2149" s="67"/>
      <c r="D2149" s="68"/>
      <c r="E2149" s="68"/>
      <c r="F2149" s="68"/>
      <c r="G2149" s="67"/>
      <c r="H2149" s="67"/>
      <c r="I2149" s="67"/>
      <c r="J2149" s="68"/>
      <c r="K2149" s="68"/>
    </row>
    <row r="2150" spans="1:11" x14ac:dyDescent="0.25">
      <c r="A2150" s="69"/>
      <c r="B2150" s="67"/>
      <c r="C2150" s="67"/>
      <c r="D2150" s="68"/>
      <c r="E2150" s="68"/>
      <c r="F2150" s="68"/>
      <c r="G2150" s="67"/>
      <c r="H2150" s="67"/>
      <c r="I2150" s="67"/>
      <c r="J2150" s="68"/>
      <c r="K2150" s="68"/>
    </row>
    <row r="2151" spans="1:11" x14ac:dyDescent="0.25">
      <c r="A2151" s="69"/>
      <c r="B2151" s="67"/>
      <c r="C2151" s="67"/>
      <c r="D2151" s="68"/>
      <c r="E2151" s="68"/>
      <c r="F2151" s="68"/>
      <c r="G2151" s="67"/>
      <c r="H2151" s="67"/>
      <c r="I2151" s="67"/>
      <c r="J2151" s="68"/>
      <c r="K2151" s="68"/>
    </row>
    <row r="2152" spans="1:11" x14ac:dyDescent="0.25">
      <c r="A2152" s="69"/>
      <c r="B2152" s="67"/>
      <c r="C2152" s="67"/>
      <c r="D2152" s="68"/>
      <c r="E2152" s="68"/>
      <c r="F2152" s="68"/>
      <c r="G2152" s="67"/>
      <c r="H2152" s="67"/>
      <c r="I2152" s="67"/>
      <c r="J2152" s="68"/>
      <c r="K2152" s="68"/>
    </row>
    <row r="2153" spans="1:11" x14ac:dyDescent="0.25">
      <c r="A2153" s="69"/>
      <c r="B2153" s="67"/>
      <c r="C2153" s="67"/>
      <c r="D2153" s="68"/>
      <c r="E2153" s="68"/>
      <c r="F2153" s="68"/>
      <c r="G2153" s="67"/>
      <c r="H2153" s="67"/>
      <c r="I2153" s="67"/>
      <c r="J2153" s="68"/>
      <c r="K2153" s="68"/>
    </row>
    <row r="2154" spans="1:11" x14ac:dyDescent="0.25">
      <c r="A2154" s="69"/>
      <c r="B2154" s="67"/>
      <c r="C2154" s="67"/>
      <c r="D2154" s="68"/>
      <c r="E2154" s="68"/>
      <c r="F2154" s="68"/>
      <c r="G2154" s="67"/>
      <c r="H2154" s="67"/>
      <c r="I2154" s="67"/>
      <c r="J2154" s="68"/>
      <c r="K2154" s="68"/>
    </row>
    <row r="2155" spans="1:11" x14ac:dyDescent="0.25">
      <c r="A2155" s="69"/>
      <c r="B2155" s="67"/>
      <c r="C2155" s="67"/>
      <c r="D2155" s="68"/>
      <c r="E2155" s="68"/>
      <c r="F2155" s="68"/>
      <c r="G2155" s="67"/>
      <c r="H2155" s="67"/>
      <c r="I2155" s="67"/>
      <c r="J2155" s="68"/>
      <c r="K2155" s="68"/>
    </row>
    <row r="2156" spans="1:11" x14ac:dyDescent="0.25">
      <c r="A2156" s="69"/>
      <c r="B2156" s="67"/>
      <c r="C2156" s="67"/>
      <c r="D2156" s="68"/>
      <c r="E2156" s="68"/>
      <c r="F2156" s="68"/>
      <c r="G2156" s="67"/>
      <c r="H2156" s="67"/>
      <c r="I2156" s="67"/>
      <c r="J2156" s="68"/>
      <c r="K2156" s="68"/>
    </row>
    <row r="2157" spans="1:11" x14ac:dyDescent="0.25">
      <c r="A2157" s="69"/>
      <c r="B2157" s="67"/>
      <c r="C2157" s="67"/>
      <c r="D2157" s="68"/>
      <c r="E2157" s="68"/>
      <c r="F2157" s="68"/>
      <c r="G2157" s="67"/>
      <c r="H2157" s="67"/>
      <c r="I2157" s="67"/>
      <c r="J2157" s="68"/>
      <c r="K2157" s="68"/>
    </row>
    <row r="2158" spans="1:11" x14ac:dyDescent="0.25">
      <c r="A2158" s="69"/>
      <c r="B2158" s="67"/>
      <c r="C2158" s="67"/>
      <c r="D2158" s="68"/>
      <c r="E2158" s="68"/>
      <c r="F2158" s="68"/>
      <c r="G2158" s="67"/>
      <c r="H2158" s="67"/>
      <c r="I2158" s="67"/>
      <c r="J2158" s="68"/>
      <c r="K2158" s="68"/>
    </row>
    <row r="2159" spans="1:11" x14ac:dyDescent="0.25">
      <c r="A2159" s="69"/>
      <c r="B2159" s="67"/>
      <c r="C2159" s="67"/>
      <c r="D2159" s="68"/>
      <c r="E2159" s="68"/>
      <c r="F2159" s="68"/>
      <c r="G2159" s="67"/>
      <c r="H2159" s="67"/>
      <c r="I2159" s="67"/>
      <c r="J2159" s="68"/>
      <c r="K2159" s="68"/>
    </row>
    <row r="2160" spans="1:11" x14ac:dyDescent="0.25">
      <c r="A2160" s="69"/>
      <c r="B2160" s="67"/>
      <c r="C2160" s="67"/>
      <c r="D2160" s="70"/>
      <c r="E2160" s="70"/>
      <c r="F2160" s="70"/>
      <c r="G2160" s="67"/>
      <c r="H2160" s="67"/>
      <c r="I2160" s="67"/>
      <c r="J2160" s="68"/>
      <c r="K2160" s="68"/>
    </row>
    <row r="2161" spans="1:11" x14ac:dyDescent="0.25">
      <c r="A2161" s="69"/>
      <c r="B2161" s="67"/>
      <c r="C2161" s="67"/>
      <c r="D2161" s="70"/>
      <c r="E2161" s="70"/>
      <c r="F2161" s="70"/>
      <c r="G2161" s="67"/>
      <c r="H2161" s="67"/>
      <c r="I2161" s="67"/>
      <c r="J2161" s="68"/>
      <c r="K2161" s="68"/>
    </row>
    <row r="2162" spans="1:11" x14ac:dyDescent="0.25">
      <c r="A2162" s="69"/>
      <c r="B2162" s="67"/>
      <c r="C2162" s="67"/>
      <c r="D2162" s="70"/>
      <c r="E2162" s="70"/>
      <c r="F2162" s="70"/>
      <c r="G2162" s="67"/>
      <c r="H2162" s="67"/>
      <c r="I2162" s="67"/>
      <c r="J2162" s="68"/>
      <c r="K2162" s="68"/>
    </row>
  </sheetData>
  <autoFilter ref="M1:AX1444" xr:uid="{00000000-0001-0000-0000-000000000000}"/>
  <sortState xmlns:xlrd2="http://schemas.microsoft.com/office/spreadsheetml/2017/richdata2" ref="A3:K10">
    <sortCondition ref="A3:A10"/>
    <sortCondition ref="B3:B10"/>
    <sortCondition ref="E3:E10"/>
    <sortCondition ref="G3:G10"/>
  </sortState>
  <dataValidations disablePrompts="1" count="1">
    <dataValidation type="list" allowBlank="1" showInputMessage="1" showErrorMessage="1" promptTitle="Vínculo" prompt="Nos dados usando matrícula ou número de vínculo (HCM)." sqref="M4" xr:uid="{A66361DE-7015-4A32-AA23-CB56F18F6DB7}">
      <formula1>"CDMATRICULA,NRVINCULOM"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0F04-5BD0-4418-BE38-FE5371D02E8E}">
  <dimension ref="A1:M8"/>
  <sheetViews>
    <sheetView topLeftCell="E1" workbookViewId="0">
      <pane ySplit="1" topLeftCell="A2" activePane="bottomLeft" state="frozen"/>
      <selection pane="bottomLeft" activeCell="M3" sqref="M3"/>
    </sheetView>
  </sheetViews>
  <sheetFormatPr defaultColWidth="9.140625" defaultRowHeight="15" x14ac:dyDescent="0.25"/>
  <cols>
    <col min="1" max="1" width="14.140625" style="12" bestFit="1" customWidth="1"/>
    <col min="2" max="2" width="13.7109375" style="12" bestFit="1" customWidth="1"/>
    <col min="3" max="3" width="16.140625" style="12" bestFit="1" customWidth="1"/>
    <col min="4" max="4" width="9.5703125" style="12" bestFit="1" customWidth="1"/>
    <col min="5" max="5" width="17.42578125" style="12" bestFit="1" customWidth="1"/>
    <col min="6" max="6" width="15" style="12" bestFit="1" customWidth="1"/>
    <col min="7" max="7" width="38.85546875" style="41" customWidth="1"/>
    <col min="8" max="8" width="18.85546875" style="42" bestFit="1" customWidth="1"/>
    <col min="9" max="9" width="36.28515625" style="42" bestFit="1" customWidth="1"/>
    <col min="10" max="10" width="12.5703125" style="10" bestFit="1" customWidth="1"/>
    <col min="11" max="11" width="10.42578125" style="10" bestFit="1" customWidth="1"/>
    <col min="12" max="12" width="59.5703125" style="10" bestFit="1" customWidth="1"/>
    <col min="13" max="13" width="21.42578125" style="71" bestFit="1" customWidth="1"/>
    <col min="14" max="16384" width="9.140625" style="10"/>
  </cols>
  <sheetData>
    <row r="1" spans="1:13" ht="327" x14ac:dyDescent="0.25">
      <c r="A1" s="13" t="s">
        <v>43</v>
      </c>
      <c r="B1" s="13" t="s">
        <v>44</v>
      </c>
      <c r="C1" s="13" t="s">
        <v>45</v>
      </c>
      <c r="D1" s="13" t="s">
        <v>40</v>
      </c>
      <c r="E1" s="13" t="s">
        <v>55</v>
      </c>
      <c r="F1" s="13" t="s">
        <v>42</v>
      </c>
      <c r="G1" s="13" t="s">
        <v>56</v>
      </c>
      <c r="H1" s="13" t="s">
        <v>57</v>
      </c>
      <c r="I1" s="13" t="s">
        <v>58</v>
      </c>
      <c r="L1" s="11" t="s">
        <v>83</v>
      </c>
      <c r="M1" s="72" t="s">
        <v>95</v>
      </c>
    </row>
    <row r="2" spans="1:13" x14ac:dyDescent="0.25">
      <c r="H2" s="14" t="str" cm="1">
        <f t="array" aca="1" ref="H2:H3" ca="1">INDIRECT( K5 ) &amp; INDIRECT( K6 )</f>
        <v>CDMATRICULADTINIAQUISICAO</v>
      </c>
      <c r="I2" s="14" t="str" cm="1">
        <f t="array" aca="1" ref="I2:I3" ca="1">INDIRECT( K5 ) &amp; INDIRECT( K6 ) &amp; INDIRECT( K7 )</f>
        <v>CDMATRICULADTINIAQUISICAODTINIGOZOFERIAS</v>
      </c>
      <c r="J2" s="49" t="s">
        <v>38</v>
      </c>
      <c r="K2" s="51">
        <f>Dados!M2</f>
        <v>1456</v>
      </c>
      <c r="M2" s="71" t="str" cm="1">
        <f t="array" aca="1" ref="M2" ca="1">_xlfn.LET(
_xlpm.linhas, COUNTA( B:B ),
_xlpm.array_matr, INDIRECT( "A2:A" &amp; _xlpm.linhas ),
_xlpm.array_qde, COUNTIF( _xlpm.array_matr, _xlpm.array_matr ),
_xlpm.filtrado, _xlfn._xlws.FILTER( _xlpm.array_matr, _xlpm.array_qde &gt; 1, "" ),
_xlfn.UNIQUE( _xlpm.filtrado )
)</f>
        <v/>
      </c>
    </row>
    <row r="3" spans="1:13" x14ac:dyDescent="0.25">
      <c r="H3" s="42" t="str">
        <f ca="1"/>
        <v/>
      </c>
      <c r="I3" s="42" t="str">
        <f ca="1"/>
        <v/>
      </c>
      <c r="J3" s="49" t="s">
        <v>6</v>
      </c>
      <c r="K3" s="51" t="str">
        <f>ID</f>
        <v>CDMATRICULA</v>
      </c>
    </row>
    <row r="4" spans="1:13" x14ac:dyDescent="0.25">
      <c r="J4" s="48" t="s">
        <v>47</v>
      </c>
      <c r="K4" s="50">
        <f>COUNTA( A:A )</f>
        <v>1</v>
      </c>
    </row>
    <row r="5" spans="1:13" x14ac:dyDescent="0.25">
      <c r="J5" s="48" t="s">
        <v>6</v>
      </c>
      <c r="K5" s="50" t="str" cm="1">
        <f t="array" ref="K5">_xlfn.IFS( K3 = "CDMATRICULA", "A2:A", K3 = "NRVINCULOM", "B2:B", 1, "ERRO VALOR MATRICULA") &amp; K4</f>
        <v>A2:A1</v>
      </c>
    </row>
    <row r="6" spans="1:13" x14ac:dyDescent="0.25">
      <c r="J6" s="48" t="s">
        <v>45</v>
      </c>
      <c r="K6" s="50" t="str">
        <f>"C2:C" &amp; $K$4</f>
        <v>C2:C1</v>
      </c>
    </row>
    <row r="7" spans="1:13" x14ac:dyDescent="0.25">
      <c r="J7" s="48" t="s">
        <v>55</v>
      </c>
      <c r="K7" s="50" t="str">
        <f>"E2:E" &amp; $K$4</f>
        <v>E2:E1</v>
      </c>
    </row>
    <row r="8" spans="1:13" x14ac:dyDescent="0.25">
      <c r="J8" s="48"/>
      <c r="K8" s="5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14</vt:i4>
      </vt:variant>
    </vt:vector>
  </HeadingPairs>
  <TitlesOfParts>
    <vt:vector size="16" baseType="lpstr">
      <vt:lpstr>Dados</vt:lpstr>
      <vt:lpstr>Base</vt:lpstr>
      <vt:lpstr>BaseIdIniAquisicao</vt:lpstr>
      <vt:lpstr>BaseIdIniAquisiçãoIniGozo</vt:lpstr>
      <vt:lpstr>BaseIdVinculo</vt:lpstr>
      <vt:lpstr>BaseLinhas</vt:lpstr>
      <vt:lpstr>BaseNrferias</vt:lpstr>
      <vt:lpstr>BaseNrgozo</vt:lpstr>
      <vt:lpstr>BaseReport</vt:lpstr>
      <vt:lpstr>DadosFimAquisição</vt:lpstr>
      <vt:lpstr>DadosGozoExistente</vt:lpstr>
      <vt:lpstr>DadosHashGozo</vt:lpstr>
      <vt:lpstr>DadosIniAquisição</vt:lpstr>
      <vt:lpstr>DadosLinhas</vt:lpstr>
      <vt:lpstr>DadosVinculo</vt:lpstr>
      <vt:lpstr>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Iraci Sebastiana Jovaneli</dc:creator>
  <dc:description/>
  <cp:lastModifiedBy>Rafael Pickbrenner</cp:lastModifiedBy>
  <cp:revision>8</cp:revision>
  <dcterms:created xsi:type="dcterms:W3CDTF">2022-03-02T18:09:42Z</dcterms:created>
  <dcterms:modified xsi:type="dcterms:W3CDTF">2026-06-23T21:47:03Z</dcterms:modified>
  <dc:language>pt-BR</dc:language>
</cp:coreProperties>
</file>