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1e3a717f9713d1/Migração v2/Ferramentas de migração/Gerador Scripts/"/>
    </mc:Choice>
  </mc:AlternateContent>
  <xr:revisionPtr revIDLastSave="52" documentId="8_{2AB6EA67-A640-4EC6-92E8-5CF7DCE3665B}" xr6:coauthVersionLast="47" xr6:coauthVersionMax="47" xr10:uidLastSave="{B5ABFA4A-AF5F-4FF2-933D-BA32AF6EB69B}"/>
  <bookViews>
    <workbookView xWindow="3885" yWindow="2280" windowWidth="27780" windowHeight="15825" tabRatio="500" xr2:uid="{00000000-000D-0000-FFFF-FFFF00000000}"/>
  </bookViews>
  <sheets>
    <sheet name="Dados" sheetId="1" r:id="rId1"/>
    <sheet name="Base" sheetId="2" r:id="rId2"/>
  </sheets>
  <definedNames>
    <definedName name="_xlnm._FilterDatabase" localSheetId="1" hidden="1">Base!$A$1:$C$3</definedName>
    <definedName name="_xlnm._FilterDatabase" localSheetId="0" hidden="1">Dados!$A$2:$F$11</definedName>
    <definedName name="_xlfn_IFERROR">NA()</definedName>
    <definedName name="_xlfn_SINGLE">NA()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2" i="1" l="1"/>
  <c r="J2" i="1" l="1"/>
  <c r="N11" i="1" l="1"/>
  <c r="M11" i="1"/>
  <c r="H11" i="1"/>
  <c r="L11" i="1" s="1"/>
  <c r="N10" i="1"/>
  <c r="M10" i="1"/>
  <c r="H10" i="1"/>
  <c r="L10" i="1" s="1"/>
  <c r="AM2" i="1"/>
  <c r="O10" i="1" l="1"/>
  <c r="O11" i="1"/>
  <c r="J10" i="1"/>
  <c r="K10" i="1"/>
  <c r="K11" i="1"/>
  <c r="J11" i="1"/>
  <c r="V1" i="1"/>
  <c r="U1" i="1"/>
  <c r="T1" i="1"/>
  <c r="S1" i="1"/>
  <c r="N9" i="1"/>
  <c r="M9" i="1"/>
  <c r="H9" i="1"/>
  <c r="N8" i="1"/>
  <c r="M8" i="1"/>
  <c r="H8" i="1"/>
  <c r="N7" i="1"/>
  <c r="M7" i="1"/>
  <c r="H7" i="1"/>
  <c r="N6" i="1"/>
  <c r="M6" i="1"/>
  <c r="H6" i="1"/>
  <c r="N5" i="1"/>
  <c r="M5" i="1"/>
  <c r="H5" i="1"/>
  <c r="Y1" i="1"/>
  <c r="X1" i="1"/>
  <c r="W1" i="1"/>
  <c r="AD3" i="1" a="1"/>
  <c r="AB3" i="1" a="1"/>
  <c r="AD3" i="1" l="1"/>
  <c r="AB3" i="1"/>
  <c r="AC3" i="1" s="1" a="1"/>
  <c r="AC3" i="1" s="1"/>
  <c r="AC2" i="1" s="1"/>
  <c r="AH3" i="1" a="1"/>
  <c r="Z3" i="1" a="1"/>
  <c r="AF3" i="1" a="1"/>
  <c r="AE3" i="1" a="1"/>
  <c r="AE3" i="1" l="1"/>
  <c r="AF3" i="1"/>
  <c r="AH3" i="1"/>
  <c r="Z3" i="1"/>
  <c r="AA3" i="1" s="1" a="1"/>
  <c r="AA3" i="1" s="1"/>
  <c r="AK3" i="1" a="1"/>
  <c r="AG3" i="1" a="1"/>
  <c r="AJ3" i="1" a="1"/>
  <c r="AK3" i="1" l="1"/>
  <c r="AG3" i="1"/>
  <c r="AI3" i="1" s="1" a="1"/>
  <c r="AI3" i="1" s="1"/>
  <c r="AJ3" i="1"/>
  <c r="AR9" i="1"/>
  <c r="AV5" i="1"/>
  <c r="AV4" i="1"/>
  <c r="AV3" i="1"/>
  <c r="AU5" i="1"/>
  <c r="AT5" i="1"/>
  <c r="AU4" i="1"/>
  <c r="AT4" i="1"/>
  <c r="AU3" i="1"/>
  <c r="AT3" i="1"/>
  <c r="AL3" i="1" l="1" a="1"/>
  <c r="AL3" i="1" s="1"/>
  <c r="AM3" i="1" s="1" a="1"/>
  <c r="AM3" i="1" s="1"/>
  <c r="AV9" i="1"/>
  <c r="N4" i="1" l="1"/>
  <c r="M4" i="1"/>
  <c r="H4" i="1"/>
  <c r="N3" i="1"/>
  <c r="M3" i="1"/>
  <c r="I3" i="1"/>
  <c r="H3" i="1"/>
  <c r="I4" i="1" l="1"/>
  <c r="I5" i="1" s="1"/>
  <c r="K3" i="1"/>
  <c r="J3" i="1"/>
  <c r="I6" i="1" l="1"/>
  <c r="K4" i="1"/>
  <c r="J4" i="1"/>
  <c r="L3" i="1"/>
  <c r="P3" i="1" s="1"/>
  <c r="O3" i="1"/>
  <c r="O4" i="1" l="1"/>
  <c r="J5" i="1"/>
  <c r="K5" i="1"/>
  <c r="J6" i="1"/>
  <c r="I7" i="1"/>
  <c r="Q3" i="1"/>
  <c r="L4" i="1"/>
  <c r="P4" i="1" s="1"/>
  <c r="Q4" i="1" l="1"/>
  <c r="O6" i="1"/>
  <c r="L6" i="1"/>
  <c r="P6" i="1" s="1"/>
  <c r="J7" i="1"/>
  <c r="J8" i="1"/>
  <c r="J9" i="1" s="1"/>
  <c r="O5" i="1"/>
  <c r="L5" i="1"/>
  <c r="P5" i="1" s="1"/>
  <c r="K6" i="1"/>
  <c r="I8" i="1"/>
  <c r="L9" i="1" l="1"/>
  <c r="L7" i="1"/>
  <c r="P7" i="1" s="1"/>
  <c r="O7" i="1"/>
  <c r="Q5" i="1"/>
  <c r="L8" i="1"/>
  <c r="P8" i="1" s="1"/>
  <c r="Q6" i="1"/>
  <c r="K7" i="1"/>
  <c r="I9" i="1"/>
  <c r="I10" i="1" s="1"/>
  <c r="I11" i="1" l="1"/>
  <c r="P10" i="1"/>
  <c r="Q10" i="1" s="1"/>
  <c r="Q7" i="1"/>
  <c r="K8" i="1"/>
  <c r="P9" i="1"/>
  <c r="P11" i="1" l="1"/>
  <c r="Q11" i="1" s="1"/>
  <c r="O8" i="1"/>
  <c r="Q8" i="1" s="1"/>
  <c r="K9" i="1"/>
  <c r="O9" i="1" l="1"/>
  <c r="Q9" i="1" s="1"/>
  <c r="AP6" i="1" l="1"/>
  <c r="AT6" i="1" s="1"/>
  <c r="AP7" i="1"/>
  <c r="AT7" i="1" l="1"/>
  <c r="AT2" i="1" s="1"/>
  <c r="AP8" i="1"/>
  <c r="AP2" i="1" s="1"/>
  <c r="AQ7" i="1" l="1"/>
  <c r="AQ6" i="1"/>
  <c r="AU6" i="1" s="1"/>
  <c r="AQ8" i="1" l="1"/>
  <c r="AQ2" i="1" s="1"/>
  <c r="AU7" i="1"/>
  <c r="AU2" i="1" s="1"/>
  <c r="AR7" i="1" l="1"/>
  <c r="AR6" i="1"/>
  <c r="AV6" i="1" s="1"/>
  <c r="AV7" i="1" l="1"/>
  <c r="AV2" i="1" s="1"/>
  <c r="AR8" i="1"/>
  <c r="AR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 Pickbrenner</author>
  </authors>
  <commentList>
    <comment ref="AM1" authorId="0" shapeId="0" xr:uid="{9AF7FF81-DA01-4E53-9C62-B5CAC29B9F18}">
      <text>
        <r>
          <rPr>
            <b/>
            <sz val="9"/>
            <color indexed="81"/>
            <rFont val="Segoe UI"/>
            <family val="2"/>
          </rPr>
          <t>Nome do arquivo deste report.</t>
        </r>
      </text>
    </comment>
    <comment ref="AM2" authorId="0" shapeId="0" xr:uid="{C1B206B1-B85F-4E4A-AAF9-3860A1724081}">
      <text>
        <r>
          <rPr>
            <b/>
            <sz val="9"/>
            <color indexed="81"/>
            <rFont val="Segoe UI"/>
            <family val="2"/>
          </rPr>
          <t>Cabeçalho. Toda a coluna abaixo é um CSV.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<sst xmlns="http://schemas.openxmlformats.org/spreadsheetml/2006/main" count="119" uniqueCount="94">
  <si>
    <t>→</t>
  </si>
  <si>
    <t>@IDTIPOEVENTO@</t>
  </si>
  <si>
    <t>@NMEVENTOH@</t>
  </si>
  <si>
    <t>@NRDE@</t>
  </si>
  <si>
    <t>ORGANIZAÇÃO</t>
  </si>
  <si>
    <t>Insere evento</t>
  </si>
  <si>
    <t>@NRMIGRAMDEPARA@</t>
  </si>
  <si>
    <t>@NREVENTOM@</t>
  </si>
  <si>
    <t>@NREVENTOH@</t>
  </si>
  <si>
    <t>@NRPARA@</t>
  </si>
  <si>
    <t>@DTINIVIGENCIA@</t>
  </si>
  <si>
    <t>@DTMESCOMPETENC@</t>
  </si>
  <si>
    <t>Fpaevento</t>
  </si>
  <si>
    <t>Migramdepara</t>
  </si>
  <si>
    <t>Saída</t>
  </si>
  <si>
    <t>11_Eventos_Lista_Comparativa.xlsx</t>
  </si>
  <si>
    <t>--Busca de PK’s livres</t>
  </si>
  <si>
    <t>--Validações de PK</t>
  </si>
  <si>
    <t>Data Início</t>
  </si>
  <si>
    <t>Tipo Evento</t>
  </si>
  <si>
    <t>Mês Competencia</t>
  </si>
  <si>
    <t>Descrição</t>
  </si>
  <si>
    <t>Nr Evento Pebbian</t>
  </si>
  <si>
    <t>Nr Evento Cliente</t>
  </si>
  <si>
    <t>do HCM?</t>
  </si>
  <si>
    <t>Usa o “Nr Evento Pebian” se ele existir, caso contrário usa o @NREEVENTOM@ gerado.</t>
  </si>
  <si>
    <t>INSERT INTO FPA_EVENTOM ( NREVENTOM, DTINIVIGENCIA, NRORG, DTINCLUSAO, NRORGINCLUSAO, CDOPERINCLUSAO, IDTIPOEVENTO ) VALUES ( @NREVENTOM@, '@DTINIVIGENCIA@', @NRORG@, SYSDATE, @NRORG@, '000000099991', '@IDTIPOEVENTO@' ); INSERT INTO FPA_EVENTOH ( NREVENTOH, NREVENTOM, DTMESCOMPETENC, IDIMPRESSEVENTO, IDTIPOOCORREVEN, IDEVENTODEMONST, IDRETROCEDEVENT, IDZERAEVENFECHA, CDINTEGRAEVENTO, IDMEDIAEVENFERI, IDFALTAS13RESC, DTINCLUSAO, NRORGINCLUSAO, CDOPERINCLUSAO, NMEVENTOH, IDDTOCORRENCIA, NRORG, VRPISOEVENTO, VRTETOEVENTO, IDATIVO ) VALUES ( @NREVENTOH@, @NREVENTOM@, '@DTMESCOMPETENC@', 'S', 'EVENTUAL', 'N', 'SEMPRE', 'N', '@NRDE@', 'N', 'N', SYSDATE, @NRORG@, '000000099991', '@NMEVENTOH@', 'COMPETENCIA', @NRORG@, 0, 9999999999, 'S' );</t>
  </si>
  <si>
    <t>INSERT INTO MIG_MIGRAMDEPARA ( NRMIGRAMDEPARA, NMTABELADBF, NRORG, NRPARA, NRDE ) VALUES ( @NRMIGRAMDEPARA@, 'EVENTO', @NRORG@, @NRPARA@, '@NRDE@' ); COMMIT;</t>
  </si>
  <si>
    <t>melhorar a lógica de geração de script!!!!</t>
  </si>
  <si>
    <t>Tipo evento</t>
  </si>
  <si>
    <t>Nome evento</t>
  </si>
  <si>
    <t>Nro Evento HCM</t>
  </si>
  <si>
    <t>Evento cliente</t>
  </si>
  <si>
    <t>Evento da base</t>
  </si>
  <si>
    <t>Tipo de evento na base</t>
  </si>
  <si>
    <t>Nome do evento na base</t>
  </si>
  <si>
    <t>Existe registro na migra de-para?</t>
  </si>
  <si>
    <t>Lista de eventos já existes na migra m de-para:</t>
  </si>
  <si>
    <t>Existe evento do HCM?</t>
  </si>
  <si>
    <t>Eventos do HCM informados na planilha</t>
  </si>
  <si>
    <t>Eventos do cliente informados na planilha</t>
  </si>
  <si>
    <t>Evento do HCM existe?</t>
  </si>
  <si>
    <t>Tipo evento na planilha</t>
  </si>
  <si>
    <t>Tipo evento do HCM</t>
  </si>
  <si>
    <t>Tipos diferentes?</t>
  </si>
  <si>
    <t>Nome do evento na planilha</t>
  </si>
  <si>
    <t>Nome do evento do HCM</t>
  </si>
  <si>
    <t>Nomes diferentes?</t>
  </si>
  <si>
    <t>Fórmula antiga:
=CLASSIFICAR( ÚNICO( SE( ( AF3# = "não existe" ) + ( AI3# = "diferente" ) + ( AL3# = "diferente" );
AD3# &amp; ";" &amp; AE3# &amp; ";" &amp; AF3# &amp; ";" &amp; AG3# &amp; ";" &amp; AH3# &amp; ";" &amp; AI3# &amp; ";" &amp; AJ3# &amp; ";" &amp; AK3# &amp; ";" &amp; AL3#;
"" ) ) )</t>
  </si>
  <si>
    <t>PROVENTO</t>
  </si>
  <si>
    <t>Salario Mes</t>
  </si>
  <si>
    <t>001</t>
  </si>
  <si>
    <t>Mnemônico</t>
  </si>
  <si>
    <t>INTEGRAÇÃO DSR</t>
  </si>
  <si>
    <t>004</t>
  </si>
  <si>
    <t>Tabela</t>
  </si>
  <si>
    <t>FPA_EVENTOM</t>
  </si>
  <si>
    <t>FPA_EVENTOH</t>
  </si>
  <si>
    <t>MIG_MIGRAMDEPARA</t>
  </si>
  <si>
    <t>Devolucao falta indevida</t>
  </si>
  <si>
    <t>006</t>
  </si>
  <si>
    <t>PK</t>
  </si>
  <si>
    <t>NREVENTOM</t>
  </si>
  <si>
    <t>NREVENTOH</t>
  </si>
  <si>
    <t>NRMIGRAMDEPARA</t>
  </si>
  <si>
    <t>Anuenio</t>
  </si>
  <si>
    <t>007</t>
  </si>
  <si>
    <t>Inicio PK</t>
  </si>
  <si>
    <t>Adicional Noturno 40%</t>
  </si>
  <si>
    <t>008</t>
  </si>
  <si>
    <t>Fim PK</t>
  </si>
  <si>
    <t>Adicional Noturno 25%</t>
  </si>
  <si>
    <t>009</t>
  </si>
  <si>
    <t>Quantidade</t>
  </si>
  <si>
    <t>Adicional Noturno 35%</t>
  </si>
  <si>
    <t>010</t>
  </si>
  <si>
    <t>Organização</t>
  </si>
  <si>
    <t>Adicional Insalubridade</t>
  </si>
  <si>
    <t>011</t>
  </si>
  <si>
    <t>Adicional Periculosidade</t>
  </si>
  <si>
    <t>012</t>
  </si>
  <si>
    <t>IDTIPOEVENTO</t>
  </si>
  <si>
    <t>NMEVENTOH</t>
  </si>
  <si>
    <t>/*Dados eventos*/
SELECT
  EM.NREVENTOM,
  EM.IDTIPOEVENTO,
  EH.NMEVENTOH
FROM FPA_EVENTOM EM
JOIN FPA_EVENTOH EH ON EH.NRORG          = EM.NRORG
                   AND EH.NREVENTOM      = EM.NREVENTOM
                   AND EH.IDATIVO        = 'S'
                   AND EH.DTMESCOMPETENC = ( SELECT MAX( DTMESCOMPETENC ) FROM FPA_EVENTOH
                                             WHERE NRORG          = EH.NRORG
                                               AND NREVENTOM      = EH.NREVENTOM
                                               AND DTMESCOMPETENC &lt;= :P_DTMESCOMPETENC)
WHERE EM.NRORG IN ( 0, :P_NRORG )
ORDER BY EM.NREVENTOM ;</t>
  </si>
  <si>
    <t>NRDE</t>
  </si>
  <si>
    <t>NRPARA</t>
  </si>
  <si>
    <t>/*Dados migramdepara*/
SELECT NRDE, NRPARA
FROM MIG_MIGRAMDEPARA
WHERE NRORG = :P_NRORG
ORDER BY NRDE;</t>
  </si>
  <si>
    <t>10</t>
  </si>
  <si>
    <t>15</t>
  </si>
  <si>
    <t>Saldo Salario Rescisao</t>
  </si>
  <si>
    <t>20</t>
  </si>
  <si>
    <t>Salario Hora</t>
  </si>
  <si>
    <t>21</t>
  </si>
  <si>
    <t>Salario Diária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</si>
</sst>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2A6099"/>
      <name val="Calibri"/>
      <family val="2"/>
      <scheme val="minor"/>
    </font>
    <font>
      <b/>
      <sz val="8"/>
      <color rgb="FF00A933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2A6099"/>
      <name val="Calibri"/>
      <family val="2"/>
      <scheme val="minor"/>
    </font>
    <font>
      <sz val="8"/>
      <color rgb="FFC9211E"/>
      <name val="Calibri"/>
      <family val="2"/>
      <scheme val="minor"/>
    </font>
    <font>
      <sz val="8"/>
      <color rgb="FFBF0041"/>
      <name val="Calibri"/>
      <family val="2"/>
      <scheme val="minor"/>
    </font>
    <font>
      <i/>
      <sz val="8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4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EEEEEE"/>
        <bgColor rgb="FFFFFFD7"/>
      </patternFill>
    </fill>
    <fill>
      <patternFill patternType="solid">
        <fgColor rgb="FFEEEEEE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rgb="FFFFFFCC"/>
      </patternFill>
    </fill>
    <fill>
      <patternFill patternType="solid">
        <fgColor rgb="FFFFC8C8"/>
        <bgColor rgb="FFFFFFCC"/>
      </patternFill>
    </fill>
    <fill>
      <patternFill patternType="solid">
        <fgColor rgb="FFFFC8C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49" fontId="2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49" fontId="5" fillId="2" borderId="0" xfId="0" applyNumberFormat="1" applyFont="1" applyFill="1" applyAlignment="1">
      <alignment horizontal="left"/>
    </xf>
    <xf numFmtId="0" fontId="6" fillId="2" borderId="0" xfId="0" applyFont="1" applyFill="1"/>
    <xf numFmtId="0" fontId="7" fillId="2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3" fillId="2" borderId="0" xfId="0" applyFont="1" applyFill="1" applyAlignment="1">
      <alignment horizontal="center" vertical="center" wrapText="1"/>
    </xf>
    <xf numFmtId="0" fontId="7" fillId="2" borderId="0" xfId="0" applyFont="1" applyFill="1"/>
    <xf numFmtId="0" fontId="10" fillId="2" borderId="0" xfId="0" applyFont="1" applyFill="1" applyAlignment="1">
      <alignment wrapText="1"/>
    </xf>
    <xf numFmtId="0" fontId="7" fillId="2" borderId="0" xfId="0" applyFont="1" applyFill="1" applyAlignment="1">
      <alignment horizontal="left" wrapText="1"/>
    </xf>
    <xf numFmtId="0" fontId="11" fillId="2" borderId="0" xfId="0" applyFont="1" applyFill="1"/>
    <xf numFmtId="0" fontId="12" fillId="2" borderId="0" xfId="0" applyFont="1" applyFill="1"/>
    <xf numFmtId="0" fontId="10" fillId="2" borderId="0" xfId="0" applyFont="1" applyFill="1"/>
    <xf numFmtId="0" fontId="7" fillId="3" borderId="0" xfId="0" quotePrefix="1" applyFont="1" applyFill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center" vertical="center"/>
    </xf>
    <xf numFmtId="0" fontId="16" fillId="0" borderId="0" xfId="0" applyFont="1"/>
    <xf numFmtId="49" fontId="17" fillId="0" borderId="0" xfId="0" applyNumberFormat="1" applyFont="1"/>
    <xf numFmtId="49" fontId="17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49" fontId="16" fillId="0" borderId="0" xfId="0" applyNumberFormat="1" applyFont="1"/>
    <xf numFmtId="0" fontId="14" fillId="5" borderId="0" xfId="0" applyFont="1" applyFill="1" applyAlignment="1">
      <alignment horizontal="center" vertical="center"/>
    </xf>
    <xf numFmtId="0" fontId="19" fillId="5" borderId="0" xfId="0" applyFont="1" applyFill="1"/>
    <xf numFmtId="0" fontId="19" fillId="5" borderId="0" xfId="0" applyFont="1" applyFill="1" applyAlignment="1">
      <alignment wrapText="1"/>
    </xf>
    <xf numFmtId="0" fontId="7" fillId="5" borderId="0" xfId="0" applyFont="1" applyFill="1"/>
    <xf numFmtId="0" fontId="18" fillId="0" borderId="0" xfId="0" applyFont="1" applyAlignment="1">
      <alignment wrapText="1"/>
    </xf>
    <xf numFmtId="0" fontId="19" fillId="5" borderId="0" xfId="0" applyFont="1" applyFill="1" applyAlignment="1">
      <alignment vertical="top" wrapText="1"/>
    </xf>
    <xf numFmtId="0" fontId="19" fillId="5" borderId="0" xfId="0" applyFont="1" applyFill="1" applyAlignment="1">
      <alignment horizontal="right"/>
    </xf>
    <xf numFmtId="0" fontId="7" fillId="5" borderId="0" xfId="0" applyFont="1" applyFill="1" applyAlignment="1">
      <alignment horizontal="right"/>
    </xf>
    <xf numFmtId="49" fontId="16" fillId="0" borderId="0" xfId="0" applyNumberFormat="1" applyFont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left" wrapText="1"/>
    </xf>
    <xf numFmtId="0" fontId="4" fillId="6" borderId="0" xfId="0" applyFont="1" applyFill="1"/>
    <xf numFmtId="0" fontId="4" fillId="7" borderId="0" xfId="0" applyFont="1" applyFill="1"/>
    <xf numFmtId="0" fontId="20" fillId="7" borderId="0" xfId="0" applyFont="1" applyFill="1"/>
    <xf numFmtId="0" fontId="3" fillId="7" borderId="0" xfId="0" applyFont="1" applyFill="1" applyAlignment="1">
      <alignment horizontal="left" wrapText="1"/>
    </xf>
    <xf numFmtId="0" fontId="3" fillId="8" borderId="0" xfId="0" applyFont="1" applyFill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4" fillId="9" borderId="0" xfId="0" applyFont="1" applyFill="1"/>
    <xf numFmtId="49" fontId="16" fillId="10" borderId="0" xfId="0" applyNumberFormat="1" applyFont="1" applyFill="1"/>
    <xf numFmtId="49" fontId="15" fillId="0" borderId="0" xfId="0" applyNumberFormat="1" applyFont="1"/>
    <xf numFmtId="0" fontId="22" fillId="9" borderId="0" xfId="0" applyFont="1" applyFill="1" applyAlignment="1">
      <alignment horizontal="center" vertical="center" wrapText="1"/>
    </xf>
    <xf numFmtId="0" fontId="2" fillId="8" borderId="0" xfId="0" quotePrefix="1" applyFont="1" applyFill="1" applyAlignment="1">
      <alignment horizontal="center" vertical="center" wrapText="1"/>
    </xf>
    <xf numFmtId="49" fontId="7" fillId="11" borderId="0" xfId="0" applyNumberFormat="1" applyFont="1" applyFill="1" applyAlignment="1">
      <alignment wrapText="1"/>
    </xf>
    <xf numFmtId="0" fontId="19" fillId="7" borderId="0" xfId="0" applyFont="1" applyFill="1"/>
    <xf numFmtId="0" fontId="19" fillId="7" borderId="0" xfId="0" applyFont="1" applyFill="1" applyAlignment="1">
      <alignment wrapText="1"/>
    </xf>
    <xf numFmtId="0" fontId="7" fillId="7" borderId="0" xfId="0" applyFont="1" applyFill="1"/>
    <xf numFmtId="0" fontId="7" fillId="12" borderId="0" xfId="0" applyFont="1" applyFill="1" applyAlignment="1">
      <alignment horizontal="left" wrapText="1"/>
    </xf>
    <xf numFmtId="0" fontId="7" fillId="0" borderId="0" xfId="0" applyFont="1" applyAlignment="1">
      <alignment wrapText="1"/>
    </xf>
    <xf numFmtId="14" fontId="16" fillId="0" borderId="0" xfId="0" applyNumberFormat="1" applyFont="1" applyAlignment="1">
      <alignment horizontal="left" vertical="top"/>
    </xf>
    <xf numFmtId="0" fontId="16" fillId="0" borderId="0" xfId="0" applyFont="1" applyAlignment="1">
      <alignment horizontal="left" vertical="top"/>
    </xf>
    <xf numFmtId="49" fontId="16" fillId="0" borderId="0" xfId="0" applyNumberFormat="1" applyFont="1" applyAlignment="1">
      <alignment horizontal="left" vertical="top"/>
    </xf>
  </cellXfs>
  <cellStyles count="2">
    <cellStyle name="Normal" xfId="0" builtinId="0"/>
    <cellStyle name="Normal 2" xfId="1" xr:uid="{00000000-0005-0000-0000-00000600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8C8"/>
      <color rgb="FFFF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11"/>
  <sheetViews>
    <sheetView tabSelected="1" topLeftCell="AS1" zoomScaleNormal="100" workbookViewId="0">
      <pane ySplit="2" topLeftCell="A3" activePane="bottomLeft" state="frozen"/>
      <selection pane="bottomLeft" activeCell="AT2" sqref="AT2"/>
    </sheetView>
  </sheetViews>
  <sheetFormatPr defaultColWidth="11.5703125" defaultRowHeight="15" x14ac:dyDescent="0.25"/>
  <cols>
    <col min="1" max="1" width="12.42578125" style="20" bestFit="1" customWidth="1"/>
    <col min="2" max="2" width="16" style="35" bestFit="1" customWidth="1"/>
    <col min="3" max="3" width="19.28515625" style="20" bestFit="1" customWidth="1"/>
    <col min="4" max="4" width="28.28515625" style="26" bestFit="1" customWidth="1"/>
    <col min="5" max="5" width="20" style="26" bestFit="1" customWidth="1"/>
    <col min="6" max="6" width="19" style="26" bestFit="1" customWidth="1"/>
    <col min="7" max="7" width="11" style="7" bestFit="1" customWidth="1"/>
    <col min="8" max="8" width="12.42578125" style="7" bestFit="1" customWidth="1"/>
    <col min="9" max="9" width="17.7109375" style="7" bestFit="1" customWidth="1"/>
    <col min="10" max="10" width="12.42578125" style="7" bestFit="1" customWidth="1"/>
    <col min="11" max="11" width="12" style="7" bestFit="1" customWidth="1"/>
    <col min="12" max="12" width="12.85546875" style="7" bestFit="1" customWidth="1"/>
    <col min="13" max="13" width="14" style="7" bestFit="1" customWidth="1"/>
    <col min="14" max="14" width="16.7109375" style="7" bestFit="1" customWidth="1"/>
    <col min="15" max="15" width="75.7109375" style="7" customWidth="1"/>
    <col min="16" max="16" width="25.7109375" style="7" customWidth="1"/>
    <col min="17" max="17" width="25.7109375" style="39" customWidth="1"/>
    <col min="18" max="18" width="9.140625" style="8" customWidth="1"/>
    <col min="19" max="22" width="9.140625" customWidth="1"/>
    <col min="23" max="24" width="10.7109375" bestFit="1" customWidth="1"/>
    <col min="25" max="25" width="10.7109375" customWidth="1"/>
    <col min="26" max="26" width="9.140625" style="30" customWidth="1"/>
    <col min="27" max="27" width="14.5703125" style="52" customWidth="1"/>
    <col min="28" max="28" width="9.28515625" style="30" customWidth="1"/>
    <col min="29" max="29" width="14.5703125" style="52" customWidth="1"/>
    <col min="30" max="30" width="8.7109375" style="34" bestFit="1" customWidth="1"/>
    <col min="31" max="32" width="8.7109375" style="34" customWidth="1"/>
    <col min="33" max="34" width="8" style="30" bestFit="1" customWidth="1"/>
    <col min="35" max="35" width="8.42578125" style="30" customWidth="1"/>
    <col min="36" max="37" width="20.42578125" style="30" customWidth="1"/>
    <col min="38" max="38" width="8.7109375" style="30" bestFit="1" customWidth="1"/>
    <col min="39" max="39" width="25.42578125" style="39" customWidth="1"/>
    <col min="40" max="40" width="25.85546875" style="7" customWidth="1"/>
    <col min="41" max="41" width="11.28515625" style="7" bestFit="1" customWidth="1"/>
    <col min="42" max="44" width="25.7109375" style="7" customWidth="1"/>
    <col min="45" max="45" width="11.28515625" style="7" bestFit="1" customWidth="1"/>
    <col min="46" max="48" width="25.7109375" style="7" customWidth="1"/>
    <col min="49" max="16384" width="11.5703125" style="20"/>
  </cols>
  <sheetData>
    <row r="1" spans="1:48" s="7" customFormat="1" ht="12.75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2" t="s">
        <v>4</v>
      </c>
      <c r="H1" s="2" t="s">
        <v>5</v>
      </c>
      <c r="I1" s="3" t="s">
        <v>6</v>
      </c>
      <c r="J1" s="3" t="s">
        <v>7</v>
      </c>
      <c r="K1" s="3" t="s">
        <v>8</v>
      </c>
      <c r="L1" s="4" t="s">
        <v>9</v>
      </c>
      <c r="M1" s="5" t="s">
        <v>10</v>
      </c>
      <c r="N1" s="5" t="s">
        <v>11</v>
      </c>
      <c r="O1" s="6" t="s">
        <v>12</v>
      </c>
      <c r="P1" s="6" t="s">
        <v>13</v>
      </c>
      <c r="Q1" s="36" t="s">
        <v>14</v>
      </c>
      <c r="R1" s="8"/>
      <c r="S1" s="27" t="str">
        <f>"B3:B" &amp; COUNTA( A:A )</f>
        <v>B3:B11</v>
      </c>
      <c r="T1" s="27" t="str">
        <f>"D3:D" &amp; COUNTA( A:A )</f>
        <v>D3:D11</v>
      </c>
      <c r="U1" s="27" t="str">
        <f>"E3:E" &amp; COUNTA( A:A )</f>
        <v>E3:E11</v>
      </c>
      <c r="V1" s="27" t="str">
        <f>"F3:F" &amp; COUNTA( A:A )</f>
        <v>F3:F11</v>
      </c>
      <c r="W1" s="27" t="str">
        <f>"Base!A2:A" &amp; COUNTA( Base!$A:$A )</f>
        <v>Base!A2:A5</v>
      </c>
      <c r="X1" s="27" t="str">
        <f>"Base!B2:B" &amp; COUNTA( Base!$A:$A )</f>
        <v>Base!B2:B5</v>
      </c>
      <c r="Y1" s="27" t="str">
        <f>"Base!C2:C" &amp; COUNTA( Base!$A:$A )</f>
        <v>Base!C2:C5</v>
      </c>
      <c r="Z1" s="28"/>
      <c r="AA1" s="50"/>
      <c r="AB1" s="28"/>
      <c r="AC1" s="50"/>
      <c r="AD1" s="33"/>
      <c r="AE1" s="33"/>
      <c r="AF1" s="33"/>
      <c r="AG1" s="28"/>
      <c r="AH1" s="28"/>
      <c r="AI1" s="28"/>
      <c r="AJ1" s="28"/>
      <c r="AK1" s="28"/>
      <c r="AL1" s="28"/>
      <c r="AM1" s="40" t="s">
        <v>15</v>
      </c>
      <c r="AO1" s="23"/>
      <c r="AP1" s="48" t="s">
        <v>16</v>
      </c>
      <c r="AQ1" s="24"/>
      <c r="AR1" s="24"/>
      <c r="AT1" s="48" t="s">
        <v>17</v>
      </c>
      <c r="AU1" s="24"/>
      <c r="AV1" s="24"/>
    </row>
    <row r="2" spans="1:48" ht="191.25" x14ac:dyDescent="0.25">
      <c r="A2" s="21" t="s">
        <v>18</v>
      </c>
      <c r="B2" s="22" t="s">
        <v>19</v>
      </c>
      <c r="C2" s="21" t="s">
        <v>20</v>
      </c>
      <c r="D2" s="21" t="s">
        <v>21</v>
      </c>
      <c r="E2" s="21" t="s">
        <v>22</v>
      </c>
      <c r="F2" s="21" t="s">
        <v>23</v>
      </c>
      <c r="G2" s="47">
        <v>4385</v>
      </c>
      <c r="H2" s="9" t="s">
        <v>24</v>
      </c>
      <c r="I2" s="44">
        <v>0</v>
      </c>
      <c r="J2" s="44">
        <f>100073313-1</f>
        <v>100073312</v>
      </c>
      <c r="K2" s="44">
        <f>100072813-1</f>
        <v>100072812</v>
      </c>
      <c r="L2" s="11" t="s">
        <v>25</v>
      </c>
      <c r="M2" s="10"/>
      <c r="N2" s="10"/>
      <c r="O2" s="12" t="s">
        <v>26</v>
      </c>
      <c r="P2" s="12" t="s">
        <v>27</v>
      </c>
      <c r="Q2" s="37"/>
      <c r="R2" s="31" t="s">
        <v>28</v>
      </c>
      <c r="S2" s="32" t="s">
        <v>29</v>
      </c>
      <c r="T2" s="32" t="s">
        <v>30</v>
      </c>
      <c r="U2" s="32" t="s">
        <v>31</v>
      </c>
      <c r="V2" s="32" t="s">
        <v>32</v>
      </c>
      <c r="W2" s="32" t="s">
        <v>33</v>
      </c>
      <c r="X2" s="32" t="s">
        <v>34</v>
      </c>
      <c r="Y2" s="32" t="s">
        <v>35</v>
      </c>
      <c r="Z2" s="29" t="s">
        <v>36</v>
      </c>
      <c r="AA2" s="51" t="s">
        <v>37</v>
      </c>
      <c r="AB2" s="29" t="s">
        <v>38</v>
      </c>
      <c r="AC2" s="51" t="str">
        <f ca="1" xml:space="preserve"> " - Lista de eventos HCM (Pebbian) que não existem no sistema ou estão inativos. " &amp; ( COUNTA(_xlfn.ANCHORARRAY( AC3) ) - 1 ) &amp; " ocorrência(s):"</f>
        <v xml:space="preserve"> - Lista de eventos HCM (Pebbian) que não existem no sistema ou estão inativos. 7 ocorrência(s):</v>
      </c>
      <c r="AD2" s="53" t="s">
        <v>39</v>
      </c>
      <c r="AE2" s="53" t="s">
        <v>40</v>
      </c>
      <c r="AF2" s="53" t="s">
        <v>41</v>
      </c>
      <c r="AG2" s="53" t="s">
        <v>42</v>
      </c>
      <c r="AH2" s="53" t="s">
        <v>43</v>
      </c>
      <c r="AI2" s="53" t="s">
        <v>44</v>
      </c>
      <c r="AJ2" s="53" t="s">
        <v>45</v>
      </c>
      <c r="AK2" s="53" t="s">
        <v>46</v>
      </c>
      <c r="AL2" s="53" t="s">
        <v>47</v>
      </c>
      <c r="AM2" s="41" t="str">
        <f>AD2 &amp; ";" &amp; AE2 &amp; ";" &amp; AF2 &amp; ";" &amp;  AG2 &amp; ";" &amp; AH2 &amp; ";" &amp; AI2 &amp; ";" &amp; AJ2 &amp; ";" &amp; AK2 &amp; ";" &amp; AL2</f>
        <v>Eventos do HCM informados na planilha;Eventos do cliente informados na planilha;Evento do HCM existe?;Tipo evento na planilha;Tipo evento do HCM;Tipos diferentes?;Nome do evento na planilha;Nome do evento do HCM;Nomes diferentes?</v>
      </c>
      <c r="AN2" s="54" t="s">
        <v>48</v>
      </c>
      <c r="AO2" s="23"/>
      <c r="AP2" s="42" t="str">
        <f ca="1">"/*"&amp;AP4&amp;"*/
SELECT A + 1 A, B - 1 B, B - A - 1 LENGHT, (SELECT TO_NUMBER(NRSEQUENCIAL) FROM NOVOCODIGO WHERE NRORG = "&amp;AP9&amp;" AND CDCONTADOR = '"&amp;AP4&amp;"') NOVOCODIGO FROM (SELECT 0 A, MIN("&amp;AP5&amp;") B FROM "&amp;AP4&amp;" UNION ALL SELECT "&amp;AP5&amp;", LEAD("&amp;AP5&amp;") OVER (ORDER BY "&amp;AP5&amp;") FROM "&amp;AP4&amp;" ) WHERE ( B - A &gt; "&amp;AP8&amp;" OR B IS NULL ) AND A &gt;= 10000000 ORDER BY A;"</f>
        <v>/*FPA_EVENTOM*/
SELECT A + 1 A, B - 1 B, B - A - 1 LENGHT, (SELECT TO_NUMBER(NRSEQUENCIAL) FROM NOVOCODIGO WHERE NRORG = 0 AND CDCONTADOR = 'FPA_EVENTOM') NOVOCODIGO FROM (SELECT 0 A, MIN(NREVENTOM) B FROM FPA_EVENTOM UNION ALL SELECT NREVENTOM, LEAD(NREVENTOM) OVER (ORDER BY NREVENTOM) FROM FPA_EVENTOM ) WHERE ( B - A &gt; 1 OR B IS NULL ) AND A &gt;= 10000000 ORDER BY A;</v>
      </c>
      <c r="AQ2" s="42" t="str">
        <f ca="1">"/*"&amp;AQ4&amp;"*/
SELECT A + 1 A, B - 1 B, B - A - 1 LENGHT, (SELECT TO_NUMBER(NRSEQUENCIAL) FROM NOVOCODIGO WHERE NRORG = "&amp;AQ9&amp;" AND CDCONTADOR = '"&amp;AQ4&amp;"') NOVOCODIGO FROM (SELECT 0 A, MIN("&amp;AQ5&amp;") B FROM "&amp;AQ4&amp;" UNION ALL SELECT "&amp;AQ5&amp;", LEAD("&amp;AQ5&amp;") OVER (ORDER BY "&amp;AQ5&amp;") FROM "&amp;AQ4&amp;" ) WHERE B - A &gt; "&amp;AQ8&amp;" OR B IS NULL ORDER BY A;"</f>
        <v>/*FPA_EVENTOH*/
SELECT A + 1 A, B - 1 B, B - A - 1 LENGHT, (SELECT TO_NUMBER(NRSEQUENCIAL) FROM NOVOCODIGO WHERE NRORG = 0 AND CDCONTADOR = 'FPA_EVENTOH') NOVOCODIGO FROM (SELECT 0 A, MIN(NREVENTOH) B FROM FPA_EVENTOH UNION ALL SELECT NREVENTOH, LEAD(NREVENTOH) OVER (ORDER BY NREVENTOH) FROM FPA_EVENTOH ) WHERE B - A &gt; 1 OR B IS NULL ORDER BY A;</v>
      </c>
      <c r="AR2" s="43" t="str">
        <f ca="1">"/*"&amp;AR4&amp;"*/
SELECT A + 1 A, B - 1 B, B - A - 1 LENGHT, (SELECT TO_NUMBER(NRSEQUENCIAL) FROM NOVOCODIGO WHERE NRORG = "&amp;AR9&amp;" AND CDCONTADOR = '"&amp;AR4&amp;"') NOVOCODIGO FROM (SELECT 0 A, MIN("&amp;AR5&amp;") B FROM "&amp;AR4&amp;" WHERE NRORG = "&amp;AR9&amp;" UNION ALL SELECT "&amp;AR5&amp;", LEAD("&amp;AR5&amp;") OVER (ORDER BY "&amp;AR5&amp;") FROM "&amp;AR4&amp;" WHERE NRORG = "&amp;AR9&amp;" ) WHERE B - A &gt; "&amp;AR8&amp;" OR B IS NULL ORDER BY A;"</f>
        <v>/*MIG_MIGRAMDEPARA*/
SELECT A + 1 A, B - 1 B, B - A - 1 LENGHT, (SELECT TO_NUMBER(NRSEQUENCIAL) FROM NOVOCODIGO WHERE NRORG = 4385 AND CDCONTADOR = 'MIG_MIGRAMDEPARA') NOVOCODIGO FROM (SELECT 0 A, MIN(NRMIGRAMDEPARA) B FROM MIG_MIGRAMDEPARA WHERE NRORG = 4385 UNION ALL SELECT NRMIGRAMDEPARA, LEAD(NRMIGRAMDEPARA) OVER (ORDER BY NRMIGRAMDEPARA) FROM MIG_MIGRAMDEPARA WHERE NRORG = 4385 ) WHERE B - A &gt; 9 OR B IS NULL ORDER BY A;</v>
      </c>
      <c r="AT2" s="42" t="str">
        <f ca="1">"SELECT '--'||COUNT(1)||': "&amp;AT4&amp;"' STATUS FROM "&amp;AT4&amp;" WHERE "&amp;AT5&amp;" BETWEEN "&amp;AT6&amp;" AND "&amp;AT7&amp;" UNION ALL "</f>
        <v xml:space="preserve">SELECT '--'||COUNT(1)||': FPA_EVENTOM' STATUS FROM FPA_EVENTOM WHERE NREVENTOM BETWEEN 100073313 AND 100073313 UNION ALL </v>
      </c>
      <c r="AU2" s="42" t="str">
        <f ca="1">"SELECT '--'||COUNT(1)||': "&amp;AU4&amp;"' STATUS FROM "&amp;AU4&amp;" WHERE "&amp;AU5&amp;" BETWEEN "&amp;AU6&amp;" AND "&amp;AU7&amp;" UNION ALL "</f>
        <v xml:space="preserve">SELECT '--'||COUNT(1)||': FPA_EVENTOH' STATUS FROM FPA_EVENTOH WHERE NREVENTOH BETWEEN 100072813 AND 100072813 UNION ALL </v>
      </c>
      <c r="AV2" s="43" t="str">
        <f ca="1">"SELECT '--'||COUNT(1)||': "&amp;AV4&amp;"' STATUS FROM "&amp;AV4&amp;" WHERE NRORG = " &amp; AV9 &amp; " AND "&amp;AV5&amp;" BETWEEN "&amp;AV6&amp;" AND "&amp;AV7&amp;"/* UNION ALL*/ "</f>
        <v xml:space="preserve">SELECT '--'||COUNT(1)||': MIG_MIGRAMDEPARA' STATUS FROM MIG_MIGRAMDEPARA WHERE NRORG = 4385 AND NRMIGRAMDEPARA BETWEEN 1 AND 9/* UNION ALL*/ </v>
      </c>
    </row>
    <row r="3" spans="1:48" ht="15" customHeight="1" x14ac:dyDescent="0.25">
      <c r="A3" s="55">
        <v>36526</v>
      </c>
      <c r="B3" s="56" t="s">
        <v>49</v>
      </c>
      <c r="C3" s="55">
        <v>36526</v>
      </c>
      <c r="D3" s="56" t="s">
        <v>50</v>
      </c>
      <c r="E3" s="56">
        <v>10</v>
      </c>
      <c r="F3" s="57" t="s">
        <v>51</v>
      </c>
      <c r="G3" s="13"/>
      <c r="H3" s="14" t="b">
        <f t="shared" ref="H3:H4" si="0">E3=""</f>
        <v>0</v>
      </c>
      <c r="I3" s="10">
        <f t="shared" ref="I3:I11" si="1">I2+1</f>
        <v>1</v>
      </c>
      <c r="J3" s="10" t="str">
        <f>IF($H3,LARGE(J$2:J2,1)+1,"")</f>
        <v/>
      </c>
      <c r="K3" s="10" t="str">
        <f>IF($H3,LARGE(K$2:K2,1)+1,"")</f>
        <v/>
      </c>
      <c r="L3" s="15">
        <f t="shared" ref="L3:L4" si="2">IF(H3,J3,E3)</f>
        <v>10</v>
      </c>
      <c r="M3" s="10" t="str">
        <f t="shared" ref="M3:M4" si="3">TEXT(A3,"DD/MM/AAAA")</f>
        <v>01/01/2000</v>
      </c>
      <c r="N3" s="10" t="str">
        <f t="shared" ref="N3:N4" si="4">TEXT(C3,"DD/MM/AAAA")</f>
        <v>01/01/2000</v>
      </c>
      <c r="O3" s="10" t="str">
        <f t="shared" ref="O3:O4" si="5">IF($H3,SUBSTITUTE(SUBSTITUTE(SUBSTITUTE(SUBSTITUTE(SUBSTITUTE(SUBSTITUTE(SUBSTITUTE(SUBSTITUTE($O$2,"@NRORG@",$G$2),$J$1,J3),$M$1,M3),$B$1,B3),$K$1,K3),$N$1,N3),$F$1,F3),$D$1,D3),"")</f>
        <v/>
      </c>
      <c r="P3" s="10" t="str">
        <f t="shared" ref="P3:P4" si="6">SUBSTITUTE(SUBSTITUTE(SUBSTITUTE(SUBSTITUTE($P$2,"@NRORG@",$G$2),$I$1,I3),$L$1,L3),$F$1,F3)</f>
        <v>INSERT INTO MIG_MIGRAMDEPARA ( NRMIGRAMDEPARA, NMTABELADBF, NRORG, NRPARA, NRDE ) VALUES ( 1, 'EVENTO', 4385, 10, '001' ); COMMIT;</v>
      </c>
      <c r="Q3" s="38" t="str">
        <f xml:space="preserve"> IF( O3 = "", P3, O3 &amp; " " &amp; P3 )</f>
        <v>INSERT INTO MIG_MIGRAMDEPARA ( NRMIGRAMDEPARA, NMTABELADBF, NRORG, NRPARA, NRDE ) VALUES ( 1, 'EVENTO', 4385, 10, '001' ); COMMIT;</v>
      </c>
      <c r="Z3" s="28" t="str" cm="1">
        <f t="array" aca="1" ref="Z3:Z11" ca="1">IF( COUNTIF( Base!$E:$E, INDIRECT( V1 ) ) = 1, INDIRECT( V1 ), "não existe" )</f>
        <v>não existe</v>
      </c>
      <c r="AA3" s="50" t="str" cm="1">
        <f t="array" aca="1" ref="AA3" ca="1">_xlfn._xlws.SORT( _xlfn.UNIQUE( IF(_xlfn.ANCHORARRAY( Z3) = "não existe", "",_xlfn.ANCHORARRAY( Z3) ) ) )</f>
        <v/>
      </c>
      <c r="AB3" s="28" t="str" cm="1">
        <f t="array" aca="1" ref="AB3:AB11" ca="1">IF(COUNTIF(INDIRECT(W1),INDIRECT(U1))&gt;=1,"existe",IF(INDIRECT(U1)=0,"",INDIRECT(U1)))</f>
        <v>existe</v>
      </c>
      <c r="AC3" s="50" t="str" cm="1">
        <f t="array" aca="1" ref="AC3:AC10" ca="1">"  - " &amp; _xlfn._xlws.SORT( _xlfn.UNIQUE( IF(_xlfn.ANCHORARRAY( AB3) = "existe", "",_xlfn.ANCHORARRAY( AB3) ) ) )</f>
        <v xml:space="preserve">  - 36</v>
      </c>
      <c r="AD3" s="33" cm="1">
        <f t="array" aca="1" ref="AD3:AD11" ca="1">_xlfn._xlws.SORT( _xlfn.UNIQUE( INDIRECT( U1 ) ) )</f>
        <v>10</v>
      </c>
      <c r="AE3" s="33" t="str" cm="1">
        <f t="array" aca="1" ref="AE3:AE11" ca="1">_xlfn.XLOOKUP(_xlfn.ANCHORARRAY( $AD$3), INDIRECT( $U$1 ), INDIRECT( $V$1 ), "" )</f>
        <v>001</v>
      </c>
      <c r="AF3" s="33" t="str" cm="1">
        <f t="array" aca="1" ref="AF3:AF11" ca="1">IF( COUNTIF( INDIRECT( W1 ),_xlfn.ANCHORARRAY( AD3) ) = 0, "não existe", "" )</f>
        <v/>
      </c>
      <c r="AG3" s="28" t="str" cm="1">
        <f t="array" aca="1" ref="AG3:AG11" ca="1" xml:space="preserve"> _xlfn.XLOOKUP(_xlfn.ANCHORARRAY( $AD$3), INDIRECT( $U$1 ), INDIRECT( $S$1 ), "" )</f>
        <v>PROVENTO</v>
      </c>
      <c r="AH3" s="28" t="str" cm="1">
        <f t="array" aca="1" ref="AH3:AH11" ca="1">_xlfn.XLOOKUP( TEXT(_xlfn.ANCHORARRAY( $AD$3), "0" ), INDIRECT( $W$1 ), INDIRECT( $X$1 ), "" )</f>
        <v>PROVENTO</v>
      </c>
      <c r="AI3" s="28" t="str" cm="1">
        <f t="array" aca="1" ref="AI3:AI11" ca="1">IF(_xlfn.ANCHORARRAY( AG3) =_xlfn.ANCHORARRAY( AH3), "", "diferente" )</f>
        <v/>
      </c>
      <c r="AJ3" s="28" t="str" cm="1">
        <f t="array" aca="1" ref="AJ3:AJ11" ca="1" xml:space="preserve"> _xlfn.XLOOKUP(_xlfn.ANCHORARRAY( $AD$3), INDIRECT( $U$1 ), INDIRECT( $T$1 ), "" )</f>
        <v>Salario Mes</v>
      </c>
      <c r="AK3" s="28" t="str" cm="1">
        <f t="array" aca="1" ref="AK3:AK11" ca="1">_xlfn.XLOOKUP( TEXT(_xlfn.ANCHORARRAY( $AD$3), "0" ), INDIRECT( $W$1 ), INDIRECT( $Y$1 ), "" )</f>
        <v>Salario Mes</v>
      </c>
      <c r="AL3" s="28" t="str" cm="1">
        <f t="array" aca="1" ref="AL3:AL11" ca="1">IF(_xlfn.ANCHORARRAY( AJ3) =_xlfn.ANCHORARRAY( AK3), "", "diferente" )</f>
        <v/>
      </c>
      <c r="AM3" s="40" t="str" cm="1">
        <f t="array" aca="1" ref="AM3:AM11" ca="1">_xlfn._xlws.SORT( _xlfn.UNIQUE(_xlfn.ANCHORARRAY( AD3) &amp; ";" &amp;_xlfn.ANCHORARRAY( AE3) &amp; ";" &amp;_xlfn.ANCHORARRAY( AF3) &amp; ";" &amp;_xlfn.ANCHORARRAY( AG3) &amp; ";" &amp;_xlfn.ANCHORARRAY( AH3) &amp; ";" &amp;_xlfn.ANCHORARRAY( AI3) &amp; ";" &amp;_xlfn.ANCHORARRAY( AJ3) &amp; ";" &amp;_xlfn.ANCHORARRAY( AK3) &amp; ";" &amp;_xlfn.ANCHORARRAY( AL3) ) )</f>
        <v>0;;não existe;;;;;;</v>
      </c>
      <c r="AO3" s="24" t="s">
        <v>52</v>
      </c>
      <c r="AP3" s="16" t="s">
        <v>7</v>
      </c>
      <c r="AQ3" s="16" t="s">
        <v>8</v>
      </c>
      <c r="AR3" s="16" t="s">
        <v>6</v>
      </c>
      <c r="AS3" s="24" t="s">
        <v>52</v>
      </c>
      <c r="AT3" s="17" t="str">
        <f t="shared" ref="AT3:AV7" si="7">AP3</f>
        <v>@NREVENTOM@</v>
      </c>
      <c r="AU3" s="17" t="str">
        <f t="shared" si="7"/>
        <v>@NREVENTOH@</v>
      </c>
      <c r="AV3" s="17" t="str">
        <f t="shared" si="7"/>
        <v>@NRMIGRAMDEPARA@</v>
      </c>
    </row>
    <row r="4" spans="1:48" ht="15" customHeight="1" x14ac:dyDescent="0.25">
      <c r="A4" s="55">
        <v>36526</v>
      </c>
      <c r="B4" s="56" t="s">
        <v>49</v>
      </c>
      <c r="C4" s="55">
        <v>36526</v>
      </c>
      <c r="D4" s="56" t="s">
        <v>53</v>
      </c>
      <c r="E4" s="56"/>
      <c r="F4" s="57" t="s">
        <v>54</v>
      </c>
      <c r="G4" s="13"/>
      <c r="H4" s="14" t="b">
        <f t="shared" si="0"/>
        <v>1</v>
      </c>
      <c r="I4" s="10">
        <f t="shared" si="1"/>
        <v>2</v>
      </c>
      <c r="J4" s="10">
        <f>IF($H4,LARGE(J$2:J3,1)+1,"")</f>
        <v>100073313</v>
      </c>
      <c r="K4" s="10">
        <f>IF($H4,LARGE(K$2:K3,1)+1,"")</f>
        <v>100072813</v>
      </c>
      <c r="L4" s="15">
        <f t="shared" si="2"/>
        <v>100073313</v>
      </c>
      <c r="M4" s="10" t="str">
        <f t="shared" si="3"/>
        <v>01/01/2000</v>
      </c>
      <c r="N4" s="10" t="str">
        <f t="shared" si="4"/>
        <v>01/01/2000</v>
      </c>
      <c r="O4" s="10" t="str">
        <f t="shared" si="5"/>
        <v>INSERT INTO FPA_EVENTOM ( NREVENTOM, DTINIVIGENCIA, NRORG, DTINCLUSAO, NRORGINCLUSAO, CDOPERINCLUSAO, IDTIPOEVENTO ) VALUES ( 100073313, '01/01/2000', 4385, SYSDATE, 4385, '000000099991', 'PROVENTO' ); INSERT INTO FPA_EVENTOH ( NREVENTOH, NREVENTOM, DTMESCOMPETENC, IDIMPRESSEVENTO, IDTIPOOCORREVEN, IDEVENTODEMONST, IDRETROCEDEVENT, IDZERAEVENFECHA, CDINTEGRAEVENTO, IDMEDIAEVENFERI, IDFALTAS13RESC, DTINCLUSAO, NRORGINCLUSAO, CDOPERINCLUSAO, NMEVENTOH, IDDTOCORRENCIA, NRORG, VRPISOEVENTO, VRTETOEVENTO, IDATIVO ) VALUES ( 100072813, 100073313, '01/01/2000', 'S', 'EVENTUAL', 'N', 'SEMPRE', 'N', '004', 'N', 'N', SYSDATE, 4385, '000000099991', 'INTEGRAÇÃO DSR', 'COMPETENCIA', 4385, 0, 9999999999, 'S' );</v>
      </c>
      <c r="P4" s="10" t="str">
        <f t="shared" si="6"/>
        <v>INSERT INTO MIG_MIGRAMDEPARA ( NRMIGRAMDEPARA, NMTABELADBF, NRORG, NRPARA, NRDE ) VALUES ( 2, 'EVENTO', 4385, 100073313, '004' ); COMMIT;</v>
      </c>
      <c r="Q4" s="38" t="str">
        <f xml:space="preserve"> IF( O4 = "", P4, O4 &amp; " " &amp; P4 )</f>
        <v>INSERT INTO FPA_EVENTOM ( NREVENTOM, DTINIVIGENCIA, NRORG, DTINCLUSAO, NRORGINCLUSAO, CDOPERINCLUSAO, IDTIPOEVENTO ) VALUES ( 100073313, '01/01/2000', 4385, SYSDATE, 4385, '000000099991', 'PROVENTO' ); INSERT INTO FPA_EVENTOH ( NREVENTOH, NREVENTOM, DTMESCOMPETENC, IDIMPRESSEVENTO, IDTIPOOCORREVEN, IDEVENTODEMONST, IDRETROCEDEVENT, IDZERAEVENFECHA, CDINTEGRAEVENTO, IDMEDIAEVENFERI, IDFALTAS13RESC, DTINCLUSAO, NRORGINCLUSAO, CDOPERINCLUSAO, NMEVENTOH, IDDTOCORRENCIA, NRORG, VRPISOEVENTO, VRTETOEVENTO, IDATIVO ) VALUES ( 100072813, 100073313, '01/01/2000', 'S', 'EVENTUAL', 'N', 'SEMPRE', 'N', '004', 'N', 'N', SYSDATE, 4385, '000000099991', 'INTEGRAÇÃO DSR', 'COMPETENCIA', 4385, 0, 9999999999, 'S' ); INSERT INTO MIG_MIGRAMDEPARA ( NRMIGRAMDEPARA, NMTABELADBF, NRORG, NRPARA, NRDE ) VALUES ( 2, 'EVENTO', 4385, 100073313, '004' ); COMMIT;</v>
      </c>
      <c r="Z4" s="30" t="str">
        <f ca="1"/>
        <v>não existe</v>
      </c>
      <c r="AB4" s="30" t="str">
        <f ca="1"/>
        <v/>
      </c>
      <c r="AC4" s="52" t="str">
        <f ca="1"/>
        <v xml:space="preserve">  - 41</v>
      </c>
      <c r="AD4" s="34">
        <f ca="1"/>
        <v>36</v>
      </c>
      <c r="AE4" s="34" t="str">
        <f ca="1"/>
        <v>006</v>
      </c>
      <c r="AF4" s="34" t="str">
        <f ca="1"/>
        <v>não existe</v>
      </c>
      <c r="AG4" s="30" t="str">
        <f ca="1"/>
        <v>PROVENTO</v>
      </c>
      <c r="AH4" s="30" t="str">
        <f ca="1"/>
        <v/>
      </c>
      <c r="AI4" s="30" t="str">
        <f ca="1"/>
        <v>diferente</v>
      </c>
      <c r="AJ4" s="30" t="str">
        <f ca="1"/>
        <v>Devolucao falta indevida</v>
      </c>
      <c r="AK4" s="30" t="str">
        <f ca="1"/>
        <v/>
      </c>
      <c r="AL4" s="30" t="str">
        <f ca="1"/>
        <v>diferente</v>
      </c>
      <c r="AM4" s="39" t="str">
        <f ca="1"/>
        <v>10;001;;PROVENTO;PROVENTO;;Salario Mes;Salario Mes;</v>
      </c>
      <c r="AO4" s="24" t="s">
        <v>55</v>
      </c>
      <c r="AP4" s="18" t="s">
        <v>56</v>
      </c>
      <c r="AQ4" s="18" t="s">
        <v>57</v>
      </c>
      <c r="AR4" s="18" t="s">
        <v>58</v>
      </c>
      <c r="AS4" s="24" t="s">
        <v>55</v>
      </c>
      <c r="AT4" s="17" t="str">
        <f t="shared" si="7"/>
        <v>FPA_EVENTOM</v>
      </c>
      <c r="AU4" s="17" t="str">
        <f t="shared" si="7"/>
        <v>FPA_EVENTOH</v>
      </c>
      <c r="AV4" s="17" t="str">
        <f t="shared" si="7"/>
        <v>MIG_MIGRAMDEPARA</v>
      </c>
    </row>
    <row r="5" spans="1:48" ht="15" customHeight="1" x14ac:dyDescent="0.25">
      <c r="A5" s="55">
        <v>36526</v>
      </c>
      <c r="B5" s="56" t="s">
        <v>49</v>
      </c>
      <c r="C5" s="55">
        <v>36526</v>
      </c>
      <c r="D5" s="56" t="s">
        <v>59</v>
      </c>
      <c r="E5" s="56">
        <v>36</v>
      </c>
      <c r="F5" s="57" t="s">
        <v>60</v>
      </c>
      <c r="G5" s="13"/>
      <c r="H5" s="14" t="b">
        <f t="shared" ref="H5:H9" si="8">E5=""</f>
        <v>0</v>
      </c>
      <c r="I5" s="10">
        <f t="shared" si="1"/>
        <v>3</v>
      </c>
      <c r="J5" s="10" t="str">
        <f>IF($H5,LARGE(J$2:J4,1)+1,"")</f>
        <v/>
      </c>
      <c r="K5" s="10" t="str">
        <f>IF($H5,LARGE(K$2:K4,1)+1,"")</f>
        <v/>
      </c>
      <c r="L5" s="15">
        <f t="shared" ref="L5:L9" si="9">IF(H5,J5,E5)</f>
        <v>36</v>
      </c>
      <c r="M5" s="10" t="str">
        <f t="shared" ref="M5:M9" si="10">TEXT(A5,"DD/MM/AAAA")</f>
        <v>01/01/2000</v>
      </c>
      <c r="N5" s="10" t="str">
        <f t="shared" ref="N5:N9" si="11">TEXT(C5,"DD/MM/AAAA")</f>
        <v>01/01/2000</v>
      </c>
      <c r="O5" s="10" t="str">
        <f t="shared" ref="O5:O9" si="12">IF($H5,SUBSTITUTE(SUBSTITUTE(SUBSTITUTE(SUBSTITUTE(SUBSTITUTE(SUBSTITUTE(SUBSTITUTE(SUBSTITUTE($O$2,"@NRORG@",$G$2),$J$1,J5),$M$1,M5),$B$1,B5),$K$1,K5),$N$1,N5),$F$1,F5),$D$1,D5),"")</f>
        <v/>
      </c>
      <c r="P5" s="10" t="str">
        <f t="shared" ref="P5:P9" si="13">SUBSTITUTE(SUBSTITUTE(SUBSTITUTE(SUBSTITUTE($P$2,"@NRORG@",$G$2),$I$1,I5),$L$1,L5),$F$1,F5)</f>
        <v>INSERT INTO MIG_MIGRAMDEPARA ( NRMIGRAMDEPARA, NMTABELADBF, NRORG, NRPARA, NRDE ) VALUES ( 3, 'EVENTO', 4385, 36, '006' ); COMMIT;</v>
      </c>
      <c r="Q5" s="38" t="str">
        <f t="shared" ref="Q5:Q9" si="14" xml:space="preserve"> IF( O5 = "", P5, O5 &amp; " " &amp; P5 )</f>
        <v>INSERT INTO MIG_MIGRAMDEPARA ( NRMIGRAMDEPARA, NMTABELADBF, NRORG, NRPARA, NRDE ) VALUES ( 3, 'EVENTO', 4385, 36, '006' ); COMMIT;</v>
      </c>
      <c r="Z5" s="30" t="str">
        <f ca="1"/>
        <v>não existe</v>
      </c>
      <c r="AB5" s="30">
        <f ca="1"/>
        <v>36</v>
      </c>
      <c r="AC5" s="52" t="str">
        <f ca="1"/>
        <v xml:space="preserve">  - 43</v>
      </c>
      <c r="AD5" s="34">
        <f ca="1"/>
        <v>41</v>
      </c>
      <c r="AE5" s="34" t="str">
        <f ca="1"/>
        <v>009</v>
      </c>
      <c r="AF5" s="34" t="str">
        <f ca="1"/>
        <v>não existe</v>
      </c>
      <c r="AG5" s="30" t="str">
        <f ca="1"/>
        <v>PROVENTO</v>
      </c>
      <c r="AH5" s="30" t="str">
        <f ca="1"/>
        <v/>
      </c>
      <c r="AI5" s="30" t="str">
        <f ca="1"/>
        <v>diferente</v>
      </c>
      <c r="AJ5" s="30" t="str">
        <f ca="1"/>
        <v>Adicional Noturno 25%</v>
      </c>
      <c r="AK5" s="30" t="str">
        <f ca="1"/>
        <v/>
      </c>
      <c r="AL5" s="30" t="str">
        <f ca="1"/>
        <v>diferente</v>
      </c>
      <c r="AM5" s="39" t="str">
        <f ca="1"/>
        <v>36;006;não existe;PROVENTO;;diferente;Devolucao falta indevida;;diferente</v>
      </c>
      <c r="AO5" s="24" t="s">
        <v>61</v>
      </c>
      <c r="AP5" s="18" t="s">
        <v>62</v>
      </c>
      <c r="AQ5" s="18" t="s">
        <v>63</v>
      </c>
      <c r="AR5" s="18" t="s">
        <v>64</v>
      </c>
      <c r="AS5" s="24" t="s">
        <v>61</v>
      </c>
      <c r="AT5" s="17" t="str">
        <f t="shared" si="7"/>
        <v>NREVENTOM</v>
      </c>
      <c r="AU5" s="17" t="str">
        <f t="shared" si="7"/>
        <v>NREVENTOH</v>
      </c>
      <c r="AV5" s="17" t="str">
        <f t="shared" si="7"/>
        <v>NRMIGRAMDEPARA</v>
      </c>
    </row>
    <row r="6" spans="1:48" x14ac:dyDescent="0.25">
      <c r="A6" s="55">
        <v>36526</v>
      </c>
      <c r="B6" s="56" t="s">
        <v>49</v>
      </c>
      <c r="C6" s="55">
        <v>36526</v>
      </c>
      <c r="D6" s="56" t="s">
        <v>65</v>
      </c>
      <c r="E6" s="56">
        <v>820</v>
      </c>
      <c r="F6" s="57" t="s">
        <v>66</v>
      </c>
      <c r="G6" s="13"/>
      <c r="H6" s="14" t="b">
        <f t="shared" si="8"/>
        <v>0</v>
      </c>
      <c r="I6" s="10">
        <f t="shared" si="1"/>
        <v>4</v>
      </c>
      <c r="J6" s="10" t="str">
        <f>IF($H6,LARGE(J$2:J5,1)+1,"")</f>
        <v/>
      </c>
      <c r="K6" s="10" t="str">
        <f>IF($H6,LARGE(K$2:K5,1)+1,"")</f>
        <v/>
      </c>
      <c r="L6" s="15">
        <f t="shared" si="9"/>
        <v>820</v>
      </c>
      <c r="M6" s="10" t="str">
        <f t="shared" si="10"/>
        <v>01/01/2000</v>
      </c>
      <c r="N6" s="10" t="str">
        <f t="shared" si="11"/>
        <v>01/01/2000</v>
      </c>
      <c r="O6" s="10" t="str">
        <f t="shared" si="12"/>
        <v/>
      </c>
      <c r="P6" s="10" t="str">
        <f t="shared" si="13"/>
        <v>INSERT INTO MIG_MIGRAMDEPARA ( NRMIGRAMDEPARA, NMTABELADBF, NRORG, NRPARA, NRDE ) VALUES ( 4, 'EVENTO', 4385, 820, '007' ); COMMIT;</v>
      </c>
      <c r="Q6" s="38" t="str">
        <f t="shared" si="14"/>
        <v>INSERT INTO MIG_MIGRAMDEPARA ( NRMIGRAMDEPARA, NMTABELADBF, NRORG, NRPARA, NRDE ) VALUES ( 4, 'EVENTO', 4385, 820, '007' ); COMMIT;</v>
      </c>
      <c r="Z6" s="30" t="str">
        <f ca="1"/>
        <v>não existe</v>
      </c>
      <c r="AB6" s="30">
        <f ca="1"/>
        <v>820</v>
      </c>
      <c r="AC6" s="52" t="str">
        <f ca="1"/>
        <v xml:space="preserve">  - 44</v>
      </c>
      <c r="AD6" s="34">
        <f ca="1"/>
        <v>43</v>
      </c>
      <c r="AE6" s="34" t="str">
        <f ca="1"/>
        <v>010</v>
      </c>
      <c r="AF6" s="34" t="str">
        <f ca="1"/>
        <v>não existe</v>
      </c>
      <c r="AG6" s="30" t="str">
        <f ca="1"/>
        <v>PROVENTO</v>
      </c>
      <c r="AH6" s="30" t="str">
        <f ca="1"/>
        <v/>
      </c>
      <c r="AI6" s="30" t="str">
        <f ca="1"/>
        <v>diferente</v>
      </c>
      <c r="AJ6" s="30" t="str">
        <f ca="1"/>
        <v>Adicional Noturno 35%</v>
      </c>
      <c r="AK6" s="30" t="str">
        <f ca="1"/>
        <v/>
      </c>
      <c r="AL6" s="30" t="str">
        <f ca="1"/>
        <v>diferente</v>
      </c>
      <c r="AM6" s="39" t="str">
        <f ca="1"/>
        <v>41;009;não existe;PROVENTO;;diferente;Adicional Noturno 25%;;diferente</v>
      </c>
      <c r="AO6" s="24" t="s">
        <v>67</v>
      </c>
      <c r="AP6" s="25">
        <f ca="1">MIN( OFFSET( $A$1, 2, MATCH( AP$3, $1:$1, 0 ) - 1, 1048574, 1 ) )</f>
        <v>100073313</v>
      </c>
      <c r="AQ6" s="25">
        <f ca="1">MIN( OFFSET( $A$1, 2, MATCH( AQ$3, $1:$1, 0 ) - 1, 1048574, 1 ) )</f>
        <v>100072813</v>
      </c>
      <c r="AR6" s="25">
        <f ca="1">MIN( OFFSET( $A$1, 2, MATCH( AR$3, $1:$1, 0 ) - 1, 1048574, 1 ) )</f>
        <v>1</v>
      </c>
      <c r="AS6" s="24" t="s">
        <v>67</v>
      </c>
      <c r="AT6" s="17">
        <f t="shared" ca="1" si="7"/>
        <v>100073313</v>
      </c>
      <c r="AU6" s="17">
        <f t="shared" ca="1" si="7"/>
        <v>100072813</v>
      </c>
      <c r="AV6" s="17">
        <f t="shared" ca="1" si="7"/>
        <v>1</v>
      </c>
    </row>
    <row r="7" spans="1:48" x14ac:dyDescent="0.25">
      <c r="A7" s="55">
        <v>36526</v>
      </c>
      <c r="B7" s="56" t="s">
        <v>49</v>
      </c>
      <c r="C7" s="55">
        <v>36526</v>
      </c>
      <c r="D7" s="56" t="s">
        <v>68</v>
      </c>
      <c r="E7" s="56">
        <v>44</v>
      </c>
      <c r="F7" s="57" t="s">
        <v>69</v>
      </c>
      <c r="G7" s="13"/>
      <c r="H7" s="14" t="b">
        <f t="shared" si="8"/>
        <v>0</v>
      </c>
      <c r="I7" s="10">
        <f t="shared" si="1"/>
        <v>5</v>
      </c>
      <c r="J7" s="10" t="str">
        <f>IF($H7,LARGE(J$2:J6,1)+1,"")</f>
        <v/>
      </c>
      <c r="K7" s="10" t="str">
        <f>IF($H7,LARGE(K$2:K6,1)+1,"")</f>
        <v/>
      </c>
      <c r="L7" s="15">
        <f t="shared" si="9"/>
        <v>44</v>
      </c>
      <c r="M7" s="10" t="str">
        <f t="shared" si="10"/>
        <v>01/01/2000</v>
      </c>
      <c r="N7" s="10" t="str">
        <f t="shared" si="11"/>
        <v>01/01/2000</v>
      </c>
      <c r="O7" s="10" t="str">
        <f t="shared" si="12"/>
        <v/>
      </c>
      <c r="P7" s="10" t="str">
        <f t="shared" si="13"/>
        <v>INSERT INTO MIG_MIGRAMDEPARA ( NRMIGRAMDEPARA, NMTABELADBF, NRORG, NRPARA, NRDE ) VALUES ( 5, 'EVENTO', 4385, 44, '008' ); COMMIT;</v>
      </c>
      <c r="Q7" s="38" t="str">
        <f t="shared" si="14"/>
        <v>INSERT INTO MIG_MIGRAMDEPARA ( NRMIGRAMDEPARA, NMTABELADBF, NRORG, NRPARA, NRDE ) VALUES ( 5, 'EVENTO', 4385, 44, '008' ); COMMIT;</v>
      </c>
      <c r="Z7" s="30" t="str">
        <f ca="1"/>
        <v>não existe</v>
      </c>
      <c r="AB7" s="30">
        <f ca="1"/>
        <v>44</v>
      </c>
      <c r="AC7" s="52" t="str">
        <f ca="1"/>
        <v xml:space="preserve">  - 50</v>
      </c>
      <c r="AD7" s="34">
        <f ca="1"/>
        <v>44</v>
      </c>
      <c r="AE7" s="34" t="str">
        <f ca="1"/>
        <v>008</v>
      </c>
      <c r="AF7" s="34" t="str">
        <f ca="1"/>
        <v>não existe</v>
      </c>
      <c r="AG7" s="30" t="str">
        <f ca="1"/>
        <v>PROVENTO</v>
      </c>
      <c r="AH7" s="30" t="str">
        <f ca="1"/>
        <v/>
      </c>
      <c r="AI7" s="30" t="str">
        <f ca="1"/>
        <v>diferente</v>
      </c>
      <c r="AJ7" s="30" t="str">
        <f ca="1"/>
        <v>Adicional Noturno 40%</v>
      </c>
      <c r="AK7" s="30" t="str">
        <f ca="1"/>
        <v/>
      </c>
      <c r="AL7" s="30" t="str">
        <f ca="1"/>
        <v>diferente</v>
      </c>
      <c r="AM7" s="39" t="str">
        <f ca="1"/>
        <v>43;010;não existe;PROVENTO;;diferente;Adicional Noturno 35%;;diferente</v>
      </c>
      <c r="AO7" s="24" t="s">
        <v>70</v>
      </c>
      <c r="AP7" s="25">
        <f ca="1">MAX(OFFSET($A$1,2,MATCH(AP$3,$1:$1,0)-1,1048574,1))</f>
        <v>100073313</v>
      </c>
      <c r="AQ7" s="25">
        <f ca="1">MAX(OFFSET($A$1,2,MATCH(AQ$3,$1:$1,0)-1,1048574,1))</f>
        <v>100072813</v>
      </c>
      <c r="AR7" s="25">
        <f ca="1">MAX(OFFSET($A$1,2,MATCH(AR$3,$1:$1,0)-1,1048574,1))</f>
        <v>9</v>
      </c>
      <c r="AS7" s="24" t="s">
        <v>70</v>
      </c>
      <c r="AT7" s="17">
        <f t="shared" ca="1" si="7"/>
        <v>100073313</v>
      </c>
      <c r="AU7" s="17">
        <f t="shared" ca="1" si="7"/>
        <v>100072813</v>
      </c>
      <c r="AV7" s="17">
        <f t="shared" ca="1" si="7"/>
        <v>9</v>
      </c>
    </row>
    <row r="8" spans="1:48" x14ac:dyDescent="0.25">
      <c r="A8" s="55">
        <v>36526</v>
      </c>
      <c r="B8" s="56" t="s">
        <v>49</v>
      </c>
      <c r="C8" s="55">
        <v>36526</v>
      </c>
      <c r="D8" s="56" t="s">
        <v>71</v>
      </c>
      <c r="E8" s="56">
        <v>41</v>
      </c>
      <c r="F8" s="57" t="s">
        <v>72</v>
      </c>
      <c r="G8" s="13"/>
      <c r="H8" s="14" t="b">
        <f t="shared" si="8"/>
        <v>0</v>
      </c>
      <c r="I8" s="10">
        <f t="shared" si="1"/>
        <v>6</v>
      </c>
      <c r="J8" s="10" t="str">
        <f>IF($H8,LARGE(J$2:J7,1)+1,"")</f>
        <v/>
      </c>
      <c r="K8" s="10" t="str">
        <f>IF($H8,LARGE(K$2:K7,1)+1,"")</f>
        <v/>
      </c>
      <c r="L8" s="15">
        <f t="shared" si="9"/>
        <v>41</v>
      </c>
      <c r="M8" s="10" t="str">
        <f t="shared" si="10"/>
        <v>01/01/2000</v>
      </c>
      <c r="N8" s="10" t="str">
        <f t="shared" si="11"/>
        <v>01/01/2000</v>
      </c>
      <c r="O8" s="10" t="str">
        <f t="shared" si="12"/>
        <v/>
      </c>
      <c r="P8" s="10" t="str">
        <f t="shared" si="13"/>
        <v>INSERT INTO MIG_MIGRAMDEPARA ( NRMIGRAMDEPARA, NMTABELADBF, NRORG, NRPARA, NRDE ) VALUES ( 6, 'EVENTO', 4385, 41, '009' ); COMMIT;</v>
      </c>
      <c r="Q8" s="38" t="str">
        <f t="shared" si="14"/>
        <v>INSERT INTO MIG_MIGRAMDEPARA ( NRMIGRAMDEPARA, NMTABELADBF, NRORG, NRPARA, NRDE ) VALUES ( 6, 'EVENTO', 4385, 41, '009' ); COMMIT;</v>
      </c>
      <c r="Z8" s="30" t="str">
        <f ca="1"/>
        <v>não existe</v>
      </c>
      <c r="AB8" s="30">
        <f ca="1"/>
        <v>41</v>
      </c>
      <c r="AC8" s="52" t="str">
        <f ca="1"/>
        <v xml:space="preserve">  - 60</v>
      </c>
      <c r="AD8" s="34">
        <f ca="1"/>
        <v>50</v>
      </c>
      <c r="AE8" s="34" t="str">
        <f ca="1"/>
        <v>011</v>
      </c>
      <c r="AF8" s="34" t="str">
        <f ca="1"/>
        <v>não existe</v>
      </c>
      <c r="AG8" s="30" t="str">
        <f ca="1"/>
        <v>PROVENTO</v>
      </c>
      <c r="AH8" s="30" t="str">
        <f ca="1"/>
        <v/>
      </c>
      <c r="AI8" s="30" t="str">
        <f ca="1"/>
        <v>diferente</v>
      </c>
      <c r="AJ8" s="30" t="str">
        <f ca="1"/>
        <v>Adicional Insalubridade</v>
      </c>
      <c r="AK8" s="30" t="str">
        <f ca="1"/>
        <v/>
      </c>
      <c r="AL8" s="30" t="str">
        <f ca="1"/>
        <v>diferente</v>
      </c>
      <c r="AM8" s="39" t="str">
        <f ca="1"/>
        <v>44;008;não existe;PROVENTO;;diferente;Adicional Noturno 40%;;diferente</v>
      </c>
      <c r="AO8" s="24" t="s">
        <v>73</v>
      </c>
      <c r="AP8" s="25">
        <f ca="1">AP7-AP6+1</f>
        <v>1</v>
      </c>
      <c r="AQ8" s="25">
        <f ca="1">AQ7-AQ6+1</f>
        <v>1</v>
      </c>
      <c r="AR8" s="25">
        <f ca="1">AR7-AR6+1</f>
        <v>9</v>
      </c>
      <c r="AS8" s="24"/>
      <c r="AT8" s="17"/>
      <c r="AU8" s="17"/>
      <c r="AV8" s="17"/>
    </row>
    <row r="9" spans="1:48" x14ac:dyDescent="0.25">
      <c r="A9" s="55">
        <v>36526</v>
      </c>
      <c r="B9" s="56" t="s">
        <v>49</v>
      </c>
      <c r="C9" s="55">
        <v>36526</v>
      </c>
      <c r="D9" s="56" t="s">
        <v>74</v>
      </c>
      <c r="E9" s="56">
        <v>43</v>
      </c>
      <c r="F9" s="57" t="s">
        <v>75</v>
      </c>
      <c r="G9" s="13"/>
      <c r="H9" s="14" t="b">
        <f t="shared" si="8"/>
        <v>0</v>
      </c>
      <c r="I9" s="10">
        <f t="shared" si="1"/>
        <v>7</v>
      </c>
      <c r="J9" s="10" t="str">
        <f>IF($H9,LARGE(J$2:J8,1)+1,"")</f>
        <v/>
      </c>
      <c r="K9" s="10" t="str">
        <f>IF($H9,LARGE(K$2:K8,1)+1,"")</f>
        <v/>
      </c>
      <c r="L9" s="15">
        <f t="shared" si="9"/>
        <v>43</v>
      </c>
      <c r="M9" s="10" t="str">
        <f t="shared" si="10"/>
        <v>01/01/2000</v>
      </c>
      <c r="N9" s="10" t="str">
        <f t="shared" si="11"/>
        <v>01/01/2000</v>
      </c>
      <c r="O9" s="10" t="str">
        <f t="shared" si="12"/>
        <v/>
      </c>
      <c r="P9" s="10" t="str">
        <f t="shared" si="13"/>
        <v>INSERT INTO MIG_MIGRAMDEPARA ( NRMIGRAMDEPARA, NMTABELADBF, NRORG, NRPARA, NRDE ) VALUES ( 7, 'EVENTO', 4385, 43, '010' ); COMMIT;</v>
      </c>
      <c r="Q9" s="38" t="str">
        <f t="shared" si="14"/>
        <v>INSERT INTO MIG_MIGRAMDEPARA ( NRMIGRAMDEPARA, NMTABELADBF, NRORG, NRPARA, NRDE ) VALUES ( 7, 'EVENTO', 4385, 43, '010' ); COMMIT;</v>
      </c>
      <c r="Z9" s="30" t="str">
        <f ca="1"/>
        <v>não existe</v>
      </c>
      <c r="AB9" s="30">
        <f ca="1"/>
        <v>43</v>
      </c>
      <c r="AC9" s="52" t="str">
        <f ca="1"/>
        <v xml:space="preserve">  - 820</v>
      </c>
      <c r="AD9" s="34">
        <f ca="1"/>
        <v>60</v>
      </c>
      <c r="AE9" s="34" t="str">
        <f ca="1"/>
        <v>012</v>
      </c>
      <c r="AF9" s="34" t="str">
        <f ca="1"/>
        <v>não existe</v>
      </c>
      <c r="AG9" s="30" t="str">
        <f ca="1"/>
        <v>PROVENTO</v>
      </c>
      <c r="AH9" s="30" t="str">
        <f ca="1"/>
        <v/>
      </c>
      <c r="AI9" s="30" t="str">
        <f ca="1"/>
        <v>diferente</v>
      </c>
      <c r="AJ9" s="30" t="str">
        <f ca="1"/>
        <v>Adicional Periculosidade</v>
      </c>
      <c r="AK9" s="30" t="str">
        <f ca="1"/>
        <v/>
      </c>
      <c r="AL9" s="30" t="str">
        <f ca="1"/>
        <v>diferente</v>
      </c>
      <c r="AM9" s="39" t="str">
        <f ca="1"/>
        <v>50;011;não existe;PROVENTO;;diferente;Adicional Insalubridade;;diferente</v>
      </c>
      <c r="AO9" s="24" t="s">
        <v>76</v>
      </c>
      <c r="AP9" s="19">
        <v>0</v>
      </c>
      <c r="AQ9" s="19">
        <v>0</v>
      </c>
      <c r="AR9" s="25">
        <f ca="1">OFFSET($A$1,1,MATCH($AO9,$1:$1,0)-1)</f>
        <v>4385</v>
      </c>
      <c r="AS9" s="24" t="s">
        <v>76</v>
      </c>
      <c r="AT9" s="19">
        <v>0</v>
      </c>
      <c r="AU9" s="19">
        <v>0</v>
      </c>
      <c r="AV9" s="17">
        <f ca="1">AR9</f>
        <v>4385</v>
      </c>
    </row>
    <row r="10" spans="1:48" x14ac:dyDescent="0.25">
      <c r="A10" s="55">
        <v>36526</v>
      </c>
      <c r="B10" s="56" t="s">
        <v>49</v>
      </c>
      <c r="C10" s="55">
        <v>36526</v>
      </c>
      <c r="D10" s="56" t="s">
        <v>77</v>
      </c>
      <c r="E10" s="56">
        <v>50</v>
      </c>
      <c r="F10" s="57" t="s">
        <v>78</v>
      </c>
      <c r="G10" s="13"/>
      <c r="H10" s="14" t="b">
        <f t="shared" ref="H10:H11" si="15">E10=""</f>
        <v>0</v>
      </c>
      <c r="I10" s="10">
        <f t="shared" si="1"/>
        <v>8</v>
      </c>
      <c r="J10" s="10" t="str">
        <f>IF($H10,LARGE(J$2:J9,1)+1,"")</f>
        <v/>
      </c>
      <c r="K10" s="10" t="str">
        <f>IF($H10,LARGE(K$2:K9,1)+1,"")</f>
        <v/>
      </c>
      <c r="L10" s="15">
        <f t="shared" ref="L10:L11" si="16">IF(H10,J10,E10)</f>
        <v>50</v>
      </c>
      <c r="M10" s="10" t="str">
        <f t="shared" ref="M10:M11" si="17">TEXT(A10,"DD/MM/AAAA")</f>
        <v>01/01/2000</v>
      </c>
      <c r="N10" s="10" t="str">
        <f t="shared" ref="N10:N11" si="18">TEXT(C10,"DD/MM/AAAA")</f>
        <v>01/01/2000</v>
      </c>
      <c r="O10" s="10" t="str">
        <f t="shared" ref="O10:O11" si="19">IF($H10,SUBSTITUTE(SUBSTITUTE(SUBSTITUTE(SUBSTITUTE(SUBSTITUTE(SUBSTITUTE(SUBSTITUTE(SUBSTITUTE($O$2,"@NRORG@",$G$2),$J$1,J10),$M$1,M10),$B$1,B10),$K$1,K10),$N$1,N10),$F$1,F10),$D$1,D10),"")</f>
        <v/>
      </c>
      <c r="P10" s="10" t="str">
        <f t="shared" ref="P10:P11" si="20">SUBSTITUTE(SUBSTITUTE(SUBSTITUTE(SUBSTITUTE($P$2,"@NRORG@",$G$2),$I$1,I10),$L$1,L10),$F$1,F10)</f>
        <v>INSERT INTO MIG_MIGRAMDEPARA ( NRMIGRAMDEPARA, NMTABELADBF, NRORG, NRPARA, NRDE ) VALUES ( 8, 'EVENTO', 4385, 50, '011' ); COMMIT;</v>
      </c>
      <c r="Q10" s="38" t="str">
        <f t="shared" ref="Q10:Q11" si="21" xml:space="preserve"> IF( O10 = "", P10, O10 &amp; " " &amp; P10 )</f>
        <v>INSERT INTO MIG_MIGRAMDEPARA ( NRMIGRAMDEPARA, NMTABELADBF, NRORG, NRPARA, NRDE ) VALUES ( 8, 'EVENTO', 4385, 50, '011' ); COMMIT;</v>
      </c>
      <c r="Z10" s="30" t="str">
        <f ca="1"/>
        <v>não existe</v>
      </c>
      <c r="AB10" s="30">
        <f ca="1"/>
        <v>50</v>
      </c>
      <c r="AC10" s="52" t="str">
        <f ca="1"/>
        <v xml:space="preserve">  - </v>
      </c>
      <c r="AD10" s="34">
        <f ca="1"/>
        <v>820</v>
      </c>
      <c r="AE10" s="34" t="str">
        <f ca="1"/>
        <v>007</v>
      </c>
      <c r="AF10" s="34" t="str">
        <f ca="1"/>
        <v>não existe</v>
      </c>
      <c r="AG10" s="30" t="str">
        <f ca="1"/>
        <v>PROVENTO</v>
      </c>
      <c r="AH10" s="30" t="str">
        <f ca="1"/>
        <v/>
      </c>
      <c r="AI10" s="30" t="str">
        <f ca="1"/>
        <v>diferente</v>
      </c>
      <c r="AJ10" s="30" t="str">
        <f ca="1"/>
        <v>Anuenio</v>
      </c>
      <c r="AK10" s="30" t="str">
        <f ca="1"/>
        <v/>
      </c>
      <c r="AL10" s="30" t="str">
        <f ca="1"/>
        <v>diferente</v>
      </c>
      <c r="AM10" s="39" t="str">
        <f ca="1"/>
        <v>60;012;não existe;PROVENTO;;diferente;Adicional Periculosidade;;diferente</v>
      </c>
    </row>
    <row r="11" spans="1:48" x14ac:dyDescent="0.25">
      <c r="A11" s="55">
        <v>36526</v>
      </c>
      <c r="B11" s="56" t="s">
        <v>49</v>
      </c>
      <c r="C11" s="55">
        <v>36526</v>
      </c>
      <c r="D11" s="56" t="s">
        <v>79</v>
      </c>
      <c r="E11" s="56">
        <v>60</v>
      </c>
      <c r="F11" s="57" t="s">
        <v>80</v>
      </c>
      <c r="G11" s="13"/>
      <c r="H11" s="14" t="b">
        <f t="shared" si="15"/>
        <v>0</v>
      </c>
      <c r="I11" s="10">
        <f t="shared" si="1"/>
        <v>9</v>
      </c>
      <c r="J11" s="10" t="str">
        <f>IF($H11,LARGE(J$2:J10,1)+1,"")</f>
        <v/>
      </c>
      <c r="K11" s="10" t="str">
        <f>IF($H11,LARGE(K$2:K10,1)+1,"")</f>
        <v/>
      </c>
      <c r="L11" s="15">
        <f t="shared" si="16"/>
        <v>60</v>
      </c>
      <c r="M11" s="10" t="str">
        <f t="shared" si="17"/>
        <v>01/01/2000</v>
      </c>
      <c r="N11" s="10" t="str">
        <f t="shared" si="18"/>
        <v>01/01/2000</v>
      </c>
      <c r="O11" s="10" t="str">
        <f t="shared" si="19"/>
        <v/>
      </c>
      <c r="P11" s="10" t="str">
        <f t="shared" si="20"/>
        <v>INSERT INTO MIG_MIGRAMDEPARA ( NRMIGRAMDEPARA, NMTABELADBF, NRORG, NRPARA, NRDE ) VALUES ( 9, 'EVENTO', 4385, 60, '012' ); COMMIT;</v>
      </c>
      <c r="Q11" s="38" t="str">
        <f t="shared" si="21"/>
        <v>INSERT INTO MIG_MIGRAMDEPARA ( NRMIGRAMDEPARA, NMTABELADBF, NRORG, NRPARA, NRDE ) VALUES ( 9, 'EVENTO', 4385, 60, '012' ); COMMIT;</v>
      </c>
      <c r="Z11" s="30" t="str">
        <f ca="1"/>
        <v>não existe</v>
      </c>
      <c r="AB11" s="30">
        <f ca="1"/>
        <v>60</v>
      </c>
      <c r="AD11" s="34">
        <f ca="1"/>
        <v>0</v>
      </c>
      <c r="AE11" s="34" t="str">
        <f ca="1"/>
        <v/>
      </c>
      <c r="AF11" s="34" t="str">
        <f ca="1"/>
        <v>não existe</v>
      </c>
      <c r="AG11" s="30" t="str">
        <f ca="1"/>
        <v/>
      </c>
      <c r="AH11" s="30" t="str">
        <f ca="1"/>
        <v/>
      </c>
      <c r="AI11" s="30" t="str">
        <f ca="1"/>
        <v/>
      </c>
      <c r="AJ11" s="30" t="str">
        <f ca="1"/>
        <v/>
      </c>
      <c r="AK11" s="30" t="str">
        <f ca="1"/>
        <v/>
      </c>
      <c r="AL11" s="30" t="str">
        <f ca="1"/>
        <v/>
      </c>
      <c r="AM11" s="39" t="str">
        <f ca="1"/>
        <v>820;007;não existe;PROVENTO;;diferente;Anuenio;;diferente</v>
      </c>
    </row>
  </sheetData>
  <autoFilter ref="A2:F11" xr:uid="{00000000-0009-0000-0000-000000000000}"/>
  <conditionalFormatting sqref="F3:F9">
    <cfRule type="duplicateValues" dxfId="0" priority="3"/>
  </conditionalFormatting>
  <pageMargins left="0.78749999999999998" right="0.78749999999999998" top="1.05277777777778" bottom="1.05277777777778" header="0.78749999999999998" footer="0.78749999999999998"/>
  <pageSetup paperSize="9" fitToHeight="0"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520DE-0640-4A98-9076-7AEE86D33B0B}">
  <dimension ref="A1:G5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12.5703125" style="45" bestFit="1" customWidth="1"/>
    <col min="2" max="2" width="14.28515625" style="45" bestFit="1" customWidth="1"/>
    <col min="3" max="3" width="43.42578125" style="45" customWidth="1"/>
    <col min="4" max="4" width="63.140625" style="26" customWidth="1"/>
    <col min="5" max="6" width="9.140625" style="45"/>
    <col min="7" max="7" width="19.7109375" style="26" bestFit="1" customWidth="1"/>
    <col min="8" max="16384" width="9.140625" style="26"/>
  </cols>
  <sheetData>
    <row r="1" spans="1:7" ht="169.5" x14ac:dyDescent="0.25">
      <c r="A1" s="46" t="s">
        <v>62</v>
      </c>
      <c r="B1" s="46" t="s">
        <v>81</v>
      </c>
      <c r="C1" s="46" t="s">
        <v>82</v>
      </c>
      <c r="D1" s="49" t="s">
        <v>83</v>
      </c>
      <c r="E1" s="46" t="s">
        <v>84</v>
      </c>
      <c r="F1" s="46" t="s">
        <v>85</v>
      </c>
      <c r="G1" s="49" t="s">
        <v>86</v>
      </c>
    </row>
    <row r="2" spans="1:7" x14ac:dyDescent="0.25">
      <c r="A2" s="45" t="s">
        <v>87</v>
      </c>
      <c r="B2" s="45" t="s">
        <v>49</v>
      </c>
      <c r="C2" s="45" t="s">
        <v>50</v>
      </c>
    </row>
    <row r="3" spans="1:7" x14ac:dyDescent="0.25">
      <c r="A3" s="45" t="s">
        <v>88</v>
      </c>
      <c r="B3" s="45" t="s">
        <v>49</v>
      </c>
      <c r="C3" s="45" t="s">
        <v>89</v>
      </c>
    </row>
    <row r="4" spans="1:7" x14ac:dyDescent="0.25">
      <c r="A4" s="45" t="s">
        <v>90</v>
      </c>
      <c r="B4" s="45" t="s">
        <v>49</v>
      </c>
      <c r="C4" s="45" t="s">
        <v>91</v>
      </c>
    </row>
    <row r="5" spans="1:7" x14ac:dyDescent="0.25">
      <c r="A5" s="45" t="s">
        <v>92</v>
      </c>
      <c r="B5" s="45" t="s">
        <v>49</v>
      </c>
      <c r="C5" s="45" t="s">
        <v>93</v>
      </c>
    </row>
  </sheetData>
  <autoFilter ref="A1:C3" xr:uid="{62B520DE-0640-4A98-9076-7AEE86D33B0B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Pickbrenner</dc:creator>
  <cp:keywords/>
  <dc:description/>
  <cp:lastModifiedBy>Rafael Pickbrenner</cp:lastModifiedBy>
  <cp:revision>4</cp:revision>
  <dcterms:created xsi:type="dcterms:W3CDTF">2023-03-09T19:23:27Z</dcterms:created>
  <dcterms:modified xsi:type="dcterms:W3CDTF">2026-03-30T14:35:30Z</dcterms:modified>
  <cp:category/>
  <cp:contentStatus/>
</cp:coreProperties>
</file>