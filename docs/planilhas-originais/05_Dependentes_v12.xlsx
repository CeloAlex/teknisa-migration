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687" documentId="8_{2A0729C2-D40E-445F-B118-C8D57ACD0D75}" xr6:coauthVersionLast="47" xr6:coauthVersionMax="47" xr10:uidLastSave="{DF6A7898-4FDD-443B-8BB0-A0FE34EA5C65}"/>
  <bookViews>
    <workbookView xWindow="-108" yWindow="-108" windowWidth="23256" windowHeight="12456" xr2:uid="{641E27F1-8A8F-4014-BE4A-914AAAED80F2}"/>
  </bookViews>
  <sheets>
    <sheet name="Dados" sheetId="1" r:id="rId1"/>
    <sheet name="Base" sheetId="2" r:id="rId2"/>
  </sheets>
  <definedNames>
    <definedName name="_xlnm._FilterDatabase" localSheetId="1" hidden="1">Base!$A$1:$D$1</definedName>
    <definedName name="_xlnm._FilterDatabase" localSheetId="0" hidden="1">Dados!$A$2:$J$2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9" i="1" l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2" i="1"/>
  <c r="M19" i="1" l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Z19" i="1" l="1"/>
  <c r="Y19" i="1"/>
  <c r="X19" i="1"/>
  <c r="W19" i="1"/>
  <c r="V19" i="1"/>
  <c r="O19" i="1"/>
  <c r="Z18" i="1"/>
  <c r="Y18" i="1"/>
  <c r="X18" i="1"/>
  <c r="W18" i="1"/>
  <c r="V18" i="1"/>
  <c r="O18" i="1"/>
  <c r="Z17" i="1"/>
  <c r="Y17" i="1"/>
  <c r="X17" i="1"/>
  <c r="W17" i="1"/>
  <c r="V17" i="1"/>
  <c r="O17" i="1"/>
  <c r="Z16" i="1"/>
  <c r="Y16" i="1"/>
  <c r="X16" i="1"/>
  <c r="W16" i="1"/>
  <c r="V16" i="1"/>
  <c r="O16" i="1"/>
  <c r="Z15" i="1"/>
  <c r="Y15" i="1"/>
  <c r="X15" i="1"/>
  <c r="W15" i="1"/>
  <c r="V15" i="1"/>
  <c r="O15" i="1"/>
  <c r="Z14" i="1"/>
  <c r="Y14" i="1"/>
  <c r="X14" i="1"/>
  <c r="W14" i="1"/>
  <c r="V14" i="1"/>
  <c r="O14" i="1"/>
  <c r="V13" i="1" l="1"/>
  <c r="V12" i="1"/>
  <c r="V11" i="1"/>
  <c r="V10" i="1"/>
  <c r="V9" i="1"/>
  <c r="V8" i="1"/>
  <c r="V7" i="1"/>
  <c r="V6" i="1"/>
  <c r="V5" i="1"/>
  <c r="V4" i="1"/>
  <c r="V3" i="1"/>
  <c r="AU5" i="1"/>
  <c r="AU4" i="1"/>
  <c r="AU3" i="1"/>
  <c r="AT5" i="1"/>
  <c r="AT4" i="1"/>
  <c r="AT3" i="1"/>
  <c r="AS5" i="1"/>
  <c r="AS4" i="1"/>
  <c r="AS3" i="1"/>
  <c r="AR5" i="1"/>
  <c r="AR4" i="1"/>
  <c r="AR3" i="1"/>
  <c r="AQ5" i="1"/>
  <c r="AQ4" i="1"/>
  <c r="AQ3" i="1"/>
  <c r="AO6" i="1"/>
  <c r="AN6" i="1"/>
  <c r="AM6" i="1"/>
  <c r="AL6" i="1"/>
  <c r="AK6" i="1"/>
  <c r="AK11" i="1"/>
  <c r="AL11" i="1" s="1"/>
  <c r="AM11" i="1" s="1"/>
  <c r="AN11" i="1" s="1"/>
  <c r="AT11" i="1" s="1"/>
  <c r="AZ11" i="1" s="1"/>
  <c r="AK7" i="1"/>
  <c r="AL7" i="1" s="1"/>
  <c r="AM7" i="1" s="1"/>
  <c r="AN7" i="1" s="1"/>
  <c r="AO7" i="1" s="1"/>
  <c r="AS11" i="1" l="1"/>
  <c r="AY11" i="1" s="1"/>
  <c r="AR11" i="1"/>
  <c r="AX11" i="1" s="1"/>
  <c r="AQ11" i="1"/>
  <c r="AW11" i="1" s="1"/>
  <c r="AO11" i="1"/>
  <c r="AU11" i="1" s="1"/>
  <c r="BA11" i="1" s="1"/>
  <c r="AE1" i="1" l="1"/>
  <c r="Z13" i="1"/>
  <c r="Y13" i="1"/>
  <c r="X13" i="1"/>
  <c r="W13" i="1"/>
  <c r="O13" i="1"/>
  <c r="Z12" i="1"/>
  <c r="Y12" i="1"/>
  <c r="X12" i="1"/>
  <c r="W12" i="1"/>
  <c r="O12" i="1"/>
  <c r="Z11" i="1"/>
  <c r="Y11" i="1"/>
  <c r="X11" i="1"/>
  <c r="W11" i="1"/>
  <c r="O11" i="1"/>
  <c r="AD1" i="1"/>
  <c r="AF3" i="1" a="1"/>
  <c r="AF3" i="1" l="1"/>
  <c r="AG3" i="1" l="1" a="1"/>
  <c r="AG3" i="1" s="1"/>
  <c r="AG2" i="1" s="1"/>
  <c r="S3" i="1"/>
  <c r="Q3" i="1"/>
  <c r="R3" i="1"/>
  <c r="P3" i="1"/>
  <c r="Y10" i="1" l="1"/>
  <c r="Y9" i="1"/>
  <c r="Y8" i="1"/>
  <c r="Y7" i="1"/>
  <c r="Y6" i="1"/>
  <c r="Y5" i="1"/>
  <c r="Y4" i="1"/>
  <c r="Y3" i="1"/>
  <c r="O10" i="1"/>
  <c r="O9" i="1"/>
  <c r="O8" i="1"/>
  <c r="O7" i="1"/>
  <c r="O6" i="1"/>
  <c r="O5" i="1"/>
  <c r="O4" i="1"/>
  <c r="O3" i="1"/>
  <c r="T3" i="1" s="1"/>
  <c r="X10" i="1"/>
  <c r="X9" i="1"/>
  <c r="X8" i="1"/>
  <c r="X7" i="1"/>
  <c r="X6" i="1"/>
  <c r="X5" i="1"/>
  <c r="X4" i="1"/>
  <c r="X3" i="1"/>
  <c r="Z10" i="1"/>
  <c r="W10" i="1"/>
  <c r="BA5" i="1"/>
  <c r="AZ5" i="1"/>
  <c r="AY5" i="1"/>
  <c r="AX5" i="1"/>
  <c r="BA4" i="1"/>
  <c r="AZ4" i="1"/>
  <c r="AY4" i="1"/>
  <c r="AX4" i="1"/>
  <c r="AW5" i="1"/>
  <c r="AW4" i="1"/>
  <c r="T4" i="1" l="1"/>
  <c r="T5" i="1" l="1"/>
  <c r="T6" i="1" l="1"/>
  <c r="Z9" i="1"/>
  <c r="W9" i="1"/>
  <c r="Z8" i="1"/>
  <c r="W8" i="1"/>
  <c r="Z7" i="1"/>
  <c r="W7" i="1"/>
  <c r="Z6" i="1"/>
  <c r="W6" i="1"/>
  <c r="Z5" i="1"/>
  <c r="W5" i="1"/>
  <c r="Z4" i="1"/>
  <c r="W4" i="1"/>
  <c r="Z3" i="1"/>
  <c r="W3" i="1"/>
  <c r="N14" i="1" l="1"/>
  <c r="N18" i="1"/>
  <c r="N17" i="1"/>
  <c r="N19" i="1"/>
  <c r="N16" i="1"/>
  <c r="N15" i="1"/>
  <c r="AA3" i="1"/>
  <c r="AC3" i="1" s="1"/>
  <c r="AB3" i="1"/>
  <c r="T7" i="1"/>
  <c r="N12" i="1"/>
  <c r="N13" i="1"/>
  <c r="N11" i="1"/>
  <c r="N6" i="1"/>
  <c r="N5" i="1"/>
  <c r="N9" i="1"/>
  <c r="N7" i="1"/>
  <c r="N4" i="1"/>
  <c r="N10" i="1"/>
  <c r="N8" i="1"/>
  <c r="T8" i="1" l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P4" i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Q4" i="1"/>
  <c r="Q5" i="1" l="1"/>
  <c r="AB4" i="1"/>
  <c r="P5" i="1"/>
  <c r="AA4" i="1"/>
  <c r="AC4" i="1" s="1"/>
  <c r="T9" i="1"/>
  <c r="T10" i="1" l="1"/>
  <c r="P6" i="1"/>
  <c r="AA5" i="1"/>
  <c r="Q6" i="1"/>
  <c r="AB5" i="1"/>
  <c r="AC5" i="1" l="1"/>
  <c r="Q7" i="1"/>
  <c r="AB6" i="1"/>
  <c r="P7" i="1"/>
  <c r="AA6" i="1"/>
  <c r="AC6" i="1" s="1"/>
  <c r="T11" i="1"/>
  <c r="P8" i="1" l="1"/>
  <c r="AA7" i="1"/>
  <c r="T12" i="1"/>
  <c r="Q8" i="1"/>
  <c r="AB7" i="1"/>
  <c r="AC7" i="1" l="1"/>
  <c r="T13" i="1"/>
  <c r="T14" i="1" s="1"/>
  <c r="Q9" i="1"/>
  <c r="AB8" i="1"/>
  <c r="P9" i="1"/>
  <c r="AA8" i="1"/>
  <c r="AC8" i="1" s="1"/>
  <c r="T15" i="1" l="1"/>
  <c r="P10" i="1"/>
  <c r="AA9" i="1"/>
  <c r="Q10" i="1"/>
  <c r="AB9" i="1"/>
  <c r="T16" i="1" l="1"/>
  <c r="AC9" i="1"/>
  <c r="Q11" i="1"/>
  <c r="AB10" i="1"/>
  <c r="P11" i="1"/>
  <c r="AA10" i="1"/>
  <c r="AC10" i="1" s="1"/>
  <c r="T17" i="1" l="1"/>
  <c r="AA11" i="1"/>
  <c r="P12" i="1"/>
  <c r="Q12" i="1"/>
  <c r="AB11" i="1"/>
  <c r="T18" i="1" l="1"/>
  <c r="AC11" i="1"/>
  <c r="Q13" i="1"/>
  <c r="Q14" i="1" s="1"/>
  <c r="AB12" i="1"/>
  <c r="AA12" i="1"/>
  <c r="AC12" i="1" s="1"/>
  <c r="P13" i="1"/>
  <c r="P14" i="1" s="1"/>
  <c r="AA14" i="1" l="1"/>
  <c r="AC14" i="1" s="1"/>
  <c r="P15" i="1"/>
  <c r="Q15" i="1"/>
  <c r="AB14" i="1"/>
  <c r="T19" i="1"/>
  <c r="AA13" i="1"/>
  <c r="AB13" i="1"/>
  <c r="Q16" i="1" l="1"/>
  <c r="AB15" i="1"/>
  <c r="AA15" i="1"/>
  <c r="P16" i="1"/>
  <c r="AC13" i="1"/>
  <c r="AM9" i="1"/>
  <c r="AS9" i="1" s="1"/>
  <c r="AN9" i="1"/>
  <c r="AT9" i="1" s="1"/>
  <c r="AN8" i="1"/>
  <c r="AT8" i="1" s="1"/>
  <c r="AM8" i="1"/>
  <c r="AS8" i="1" s="1"/>
  <c r="AC15" i="1" l="1"/>
  <c r="Q17" i="1"/>
  <c r="AB16" i="1"/>
  <c r="AA16" i="1"/>
  <c r="AC16" i="1" s="1"/>
  <c r="P17" i="1"/>
  <c r="AS2" i="1"/>
  <c r="AT2" i="1"/>
  <c r="AN10" i="1"/>
  <c r="AN2" i="1" s="1"/>
  <c r="AM10" i="1"/>
  <c r="AM2" i="1" s="1"/>
  <c r="AA17" i="1" l="1"/>
  <c r="P18" i="1"/>
  <c r="Q18" i="1"/>
  <c r="AB17" i="1"/>
  <c r="AY2" i="1"/>
  <c r="AC17" i="1" l="1"/>
  <c r="Q19" i="1"/>
  <c r="AB18" i="1"/>
  <c r="AA18" i="1"/>
  <c r="AC18" i="1" s="1"/>
  <c r="P19" i="1"/>
  <c r="AZ2" i="1"/>
  <c r="AA19" i="1" l="1"/>
  <c r="AB19" i="1"/>
  <c r="AC19" i="1" l="1"/>
  <c r="AO9" i="1" l="1"/>
  <c r="AO8" i="1"/>
  <c r="AU8" i="1" s="1"/>
  <c r="AU9" i="1" l="1"/>
  <c r="BA2" i="1" s="1"/>
  <c r="AO10" i="1"/>
  <c r="AO2" i="1" s="1"/>
  <c r="AU2" i="1" l="1"/>
  <c r="AL8" i="1" l="1"/>
  <c r="AR8" i="1" s="1"/>
  <c r="AL9" i="1"/>
  <c r="AK8" i="1"/>
  <c r="AQ8" i="1" s="1"/>
  <c r="AK9" i="1"/>
  <c r="AQ9" i="1" l="1"/>
  <c r="AW2" i="1" s="1"/>
  <c r="AK10" i="1"/>
  <c r="AK2" i="1" s="1"/>
  <c r="AL10" i="1"/>
  <c r="AL2" i="1" s="1"/>
  <c r="AR9" i="1"/>
  <c r="AX2" i="1" s="1"/>
  <c r="AQ2" i="1" l="1"/>
  <c r="A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Pickbrenner</author>
  </authors>
  <commentList>
    <comment ref="AA1" authorId="0" shapeId="0" xr:uid="{338576CB-0692-464E-A40B-0D956A312A9E}">
      <text>
        <r>
          <rPr>
            <sz val="9"/>
            <color indexed="81"/>
            <rFont val="Segoe UI"/>
            <family val="2"/>
          </rPr>
          <t>Verificar se o número informado é a matrícula ou o número do vínculo.</t>
        </r>
      </text>
    </comment>
    <comment ref="AB1" authorId="0" shapeId="0" xr:uid="{7C601BE8-2907-495B-A670-77BA85D0BF66}">
      <text>
        <r>
          <rPr>
            <sz val="9"/>
            <color indexed="81"/>
            <rFont val="Segoe UI"/>
            <family val="2"/>
          </rPr>
          <t>Verificar se o número informado é a matrícula ou o número do vínculo.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<sst xmlns="http://schemas.openxmlformats.org/spreadsheetml/2006/main" count="177" uniqueCount="136">
  <si>
    <t>Tipo de relacionamento</t>
  </si>
  <si>
    <t>Nr Vinculo</t>
  </si>
  <si>
    <t>Competência</t>
  </si>
  <si>
    <t>Nome Dependente</t>
  </si>
  <si>
    <t>CPF</t>
  </si>
  <si>
    <t>RG</t>
  </si>
  <si>
    <t>UF</t>
  </si>
  <si>
    <t>Nascimento Dep</t>
  </si>
  <si>
    <t>Sexo</t>
  </si>
  <si>
    <t>Tipo de dependência</t>
  </si>
  <si>
    <t>M</t>
  </si>
  <si>
    <t>@NRTIPORELACIONA@</t>
  </si>
  <si>
    <t>→</t>
  </si>
  <si>
    <t>@NOME@</t>
  </si>
  <si>
    <t>@SGESTADO@</t>
  </si>
  <si>
    <t>@IDSEXOPESSOA@</t>
  </si>
  <si>
    <t>@NRTIPODEPENDE@</t>
  </si>
  <si>
    <t>ORGANIZAÇÃO</t>
  </si>
  <si>
    <t>@NRPARCNEGOCIO@</t>
  </si>
  <si>
    <t>@NRPESSOA@</t>
  </si>
  <si>
    <t>@NRPESSOAH@</t>
  </si>
  <si>
    <t>@NRRELACIONAPARC@</t>
  </si>
  <si>
    <t>@NRDEPVINCULO@</t>
  </si>
  <si>
    <t>@DTNASCIMENTO@</t>
  </si>
  <si>
    <t>@DTMESCOMPETENC@</t>
  </si>
  <si>
    <t>@NRVINCULOM@</t>
  </si>
  <si>
    <t>@CPF@</t>
  </si>
  <si>
    <t>@NRRGPESSOA@</t>
  </si>
  <si>
    <t>Pes</t>
  </si>
  <si>
    <t>Dep</t>
  </si>
  <si>
    <t>Nr. vinculo</t>
  </si>
  <si>
    <t>Saída</t>
  </si>
  <si>
    <t>Mnemônico</t>
  </si>
  <si>
    <t>Tabela</t>
  </si>
  <si>
    <t>PARCNEGOCIO</t>
  </si>
  <si>
    <t>GPE_PESSOA</t>
  </si>
  <si>
    <t>GPE_PESSOAH</t>
  </si>
  <si>
    <t>RELACIONAPARC</t>
  </si>
  <si>
    <t>FPA_DEPVINCULO</t>
  </si>
  <si>
    <t>PK</t>
  </si>
  <si>
    <t>NRPARCNEGOCIO</t>
  </si>
  <si>
    <t>NRPESSOA</t>
  </si>
  <si>
    <t>NRPESSOAH</t>
  </si>
  <si>
    <t>NRRELACIONAPARC</t>
  </si>
  <si>
    <t>NRDEPVINCULO</t>
  </si>
  <si>
    <t>Inicio PK</t>
  </si>
  <si>
    <t>Fim PK</t>
  </si>
  <si>
    <t>Quantidade</t>
  </si>
  <si>
    <t>Organização</t>
  </si>
  <si>
    <r>
      <t xml:space="preserve">Identificação do dependete
</t>
    </r>
    <r>
      <rPr>
        <i/>
        <sz val="8"/>
        <color rgb="FFFF0000"/>
        <rFont val="Calibri"/>
        <family val="2"/>
        <scheme val="minor"/>
      </rPr>
      <t>Nome + CPF + nascimento</t>
    </r>
  </si>
  <si>
    <t>COMMIT;</t>
  </si>
  <si>
    <t>Melhorar a lógica desta planilha. Fazer outro layout. NÃO ESQUECER DE ORDERNAR POR VÍNCULO E POR DEPENDENTE.</t>
  </si>
  <si>
    <t>INSERE Pessoa e Relaciona Parc?</t>
  </si>
  <si>
    <t>INSERT INTO PARCNEGOCIO ( NRPARCNEGOCIO, NRORG, NMPRINCIPALPARC, NMSECUNDARIPARC, DTNASCIFUNDPARC, NRINSCRICAOPARC, IDATIVO, DTINCLUSAO, NRORGINCLUSAO, CDOPERINCLUSAO, CDTIPOPARCPRINCIPAL, CDTIPOINSCRICAO, IDPESSOAFISICA, IDINSTITUICAO, IDPARCFUNDIDO ) VALUES ( @NRPARCNEGOCIO@, @NRORG@ , '@NOME@', '@NOME@', '@DTNASCIMENTO@', '@CPF@', 'S', SYSDATE, @NRORG@, '000000099991', 'PESSOA', 'CPF', 'S', 'N', 'N' ); INSERT INTO GPE_PESSOA ( NRPESSOA, NRORG, NRPARCNEGOCIO, DTINCLUSAO, NRORGINCLUSAO, CDOPERINCLUSAO ) VALUES ( @NRPESSOA@, @NRORG@, @NRPARCNEGOCIO@, SYSDATE, @NRORG@, '000000099991' ); INSERT INTO GPE_PESSOAH ( NRPESSOAH, NRPESSOA, NRORG, DTMESCOMPETENC, NMPESSOA, NRCPFPESSOA, DTINCLUSAO, NRORGINCLUSAO, CDOPERINCLUSAO, DTNASCPESSOA, IDSEXOPESSOA, NRRGPESSOA, SGESTADO) VALUES ( @NRPESSOAH@, @NRPESSOA@, @NRORG@, '@DTMESCOMPETENC@', '@NOME@', '@CPF@', SYSDATE, @NRORG@, '000000099991', '@DTNASCIMENTO@', '@IDSEXOPESSOA@', '@NRRGPESSOA@', '@SGESTADO@'); INSERT INTO RELACIONAPARC ( NRRELACIONAPARC, NRORG, NRPARCNEGOCIO, NRPARCNEGRELAC, NRTIPORELACIONA, NRORGINCLUSAO, DTINCLUSAO, CDOPERINCLUSAO ) VALUES ( @NRRELACIONAPARC@, @NRORG@, ( SELECT NRPARCNEGOCIO FROM GPE_PESSOA WHERE NRORG = @NRORG@ AND NRPESSOA = ( SELECT MAX(NRPESSOA) FROM GPE_VINCULOM WHERE NRORG = @NRORG@ AND CDMATRICULA = '@NRVINCULOM@' ) ), @NRPARCNEGOCIO@, @NRTIPORELACIONA@, @NRORG@, SYSDATE, '000000099991');</t>
  </si>
  <si>
    <t>INSERT INTO FPA_DEPVINCULO ( NRORG, NRDEPVINCULO, NRVINCULOM, NRPESSOA, NRTIPODEPENDE, DTINIDEPENDE, DTINCLUSAO, NRORGINCLUSAO, CDOPERINCLUSAO ) VALUES ( @NRORG@, @NRDEPVINCULO@, ( SELECT MAX(NRVINCULOM) FROM GPE_VINCULOM WHERE NRORG = @NRORG@ AND CDMATRICULA = '@NRVINCULOM@' ), @NRPESSOA@, @NRTIPODEPENDE@, '@DTMESCOMPETENC@', SYSDATE, @NRORG@, '000000099991' );</t>
  </si>
  <si>
    <t>insere</t>
  </si>
  <si>
    <t>INSERE Dependencia do vínculo</t>
  </si>
  <si>
    <t>CDMATRICULA</t>
  </si>
  <si>
    <t>NRVINCULOM</t>
  </si>
  <si>
    <t>DTADMISSAOVINC</t>
  </si>
  <si>
    <t>DTRESCISAOVINC</t>
  </si>
  <si>
    <t>Verificação de PK</t>
  </si>
  <si>
    <t>Vinculo existente?</t>
  </si>
  <si>
    <t>SELECT
  RP.*,
  VM.NRVINCULOM,
  VM.CDMATRICULA,
  RP.NRTIPORELACIONA,
  RP.DTINCLUSAO,
  RP.CDOPERINCLUSAO
FROM RELACIONAPARC RP
JOIN GPE_PESSOA PE ON PE.NRORG         = RP.NRORG
                  AND PE.NRPARCNEGOCIO = RP.NRPARCNEGOCIO
JOIN GPE_VINCULOM VM ON VM.NRORG    = RP.NRORG
                    AND VM.NRPESSOA = PE.NRPESSOA
JOIN GPE_VINCULOH VH ON VH.NRORG          = RP.NRORG
                    AND VH.NRVINCULOM     = VM.NRVINCULOM
                    AND VH.DTMESCOMPETENC = ( SELECT MAX(DTMESCOMPETENC) FROM GPE_VINCULOH
                                              WHERE NRORG          = VH.NRORG
                                                AND NRVINCULOM     = VH.NRVINCULOM
                                                AND DTMESCOMPETENC &lt;= '01/10/2022' )
WHERE RP.NRORG = 3260
  AND VM.NRVINCULOM = 949728
ORDER BY VM.NRVINCULOM;</t>
  </si>
  <si>
    <t>acho que não.</t>
  </si>
  <si>
    <t>teria de ser uma para relacionamento e outra para dependente</t>
  </si>
  <si>
    <t>000003</t>
  </si>
  <si>
    <t>910003</t>
  </si>
  <si>
    <t>29/01/2016 00:00:00</t>
  </si>
  <si>
    <t>22/03/2019 00:00:00</t>
  </si>
  <si>
    <t>000004</t>
  </si>
  <si>
    <t>910004</t>
  </si>
  <si>
    <t>28/01/2016 00:00:00</t>
  </si>
  <si>
    <t>000005</t>
  </si>
  <si>
    <t>910005</t>
  </si>
  <si>
    <t>03/02/2016 00:00:00</t>
  </si>
  <si>
    <t>01/01/2022 00:00:00</t>
  </si>
  <si>
    <t>ver se esta query tem proveito...</t>
  </si>
  <si>
    <t>F</t>
  </si>
  <si>
    <t>Nro Vinculo</t>
  </si>
  <si>
    <t>Nome Vínculo</t>
  </si>
  <si>
    <t>--Busca de PK’s livres</t>
  </si>
  <si>
    <t>CSV</t>
  </si>
  <si>
    <t>--Validações de PK</t>
  </si>
  <si>
    <t>Coluna</t>
  </si>
  <si>
    <t>Linhas</t>
  </si>
  <si>
    <t>--Atualiza ou cria novo codigo</t>
  </si>
  <si>
    <t>/*Busca vinculos*/
SELECT
  VM.CDMATRICULA,
  VM.NRVINCULOM,
  VM.DTADMISSAOVINC,
  VM.DTRESCISAOVINC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  AND ( TRUNC( VM.DTINCLUSAO, 'DD' ) &gt;= :P_DTMIGTESTE OR :P_DTMIGTESTE IS NULL )
ORDER BY TO_NUMBER( VM.CDMATRICULA );</t>
  </si>
  <si>
    <t>065566</t>
  </si>
  <si>
    <t>065775</t>
  </si>
  <si>
    <t>ALLANA MOREIRA SANTOS RIOS</t>
  </si>
  <si>
    <t>496.439.148-52</t>
  </si>
  <si>
    <t>066034</t>
  </si>
  <si>
    <t>ANA CLARA ALVES PEREIRA DA SILVA</t>
  </si>
  <si>
    <t>720.380.550-68</t>
  </si>
  <si>
    <t>065995</t>
  </si>
  <si>
    <t>ANDREY MENEGUCI DOS SANTOS</t>
  </si>
  <si>
    <t>151.179.967-63</t>
  </si>
  <si>
    <t>065808</t>
  </si>
  <si>
    <t>DAYELLE DA SILVA GALINDO</t>
  </si>
  <si>
    <t>521.359.198-10</t>
  </si>
  <si>
    <t>065942</t>
  </si>
  <si>
    <t>DERICK SOARES DE OLIVEIRA</t>
  </si>
  <si>
    <t>205.783.327-52</t>
  </si>
  <si>
    <t>DEYVID SOARES DE OLIVEIRA</t>
  </si>
  <si>
    <t>205.783.477-84</t>
  </si>
  <si>
    <t>066046</t>
  </si>
  <si>
    <t>EDUARDA NOGUEIRA DE MEDEIROS</t>
  </si>
  <si>
    <t>179.477.127-19</t>
  </si>
  <si>
    <t>066007</t>
  </si>
  <si>
    <t>GABRIEL ANDRADE DE SANT ANNA</t>
  </si>
  <si>
    <t>204.919.257-60</t>
  </si>
  <si>
    <t>065946</t>
  </si>
  <si>
    <t>HUBERT DE OLIVEIRA LIMA</t>
  </si>
  <si>
    <t>959.110.490-15</t>
  </si>
  <si>
    <t>065974</t>
  </si>
  <si>
    <t>JHONATA VITOR NOGUEIRA DA SILVA</t>
  </si>
  <si>
    <t>215.530.650-42</t>
  </si>
  <si>
    <t>MARLON MENEGUCI DOS SANTOS</t>
  </si>
  <si>
    <t>151.179.927-76</t>
  </si>
  <si>
    <t>PAULO HENRIQUE DA SILVA SOUSA</t>
  </si>
  <si>
    <t>497.564.560-27</t>
  </si>
  <si>
    <t>066010</t>
  </si>
  <si>
    <t>REBECKA KHAYT ANGHELLS DOS SANTOS SILVA</t>
  </si>
  <si>
    <t>184.120.187-10</t>
  </si>
  <si>
    <t>065985</t>
  </si>
  <si>
    <t>RYAN CORREA CASTELHANO</t>
  </si>
  <si>
    <t>203.803.777-99</t>
  </si>
  <si>
    <t>065960</t>
  </si>
  <si>
    <t>THIERRY HENRY DA SILVA</t>
  </si>
  <si>
    <t>627.171.260-66</t>
  </si>
  <si>
    <t>066014</t>
  </si>
  <si>
    <t>WESLEY SOARES DE SOUSA</t>
  </si>
  <si>
    <t>219.902.247-17</t>
  </si>
  <si>
    <t>rever isso.... Talvez retirar</t>
  </si>
  <si>
    <t>NÃO COPIAR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</si>
</sst>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Segoe UI"/>
      <family val="2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57"/>
      <name val="Calibri"/>
      <family val="2"/>
      <scheme val="minor"/>
    </font>
    <font>
      <b/>
      <sz val="8"/>
      <color indexed="3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5"/>
      <color indexed="10"/>
      <name val="Calibri"/>
      <family val="2"/>
      <scheme val="minor"/>
    </font>
    <font>
      <sz val="8"/>
      <color indexed="10"/>
      <name val="Calibri"/>
      <family val="2"/>
      <scheme val="minor"/>
    </font>
    <font>
      <i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4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4.9989318521683403E-2"/>
        <bgColor rgb="FFFFFFD7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8C8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0" fontId="5" fillId="2" borderId="0" xfId="0" applyFont="1" applyFill="1" applyAlignment="1">
      <alignment horizontal="center" vertical="top" wrapText="1"/>
    </xf>
    <xf numFmtId="0" fontId="18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wrapText="1"/>
    </xf>
    <xf numFmtId="0" fontId="14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/>
    </xf>
    <xf numFmtId="49" fontId="13" fillId="3" borderId="0" xfId="0" applyNumberFormat="1" applyFont="1" applyFill="1"/>
    <xf numFmtId="0" fontId="13" fillId="3" borderId="0" xfId="0" applyFont="1" applyFill="1"/>
    <xf numFmtId="0" fontId="0" fillId="3" borderId="0" xfId="0" applyFill="1"/>
    <xf numFmtId="0" fontId="10" fillId="2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center" vertical="center"/>
    </xf>
    <xf numFmtId="0" fontId="8" fillId="4" borderId="0" xfId="0" quotePrefix="1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21" fillId="6" borderId="0" xfId="0" quotePrefix="1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0" fillId="8" borderId="0" xfId="0" applyNumberFormat="1" applyFill="1"/>
    <xf numFmtId="49" fontId="17" fillId="0" borderId="0" xfId="0" applyNumberFormat="1" applyFont="1"/>
    <xf numFmtId="49" fontId="1" fillId="9" borderId="0" xfId="0" applyNumberFormat="1" applyFont="1" applyFill="1" applyAlignment="1">
      <alignment wrapText="1"/>
    </xf>
    <xf numFmtId="0" fontId="3" fillId="10" borderId="0" xfId="0" applyFont="1" applyFill="1" applyAlignment="1">
      <alignment vertical="top" wrapText="1"/>
    </xf>
    <xf numFmtId="0" fontId="10" fillId="10" borderId="0" xfId="0" quotePrefix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0" fillId="10" borderId="0" xfId="0" quotePrefix="1" applyFont="1" applyFill="1" applyAlignment="1">
      <alignment horizontal="center" vertical="center" wrapText="1"/>
    </xf>
    <xf numFmtId="0" fontId="5" fillId="10" borderId="0" xfId="0" quotePrefix="1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top" wrapText="1"/>
    </xf>
    <xf numFmtId="0" fontId="4" fillId="11" borderId="0" xfId="0" applyFont="1" applyFill="1" applyAlignment="1">
      <alignment horizontal="left"/>
    </xf>
    <xf numFmtId="0" fontId="0" fillId="12" borderId="0" xfId="0" applyFill="1"/>
    <xf numFmtId="14" fontId="1" fillId="0" borderId="0" xfId="0" applyNumberFormat="1" applyFont="1"/>
    <xf numFmtId="0" fontId="22" fillId="0" borderId="0" xfId="0" applyFont="1"/>
    <xf numFmtId="49" fontId="23" fillId="8" borderId="0" xfId="0" applyNumberFormat="1" applyFont="1" applyFill="1"/>
    <xf numFmtId="0" fontId="5" fillId="13" borderId="0" xfId="0" applyFont="1" applyFill="1" applyAlignment="1">
      <alignment horizontal="center" vertical="center" wrapText="1"/>
    </xf>
    <xf numFmtId="0" fontId="24" fillId="13" borderId="0" xfId="0" applyFont="1" applyFill="1" applyAlignment="1">
      <alignment horizontal="center" vertical="center" wrapText="1"/>
    </xf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F4EF-AA9F-4C9D-9BFF-F23F0F2099D0}">
  <dimension ref="A1:BB19"/>
  <sheetViews>
    <sheetView tabSelected="1" zoomScaleNormal="100" workbookViewId="0">
      <pane xSplit="2" ySplit="2" topLeftCell="AI3" activePane="bottomRight" state="frozen"/>
      <selection pane="topRight" activeCell="C1" sqref="C1"/>
      <selection pane="bottomLeft" activeCell="A3" sqref="A3"/>
      <selection pane="bottomRight" activeCell="AO2" sqref="AO2"/>
    </sheetView>
  </sheetViews>
  <sheetFormatPr defaultColWidth="9.109375" defaultRowHeight="14.4" x14ac:dyDescent="0.3"/>
  <cols>
    <col min="1" max="1" width="22.44140625" bestFit="1" customWidth="1"/>
    <col min="2" max="2" width="10.33203125" style="6" bestFit="1" customWidth="1"/>
    <col min="3" max="3" width="12.6640625" bestFit="1" customWidth="1"/>
    <col min="4" max="4" width="49.44140625" bestFit="1" customWidth="1"/>
    <col min="5" max="5" width="12" bestFit="1" customWidth="1"/>
    <col min="6" max="6" width="3.5546875" bestFit="1" customWidth="1"/>
    <col min="7" max="7" width="10.6640625" bestFit="1" customWidth="1"/>
    <col min="8" max="8" width="15.6640625" bestFit="1" customWidth="1"/>
    <col min="9" max="9" width="13.6640625" bestFit="1" customWidth="1"/>
    <col min="10" max="10" width="19.88671875" bestFit="1" customWidth="1"/>
    <col min="11" max="11" width="10.88671875" customWidth="1"/>
    <col min="12" max="12" width="12" bestFit="1" customWidth="1"/>
    <col min="13" max="13" width="13" customWidth="1"/>
    <col min="14" max="14" width="11.33203125" bestFit="1" customWidth="1"/>
    <col min="15" max="15" width="9.88671875" bestFit="1" customWidth="1"/>
    <col min="16" max="16" width="17.5546875" bestFit="1" customWidth="1"/>
    <col min="17" max="17" width="12" bestFit="1" customWidth="1"/>
    <col min="18" max="18" width="13.33203125" bestFit="1" customWidth="1"/>
    <col min="19" max="19" width="19.109375" bestFit="1" customWidth="1"/>
    <col min="20" max="20" width="16.33203125" bestFit="1" customWidth="1"/>
    <col min="21" max="21" width="14.6640625" bestFit="1" customWidth="1"/>
    <col min="22" max="22" width="16.33203125" bestFit="1" customWidth="1"/>
    <col min="23" max="23" width="18.88671875" bestFit="1" customWidth="1"/>
    <col min="24" max="24" width="14.6640625" bestFit="1" customWidth="1"/>
    <col min="25" max="25" width="10.44140625" bestFit="1" customWidth="1"/>
    <col min="26" max="26" width="14.33203125" bestFit="1" customWidth="1"/>
    <col min="27" max="27" width="100.6640625" customWidth="1"/>
    <col min="28" max="28" width="49" customWidth="1"/>
    <col min="29" max="29" width="37.5546875" style="51" customWidth="1"/>
    <col min="32" max="32" width="8.109375" style="10" bestFit="1" customWidth="1"/>
    <col min="33" max="33" width="17.44140625" style="10" customWidth="1"/>
    <col min="34" max="34" width="19.6640625" style="11" customWidth="1"/>
    <col min="35" max="35" width="9.109375" customWidth="1"/>
    <col min="36" max="36" width="11.33203125" bestFit="1" customWidth="1"/>
    <col min="37" max="41" width="25.6640625" customWidth="1"/>
    <col min="42" max="42" width="11.33203125" bestFit="1" customWidth="1"/>
    <col min="43" max="47" width="25.6640625" customWidth="1"/>
    <col min="48" max="48" width="11.33203125" bestFit="1" customWidth="1"/>
    <col min="49" max="53" width="25.6640625" customWidth="1"/>
  </cols>
  <sheetData>
    <row r="1" spans="1:54" x14ac:dyDescent="0.3">
      <c r="A1" s="13" t="s">
        <v>11</v>
      </c>
      <c r="B1" s="38" t="s">
        <v>12</v>
      </c>
      <c r="C1" s="13" t="s">
        <v>12</v>
      </c>
      <c r="D1" s="13" t="s">
        <v>12</v>
      </c>
      <c r="E1" s="13" t="s">
        <v>12</v>
      </c>
      <c r="F1" s="13" t="s">
        <v>12</v>
      </c>
      <c r="G1" s="13" t="s">
        <v>14</v>
      </c>
      <c r="H1" s="13" t="s">
        <v>12</v>
      </c>
      <c r="I1" s="13" t="s">
        <v>15</v>
      </c>
      <c r="J1" s="13" t="s">
        <v>16</v>
      </c>
      <c r="K1" s="13"/>
      <c r="L1" s="12" t="s">
        <v>17</v>
      </c>
      <c r="M1" s="12"/>
      <c r="N1" s="12"/>
      <c r="O1" s="12"/>
      <c r="P1" s="13" t="s">
        <v>18</v>
      </c>
      <c r="Q1" s="13" t="s">
        <v>19</v>
      </c>
      <c r="R1" s="13" t="s">
        <v>20</v>
      </c>
      <c r="S1" s="13" t="s">
        <v>21</v>
      </c>
      <c r="T1" s="13" t="s">
        <v>22</v>
      </c>
      <c r="U1" s="32" t="s">
        <v>13</v>
      </c>
      <c r="V1" s="14" t="s">
        <v>23</v>
      </c>
      <c r="W1" s="14" t="s">
        <v>24</v>
      </c>
      <c r="X1" s="15" t="s">
        <v>25</v>
      </c>
      <c r="Y1" s="15" t="s">
        <v>26</v>
      </c>
      <c r="Z1" s="15" t="s">
        <v>27</v>
      </c>
      <c r="AA1" s="16" t="s">
        <v>28</v>
      </c>
      <c r="AB1" s="16" t="s">
        <v>29</v>
      </c>
      <c r="AC1" s="48"/>
      <c r="AD1" s="31" t="str">
        <f>"B3:B" &amp; COUNTA( B:B )</f>
        <v>B3:B19</v>
      </c>
      <c r="AE1" s="31" t="str">
        <f>"U3:U" &amp; COUNTA( B:B )</f>
        <v>U3:U19</v>
      </c>
      <c r="AF1" s="28"/>
      <c r="AG1" s="28" t="s">
        <v>61</v>
      </c>
      <c r="AH1" s="8" t="s">
        <v>82</v>
      </c>
      <c r="AI1" s="1"/>
      <c r="AJ1" s="2"/>
      <c r="AK1" s="44" t="s">
        <v>81</v>
      </c>
      <c r="AL1" s="45"/>
      <c r="AM1" s="45"/>
      <c r="AN1" s="45"/>
      <c r="AO1" s="45"/>
      <c r="AP1" s="3"/>
      <c r="AQ1" s="46" t="s">
        <v>83</v>
      </c>
      <c r="AW1" s="47" t="s">
        <v>86</v>
      </c>
      <c r="AX1" s="24"/>
      <c r="AY1" s="24"/>
      <c r="AZ1" s="24"/>
      <c r="BA1" s="24"/>
      <c r="BB1" s="24"/>
    </row>
    <row r="2" spans="1:54" s="1" customFormat="1" ht="123" customHeight="1" x14ac:dyDescent="0.2">
      <c r="A2" s="5" t="s">
        <v>0</v>
      </c>
      <c r="B2" s="39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27" t="s">
        <v>51</v>
      </c>
      <c r="L2" s="56">
        <v>5677</v>
      </c>
      <c r="M2" s="17" t="s">
        <v>49</v>
      </c>
      <c r="N2" s="17" t="s">
        <v>52</v>
      </c>
      <c r="O2" s="17" t="s">
        <v>56</v>
      </c>
      <c r="P2" s="55">
        <v>32588</v>
      </c>
      <c r="Q2" s="55">
        <v>16054</v>
      </c>
      <c r="R2" s="55">
        <v>14334</v>
      </c>
      <c r="S2" s="55">
        <v>117566</v>
      </c>
      <c r="T2" s="55">
        <f>24327+100</f>
        <v>24427</v>
      </c>
      <c r="U2" s="17"/>
      <c r="V2" s="17"/>
      <c r="W2" s="17"/>
      <c r="X2" s="17" t="s">
        <v>30</v>
      </c>
      <c r="Y2" s="17" t="s">
        <v>4</v>
      </c>
      <c r="Z2" s="17" t="s">
        <v>5</v>
      </c>
      <c r="AA2" s="18" t="s">
        <v>53</v>
      </c>
      <c r="AB2" s="18" t="s">
        <v>54</v>
      </c>
      <c r="AC2" s="49" t="s">
        <v>31</v>
      </c>
      <c r="AD2" s="30" t="s">
        <v>79</v>
      </c>
      <c r="AE2" s="30" t="s">
        <v>80</v>
      </c>
      <c r="AF2" s="29" t="s">
        <v>62</v>
      </c>
      <c r="AG2" s="30" t="str">
        <f ca="1" xml:space="preserve"> "  - " &amp; ( COUNTA(_xlfn.ANCHORARRAY(AG3)) - 1 )&amp;" vínculo(s) não encontrado(s) no sistema / planilha 04_Vinculos."</f>
        <v xml:space="preserve">  - 13 vínculo(s) não encontrado(s) no sistema / planilha 04_Vinculos.</v>
      </c>
      <c r="AH2" s="9" t="s">
        <v>134</v>
      </c>
      <c r="AI2" s="4"/>
      <c r="AJ2" s="3"/>
      <c r="AK2" s="43" t="str">
        <f ca="1">"/*"&amp;AK4&amp;"*/
SELECT A + 1 A, B - 1 B, B - A - 1 LENGHT, (SELECT TO_NUMBER(NRSEQUENCIAL) FROM NOVOCODIGO WHERE NRORG = "&amp;AK11&amp;" AND CDCONTADOR = '"&amp;AK4&amp;"') NOVOCODIGO FROM (SELECT 0 A, MIN("&amp;AK5&amp;") B FROM "&amp;AK4&amp;" WHERE NRORG = "&amp;AK11&amp;" UNION ALL SELECT "&amp;AK5&amp;", LEAD("&amp;AK5&amp;") OVER (ORDER BY "&amp;AK5&amp;") FROM "&amp;AK4&amp;" WHERE NRORG = "&amp;AK11&amp;" ) WHERE B - A &gt; "&amp;AK10&amp;" OR B IS NULL ORDER BY A;"</f>
        <v>/*PARCNEGOCIO*/
SELECT A + 1 A, B - 1 B, B - A - 1 LENGHT, (SELECT TO_NUMBER(NRSEQUENCIAL) FROM NOVOCODIGO WHERE NRORG = 5677 AND CDCONTADOR = 'PARCNEGOCIO') NOVOCODIGO FROM (SELECT 0 A, MIN(NRPARCNEGOCIO) B FROM PARCNEGOCIO WHERE NRORG = 5677 UNION ALL SELECT NRPARCNEGOCIO, LEAD(NRPARCNEGOCIO) OVER (ORDER BY NRPARCNEGOCIO) FROM PARCNEGOCIO WHERE NRORG = 5677 ) WHERE B - A &gt; 1 OR B IS NULL ORDER BY A;</v>
      </c>
      <c r="AL2" s="43" t="str">
        <f t="shared" ref="AL2:AO2" ca="1" si="0">"/*"&amp;AL4&amp;"*/
SELECT A + 1 A, B - 1 B, B - A - 1 LENGHT, (SELECT TO_NUMBER(NRSEQUENCIAL) FROM NOVOCODIGO WHERE NRORG = "&amp;AL11&amp;" AND CDCONTADOR = '"&amp;AL4&amp;"') NOVOCODIGO FROM (SELECT 0 A, MIN("&amp;AL5&amp;") B FROM "&amp;AL4&amp;" WHERE NRORG = "&amp;AL11&amp;" UNION ALL SELECT "&amp;AL5&amp;", LEAD("&amp;AL5&amp;") OVER (ORDER BY "&amp;AL5&amp;") FROM "&amp;AL4&amp;" WHERE NRORG = "&amp;AL11&amp;" ) WHERE B - A &gt; "&amp;AL10&amp;" OR B IS NULL ORDER BY A;"</f>
        <v>/*GPE_PESSOA*/
SELECT A + 1 A, B - 1 B, B - A - 1 LENGHT, (SELECT TO_NUMBER(NRSEQUENCIAL) FROM NOVOCODIGO WHERE NRORG = 5677 AND CDCONTADOR = 'GPE_PESSOA') NOVOCODIGO FROM (SELECT 0 A, MIN(NRPESSOA) B FROM GPE_PESSOA WHERE NRORG = 5677 UNION ALL SELECT NRPESSOA, LEAD(NRPESSOA) OVER (ORDER BY NRPESSOA) FROM GPE_PESSOA WHERE NRORG = 5677 ) WHERE B - A &gt; 1 OR B IS NULL ORDER BY A;</v>
      </c>
      <c r="AM2" s="43" t="str">
        <f t="shared" ca="1" si="0"/>
        <v>/*GPE_PESSOAH*/
SELECT A + 1 A, B - 1 B, B - A - 1 LENGHT, (SELECT TO_NUMBER(NRSEQUENCIAL) FROM NOVOCODIGO WHERE NRORG = 5677 AND CDCONTADOR = 'GPE_PESSOAH') NOVOCODIGO FROM (SELECT 0 A, MIN(NRPESSOAH) B FROM GPE_PESSOAH WHERE NRORG = 5677 UNION ALL SELECT NRPESSOAH, LEAD(NRPESSOAH) OVER (ORDER BY NRPESSOAH) FROM GPE_PESSOAH WHERE NRORG = 5677 ) WHERE B - A &gt; 1 OR B IS NULL ORDER BY A;</v>
      </c>
      <c r="AN2" s="43" t="str">
        <f t="shared" ca="1" si="0"/>
        <v>/*RELACIONAPARC*/
SELECT A + 1 A, B - 1 B, B - A - 1 LENGHT, (SELECT TO_NUMBER(NRSEQUENCIAL) FROM NOVOCODIGO WHERE NRORG = 5677 AND CDCONTADOR = 'RELACIONAPARC') NOVOCODIGO FROM (SELECT 0 A, MIN(NRRELACIONAPARC) B FROM RELACIONAPARC WHERE NRORG = 5677 UNION ALL SELECT NRRELACIONAPARC, LEAD(NRRELACIONAPARC) OVER (ORDER BY NRRELACIONAPARC) FROM RELACIONAPARC WHERE NRORG = 5677 ) WHERE B - A &gt; 1 OR B IS NULL ORDER BY A;</v>
      </c>
      <c r="AO2" s="43" t="str">
        <f t="shared" ca="1" si="0"/>
        <v>/*FPA_DEPVINCULO*/
SELECT A + 1 A, B - 1 B, B - A - 1 LENGHT, (SELECT TO_NUMBER(NRSEQUENCIAL) FROM NOVOCODIGO WHERE NRORG = 5677 AND CDCONTADOR = 'FPA_DEPVINCULO') NOVOCODIGO FROM (SELECT 0 A, MIN(NRDEPVINCULO) B FROM FPA_DEPVINCULO WHERE NRORG = 5677 UNION ALL SELECT NRDEPVINCULO, LEAD(NRDEPVINCULO) OVER (ORDER BY NRDEPVINCULO) FROM FPA_DEPVINCULO WHERE NRORG = 5677 ) WHERE B - A &gt; 1 OR B IS NULL ORDER BY A;</v>
      </c>
      <c r="AP2" s="3"/>
      <c r="AQ2" s="43" t="str">
        <f ca="1">"SELECT '--'||COUNT(1)||': "&amp;AQ4&amp;"' STATUS FROM "&amp;AQ4&amp;" WHERE NRORG = "&amp;AQ11&amp;" AND "&amp;AQ5&amp;" BETWEEN "&amp;AQ8&amp;" AND "&amp;AQ9&amp;" UNION ALL "</f>
        <v xml:space="preserve">SELECT '--'||COUNT(1)||': PARCNEGOCIO' STATUS FROM PARCNEGOCIO WHERE NRORG = 5677 AND NRPARCNEGOCIO BETWEEN 32588 AND 32588 UNION ALL </v>
      </c>
      <c r="AR2" s="43" t="str">
        <f t="shared" ref="AR2:AT2" ca="1" si="1">"SELECT '--'||COUNT(1)||': "&amp;AR4&amp;"' STATUS FROM "&amp;AR4&amp;" WHERE NRORG = "&amp;AR11&amp;" AND "&amp;AR5&amp;" BETWEEN "&amp;AR8&amp;" AND "&amp;AR9&amp;" UNION ALL "</f>
        <v xml:space="preserve">SELECT '--'||COUNT(1)||': GPE_PESSOA' STATUS FROM GPE_PESSOA WHERE NRORG = 5677 AND NRPESSOA BETWEEN 16054 AND 16054 UNION ALL </v>
      </c>
      <c r="AS2" s="43" t="str">
        <f t="shared" ca="1" si="1"/>
        <v xml:space="preserve">SELECT '--'||COUNT(1)||': GPE_PESSOAH' STATUS FROM GPE_PESSOAH WHERE NRORG = 5677 AND NRPESSOAH BETWEEN 14334 AND 14334 UNION ALL </v>
      </c>
      <c r="AT2" s="43" t="str">
        <f t="shared" ca="1" si="1"/>
        <v xml:space="preserve">SELECT '--'||COUNT(1)||': RELACIONAPARC' STATUS FROM RELACIONAPARC WHERE NRORG = 5677 AND NRRELACIONAPARC BETWEEN 117566 AND 117566 UNION ALL </v>
      </c>
      <c r="AU2" s="43" t="str">
        <f ca="1">"SELECT '--'||COUNT(1)||': "&amp;AU4&amp;"' STATUS FROM "&amp;AU4&amp;" WHERE NRORG = "&amp;AU11&amp;" AND "&amp;AU5&amp;" BETWEEN "&amp;AU8&amp;" AND "&amp;AU9&amp;" /*UNION ALL*/; "</f>
        <v xml:space="preserve">SELECT '--'||COUNT(1)||': FPA_DEPVINCULO' STATUS FROM FPA_DEPVINCULO WHERE NRORG = 5677 AND NRDEPVINCULO BETWEEN 24427 AND 24427 /*UNION ALL*/; </v>
      </c>
      <c r="AW2" s="43" t="str">
        <f ca="1">"MERGE INTO NOVOCODIGO NC
  USING ( SELECT LPAD( MAX( "&amp;AW5&amp;" ) + 1, 20, '0' ) NRSEQUENCIAL
          FROM "&amp;AW4&amp;"
          WHERE NRORG = "&amp;AW11&amp;"
        ) TABELA
  ON (     NC.NRORG      = "&amp;AW11&amp;"
       AND NC.CDCONTADOR = '"&amp;AW4&amp;"' )
  WHEN     MATCHED THEN
    UPDATE SET NC.NRSEQUENCIAL = TABELA.NRSEQUENCIAL
  WHEN NOT MATCHED THEN
    INSERT ( CDCONTADOR, NRSEQUENCIAL, NRORG, DTINCLUSAO )
    VALUES ( '"&amp;AW4&amp;"', TABELA.NRSEQUENCIAL, "&amp;AW11&amp;", SYSDATE );"</f>
        <v>MERGE INTO NOVOCODIGO NC
  USING ( SELECT LPAD( MAX( NRPARCNEGOCIO ) + 1, 20, '0' ) NRSEQUENCIAL
          FROM PARCNEGOCIO
          WHERE NRORG = 5677
        ) TABELA
  ON (     NC.NRORG      = 5677
       AND NC.CDCONTADOR = 'PARCNEGOCIO' )
  WHEN     MATCHED THEN
    UPDATE SET NC.NRSEQUENCIAL = TABELA.NRSEQUENCIAL
  WHEN NOT MATCHED THEN
    INSERT ( CDCONTADOR, NRSEQUENCIAL, NRORG, DTINCLUSAO )
    VALUES ( 'PARCNEGOCIO', TABELA.NRSEQUENCIAL, 5677, SYSDATE );</v>
      </c>
      <c r="AX2" s="43" t="str">
        <f ca="1">"MERGE INTO NOVOCODIGO NC
  USING ( SELECT LPAD( MAX( "&amp;AX5&amp;" ) + 1, 20, '0' ) NRSEQUENCIAL
          FROM "&amp;AX4&amp;"
          WHERE NRORG = "&amp;AX11&amp;"
        ) TABELA
  ON (     NC.NRORG      = "&amp;AX11&amp;"
       AND NC.CDCONTADOR = '"&amp;AX4&amp;"' )
  WHEN     MATCHED THEN
    UPDATE SET NC.NRSEQUENCIAL = TABELA.NRSEQUENCIAL
  WHEN NOT MATCHED THEN
    INSERT ( CDCONTADOR, NRSEQUENCIAL, NRORG, DTINCLUSAO )
    VALUES ( '"&amp;AX4&amp;"', TABELA.NRSEQUENCIAL, "&amp;AX11&amp;", SYSDATE );"</f>
        <v>MERGE INTO NOVOCODIGO NC
  USING ( SELECT LPAD( MAX( NRPESSOA ) + 1, 20, '0' ) NRSEQUENCIAL
          FROM GPE_PESSOA
          WHERE NRORG = 5677
        ) TABELA
  ON (     NC.NRORG      = 5677
       AND NC.CDCONTADOR = 'GPE_PESSOA' )
  WHEN     MATCHED THEN
    UPDATE SET NC.NRSEQUENCIAL = TABELA.NRSEQUENCIAL
  WHEN NOT MATCHED THEN
    INSERT ( CDCONTADOR, NRSEQUENCIAL, NRORG, DTINCLUSAO )
    VALUES ( 'GPE_PESSOA', TABELA.NRSEQUENCIAL, 5677, SYSDATE );</v>
      </c>
      <c r="AY2" s="43" t="str">
        <f ca="1">"MERGE INTO NOVOCODIGO NC
  USING ( SELECT LPAD( MAX( "&amp;AY5&amp;" ) + 1, 20, '0' ) NRSEQUENCIAL
          FROM "&amp;AY4&amp;"
          WHERE NRORG = "&amp;AY11&amp;"
        ) TABELA
  ON (     NC.NRORG      = "&amp;AY11&amp;"
       AND NC.CDCONTADOR = '"&amp;AY4&amp;"' )
  WHEN     MATCHED THEN
    UPDATE SET NC.NRSEQUENCIAL = TABELA.NRSEQUENCIAL
  WHEN NOT MATCHED THEN
    INSERT ( CDCONTADOR, NRSEQUENCIAL, NRORG, DTINCLUSAO )
    VALUES ( '"&amp;AY4&amp;"', TABELA.NRSEQUENCIAL, "&amp;AY11&amp;", SYSDATE );"</f>
        <v>MERGE INTO NOVOCODIGO NC
  USING ( SELECT LPAD( MAX( NRPESSOAH ) + 1, 20, '0' ) NRSEQUENCIAL
          FROM GPE_PESSOAH
          WHERE NRORG = 5677
        ) TABELA
  ON (     NC.NRORG      = 5677
       AND NC.CDCONTADOR = 'GPE_PESSOAH' )
  WHEN     MATCHED THEN
    UPDATE SET NC.NRSEQUENCIAL = TABELA.NRSEQUENCIAL
  WHEN NOT MATCHED THEN
    INSERT ( CDCONTADOR, NRSEQUENCIAL, NRORG, DTINCLUSAO )
    VALUES ( 'GPE_PESSOAH', TABELA.NRSEQUENCIAL, 5677, SYSDATE );</v>
      </c>
      <c r="AZ2" s="43" t="str">
        <f ca="1">"MERGE INTO NOVOCODIGO NC
  USING ( SELECT LPAD( MAX( "&amp;AZ5&amp;" ) + 1, 20, '0' ) NRSEQUENCIAL
          FROM "&amp;AZ4&amp;"
          WHERE NRORG = "&amp;AZ11&amp;"
        ) TABELA
  ON (     NC.NRORG      = "&amp;AZ11&amp;"
       AND NC.CDCONTADOR = '"&amp;AZ4&amp;"' )
  WHEN     MATCHED THEN
    UPDATE SET NC.NRSEQUENCIAL = TABELA.NRSEQUENCIAL
  WHEN NOT MATCHED THEN
    INSERT ( CDCONTADOR, NRSEQUENCIAL, NRORG, DTINCLUSAO )
    VALUES ( '"&amp;AZ4&amp;"', TABELA.NRSEQUENCIAL, "&amp;AZ11&amp;", SYSDATE );"</f>
        <v>MERGE INTO NOVOCODIGO NC
  USING ( SELECT LPAD( MAX( NRRELACIONAPARC ) + 1, 20, '0' ) NRSEQUENCIAL
          FROM RELACIONAPARC
          WHERE NRORG = 5677
        ) TABELA
  ON (     NC.NRORG      = 5677
       AND NC.CDCONTADOR = 'RELACIONAPARC' )
  WHEN     MATCHED THEN
    UPDATE SET NC.NRSEQUENCIAL = TABELA.NRSEQUENCIAL
  WHEN NOT MATCHED THEN
    INSERT ( CDCONTADOR, NRSEQUENCIAL, NRORG, DTINCLUSAO )
    VALUES ( 'RELACIONAPARC', TABELA.NRSEQUENCIAL, 5677, SYSDATE );</v>
      </c>
      <c r="BA2" s="43" t="str">
        <f ca="1">"MERGE INTO NOVOCODIGO NC
  USING ( SELECT LPAD( MAX( "&amp;BA5&amp;" ) + 1, 20, '0' ) NRSEQUENCIAL
          FROM "&amp;BA4&amp;"
          WHERE NRORG = "&amp;BA11&amp;"
        ) TABELA
  ON (     NC.NRORG      = "&amp;BA11&amp;"
       AND NC.CDCONTADOR = '"&amp;BA4&amp;"' )
  WHEN     MATCHED THEN
    UPDATE SET NC.NRSEQUENCIAL = TABELA.NRSEQUENCIAL
  WHEN NOT MATCHED THEN
    INSERT ( CDCONTADOR, NRSEQUENCIAL, NRORG, DTINCLUSAO )
    VALUES ( '"&amp;BA4&amp;"', TABELA.NRSEQUENCIAL, "&amp;BA11&amp;", SYSDATE );"</f>
        <v>MERGE INTO NOVOCODIGO NC
  USING ( SELECT LPAD( MAX( NRDEPVINCULO ) + 1, 20, '0' ) NRSEQUENCIAL
          FROM FPA_DEPVINCULO
          WHERE NRORG = 5677
        ) TABELA
  ON (     NC.NRORG      = 5677
       AND NC.CDCONTADOR = 'FPA_DEPVINCULO' )
  WHEN     MATCHED THEN
    UPDATE SET NC.NRSEQUENCIAL = TABELA.NRSEQUENCIAL
  WHEN NOT MATCHED THEN
    INSERT ( CDCONTADOR, NRSEQUENCIAL, NRORG, DTINCLUSAO )
    VALUES ( 'FPA_DEPVINCULO', TABELA.NRSEQUENCIAL, 5677, SYSDATE );</v>
      </c>
      <c r="BB2" s="43" t="s">
        <v>50</v>
      </c>
    </row>
    <row r="3" spans="1:54" s="1" customFormat="1" x14ac:dyDescent="0.3">
      <c r="A3">
        <v>3</v>
      </c>
      <c r="B3" t="s">
        <v>88</v>
      </c>
      <c r="C3" s="52">
        <v>44958</v>
      </c>
      <c r="D3" s="1" t="s">
        <v>120</v>
      </c>
      <c r="E3" s="53" t="s">
        <v>121</v>
      </c>
      <c r="F3"/>
      <c r="G3"/>
      <c r="H3" s="52">
        <v>39115</v>
      </c>
      <c r="I3" t="s">
        <v>10</v>
      </c>
      <c r="J3" s="1">
        <v>2</v>
      </c>
      <c r="L3" s="57" t="s">
        <v>135</v>
      </c>
      <c r="M3" s="19" t="str">
        <f>B3&amp;D3&amp;E3&amp;H3</f>
        <v>065566PAULO HENRIQUE DA SILVA SOUSA497.564.560-2739115</v>
      </c>
      <c r="N3" s="20" t="s">
        <v>55</v>
      </c>
      <c r="O3" s="20" t="str">
        <f>IF(TRIM(J3)="","não","insere")</f>
        <v>insere</v>
      </c>
      <c r="P3" s="20">
        <f t="shared" ref="P3:P10" ca="1" si="2">IF( AND( $N3 = "insere", AF3 = "existe" ), P2 + 1, P2 )</f>
        <v>32588</v>
      </c>
      <c r="Q3" s="20">
        <f t="shared" ref="Q3:Q10" ca="1" si="3">IF( AND( $N3 = "insere", AF3 = "existe" ), Q2 + 1, Q2 )</f>
        <v>16054</v>
      </c>
      <c r="R3" s="20">
        <f t="shared" ref="R3:R10" ca="1" si="4">IF( AND( $N3 = "insere", AF3 = "existe" ), R2 + 1, R2 )</f>
        <v>14334</v>
      </c>
      <c r="S3" s="20">
        <f t="shared" ref="S3:S10" ca="1" si="5">IF( AND( $N3 = "insere", AF3 = "existe" ), S2 + 1, S2 )</f>
        <v>117566</v>
      </c>
      <c r="T3" s="20">
        <f t="shared" ref="T3:T10" ca="1" si="6">IF( AND( $O3 = "insere", AF3 = "existe" ), T2 + 1, T2 )</f>
        <v>24427</v>
      </c>
      <c r="U3" s="33" t="str">
        <f>SUBSTITUTE(SUBSTITUTE( TRIM( D3 ), "'", ""), "&amp;", "")</f>
        <v>PAULO HENRIQUE DA SILVA SOUSA</v>
      </c>
      <c r="V3" s="20" t="str">
        <f>IF( TRIM( H3 ) = "", "", TEXT( TRIM( H3 ), "DD/MM/AAAA" ) )</f>
        <v>02/02/2007</v>
      </c>
      <c r="W3" s="20" t="str">
        <f t="shared" ref="W3:W9" si="7">TEXT(C3,"DD/MM/AAAA")</f>
        <v>01/02/2023</v>
      </c>
      <c r="X3" s="20" t="str">
        <f t="shared" ref="X3:X10" si="8">B3</f>
        <v>065566</v>
      </c>
      <c r="Y3" s="20" t="str">
        <f>TEXT(TRIM(SUBSTITUTE(SUBSTITUTE(E3,".",""),"-","")), "00000000000")</f>
        <v>49756456027</v>
      </c>
      <c r="Z3" s="20" t="str">
        <f t="shared" ref="Z3:Z9" si="9">TRIM(SUBSTITUTE(SUBSTITUTE(F3,".",""),"-",""))</f>
        <v/>
      </c>
      <c r="AA3" s="21" t="str">
        <f ca="1" xml:space="preserve"> SUBSTITUTE( SUBSTITUTE( SUBSTITUTE( SUBSTITUTE( SUBSTITUTE( SUBSTITUTE( SUBSTITUTE( SUBSTITUTE( SUBSTITUTE( SUBSTITUTE( SUBSTITUTE( SUBSTITUTE( SUBSTITUTE( SUBSTITUTE( $AA$2, "@NRORG@", $L$2 ), "@NRPARCNEGOCIO@", $P3 ), "@NOME@", $U3 ), "@DTNASCIMENTO@", $V3 ), "@CPF@", $Y3 ), "@NRPESSOA@", $Q3 ), "@NRPESSOAH@", $R3 ), "@DTMESCOMPETENC@", $W3 ), "@IDSEXOPESSOA@", $I3 ), "@NRRGPESSOA@", $Z3 ), "@SGESTADO@", $G3 ), "@NRRELACIONAPARC@", $S3 ), "@NRVINCULOM@", $X3 ), "@NRTIPORELACIONA@", $A3 )</f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'PAULO HENRIQUE DA SILVA SOUSA', 'PAULO HENRIQUE DA SILVA SOUSA', '02/02/2007', '49756456027',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'PAULO HENRIQUE DA SILVA SOUSA', '49756456027', SYSDATE, 5677, '000000099991', '02/02/2007',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'065566' ) ), 32588, 3, 5677, SYSDATE, '000000099991');</v>
      </c>
      <c r="AB3" s="21" t="str">
        <f ca="1" xml:space="preserve"> SUBSTITUTE( SUBSTITUTE( SUBSTITUTE( SUBSTITUTE( SUBSTITUTE( SUBSTITUTE( $AB$2, "@NRORG@", $L$2 ), "@NRDEPVINCULO@", $T3 ), "@NRVINCULOM@", $X3 ), "@NRPESSOA@", $Q3 ), "@NRTIPODEPENDE@", $J3 ), "@DTMESCOMPETENC@", $W3 )</f>
        <v>INSERT INTO FPA_DEPVINCULO ( NRORG, NRDEPVINCULO, NRVINCULOM, NRPESSOA, NRTIPODEPENDE, DTINIDEPENDE, DTINCLUSAO, NRORGINCLUSAO, CDOPERINCLUSAO ) VALUES ( 5677, 24427, ( SELECT MAX(NRVINCULOM) FROM GPE_VINCULOM WHERE NRORG = 5677 AND CDMATRICULA = '065566' ), 16054, 2, '01/02/2023', SYSDATE, 5677, '000000099991' );</v>
      </c>
      <c r="AC3" s="50" t="str">
        <f t="shared" ref="AC3:AC10" ca="1" si="10">IF( AF3 = "existe", IF(N3="insere",AA3&amp;" ","")&amp;IF(O3="insere",AB3&amp;" ","")&amp;IF(COUNTIF(N3:O3,"insere")&gt;0,"COMMIT;",""), "" )</f>
        <v/>
      </c>
      <c r="AD3"/>
      <c r="AE3"/>
      <c r="AF3" s="10" t="str" cm="1">
        <f t="array" aca="1" ref="AF3:AF19" ca="1">IF( COUNTIF( Base!A:A, INDIRECT( AD1 ) ) &gt;= 1, "existe", INDIRECT( AD1 ) )</f>
        <v>065566</v>
      </c>
      <c r="AG3" s="10" t="str" cm="1">
        <f t="array" aca="1" ref="AG3:AG16" ca="1">"  - " &amp; _xlfn._xlws.SORT( _xlfn.UNIQUE( IF(_xlfn.ANCHORARRAY( AF3) &lt;&gt; "existe",_xlfn.ANCHORARRAY( AF3), "" ) ) )</f>
        <v xml:space="preserve">  - 065566</v>
      </c>
      <c r="AH3" s="10"/>
      <c r="AI3"/>
      <c r="AJ3" s="34" t="s">
        <v>32</v>
      </c>
      <c r="AK3" s="35" t="s">
        <v>18</v>
      </c>
      <c r="AL3" s="35" t="s">
        <v>19</v>
      </c>
      <c r="AM3" s="35" t="s">
        <v>20</v>
      </c>
      <c r="AN3" s="35" t="s">
        <v>21</v>
      </c>
      <c r="AO3" s="35" t="s">
        <v>22</v>
      </c>
      <c r="AP3" s="34" t="s">
        <v>32</v>
      </c>
      <c r="AQ3" s="26" t="str">
        <f t="shared" ref="AQ3:AU5" si="11">AK3</f>
        <v>@NRPARCNEGOCIO@</v>
      </c>
      <c r="AR3" s="26" t="str">
        <f t="shared" si="11"/>
        <v>@NRPESSOA@</v>
      </c>
      <c r="AS3" s="26" t="str">
        <f t="shared" si="11"/>
        <v>@NRPESSOAH@</v>
      </c>
      <c r="AT3" s="26" t="str">
        <f t="shared" si="11"/>
        <v>@NRRELACIONAPARC@</v>
      </c>
      <c r="AU3" s="26" t="str">
        <f t="shared" si="11"/>
        <v>@NRDEPVINCULO@</v>
      </c>
      <c r="AV3" s="25"/>
      <c r="AW3" s="26"/>
      <c r="AX3" s="26"/>
      <c r="AY3" s="26"/>
      <c r="AZ3" s="26"/>
      <c r="BA3" s="26"/>
    </row>
    <row r="4" spans="1:54" s="1" customFormat="1" x14ac:dyDescent="0.3">
      <c r="A4">
        <v>3</v>
      </c>
      <c r="B4" t="s">
        <v>89</v>
      </c>
      <c r="C4" s="52">
        <v>44959</v>
      </c>
      <c r="D4" s="1" t="s">
        <v>90</v>
      </c>
      <c r="E4" s="1" t="s">
        <v>91</v>
      </c>
      <c r="F4"/>
      <c r="G4"/>
      <c r="H4" s="52">
        <v>40543</v>
      </c>
      <c r="I4" t="s">
        <v>78</v>
      </c>
      <c r="L4" s="22"/>
      <c r="M4" s="19" t="str">
        <f t="shared" ref="M4:M19" si="12">B4&amp;D4&amp;E4&amp;H4</f>
        <v>065775ALLANA MOREIRA SANTOS RIOS496.439.148-5240543</v>
      </c>
      <c r="N4" s="20" t="str">
        <f>IF(COUNTIF(M$3:$M3,M4)&gt;0,"não","insere")</f>
        <v>insere</v>
      </c>
      <c r="O4" s="20" t="str">
        <f t="shared" ref="O4:O10" si="13">IF(TRIM(J4)="","não","insere")</f>
        <v>não</v>
      </c>
      <c r="P4" s="20">
        <f t="shared" ca="1" si="2"/>
        <v>32588</v>
      </c>
      <c r="Q4" s="20">
        <f t="shared" ca="1" si="3"/>
        <v>16054</v>
      </c>
      <c r="R4" s="20">
        <f t="shared" ca="1" si="4"/>
        <v>14334</v>
      </c>
      <c r="S4" s="20">
        <f t="shared" ca="1" si="5"/>
        <v>117566</v>
      </c>
      <c r="T4" s="20">
        <f t="shared" ca="1" si="6"/>
        <v>24427</v>
      </c>
      <c r="U4" s="33" t="str">
        <f t="shared" ref="U4:U19" si="14">SUBSTITUTE(SUBSTITUTE( TRIM( D4 ), "'", ""), "&amp;", "")</f>
        <v>ALLANA MOREIRA SANTOS RIOS</v>
      </c>
      <c r="V4" s="20" t="str">
        <f t="shared" ref="V4:V13" si="15">IF( TRIM( H4 ) = "", "", TEXT( TRIM( H4 ), "DD/MM/AAAA" ) )</f>
        <v>31/12/2010</v>
      </c>
      <c r="W4" s="20" t="str">
        <f t="shared" si="7"/>
        <v>02/02/2023</v>
      </c>
      <c r="X4" s="20" t="str">
        <f t="shared" si="8"/>
        <v>065775</v>
      </c>
      <c r="Y4" s="20" t="str">
        <f t="shared" ref="Y4:Y10" si="16">TEXT(TRIM(SUBSTITUTE(SUBSTITUTE(E4,".",""),"-","")), "00000000000")</f>
        <v>49643914852</v>
      </c>
      <c r="Z4" s="20" t="str">
        <f t="shared" si="9"/>
        <v/>
      </c>
      <c r="AA4" s="21" t="str">
        <f t="shared" ref="AA4:AA19" ca="1" si="17" xml:space="preserve"> SUBSTITUTE( SUBSTITUTE( SUBSTITUTE( SUBSTITUTE( SUBSTITUTE( SUBSTITUTE( SUBSTITUTE( SUBSTITUTE( SUBSTITUTE( SUBSTITUTE( SUBSTITUTE( SUBSTITUTE( SUBSTITUTE( SUBSTITUTE( $AA$2, "@NRORG@", $L$2 ), "@NRPARCNEGOCIO@", $P4 ), "@NOME@", $U4 ), "@DTNASCIMENTO@", $V4 ), "@CPF@", $Y4 ), "@NRPESSOA@", $Q4 ), "@NRPESSOAH@", $R4 ), "@DTMESCOMPETENC@", $W4 ), "@IDSEXOPESSOA@", $I4 ), "@NRRGPESSOA@", $Z4 ), "@SGESTADO@", $G4 ), "@NRRELACIONAPARC@", $S4 ), "@NRVINCULOM@", $X4 ), "@NRTIPORELACIONA@", $A4 )</f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'ALLANA MOREIRA SANTOS RIOS', 'ALLANA MOREIRA SANTOS RIOS', '31/12/2010', '49643914852',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'02/02/2023', 'ALLANA MOREIRA SANTOS RIOS', '49643914852', SYSDATE, 5677, '000000099991', '31/12/2010', 'F',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'065775' ) ), 32588, 3, 5677, SYSDATE, '000000099991');</v>
      </c>
      <c r="AB4" s="21" t="str">
        <f t="shared" ref="AB4:AB19" ca="1" si="18" xml:space="preserve"> SUBSTITUTE( SUBSTITUTE( SUBSTITUTE( SUBSTITUTE( SUBSTITUTE( SUBSTITUTE( $AB$2, "@NRORG@", $L$2 ), "@NRDEPVINCULO@", $T4 ), "@NRVINCULOM@", $X4 ), "@NRPESSOA@", $Q4 ), "@NRTIPODEPENDE@", $J4 ), "@DTMESCOMPETENC@", $W4 )</f>
        <v>INSERT INTO FPA_DEPVINCULO ( NRORG, NRDEPVINCULO, NRVINCULOM, NRPESSOA, NRTIPODEPENDE, DTINIDEPENDE, DTINCLUSAO, NRORGINCLUSAO, CDOPERINCLUSAO ) VALUES ( 5677, 24427, ( SELECT MAX(NRVINCULOM) FROM GPE_VINCULOM WHERE NRORG = 5677 AND CDMATRICULA = '065775' ), 16054, , '02/02/2023', SYSDATE, 5677, '000000099991' );</v>
      </c>
      <c r="AC4" s="50" t="str">
        <f t="shared" ca="1" si="10"/>
        <v/>
      </c>
      <c r="AF4" s="10" t="str">
        <f ca="1"/>
        <v>065775</v>
      </c>
      <c r="AG4" s="10" t="str">
        <f ca="1"/>
        <v xml:space="preserve">  - 065775</v>
      </c>
      <c r="AH4" s="11"/>
      <c r="AI4"/>
      <c r="AJ4" s="34" t="s">
        <v>33</v>
      </c>
      <c r="AK4" s="36" t="s">
        <v>34</v>
      </c>
      <c r="AL4" s="36" t="s">
        <v>35</v>
      </c>
      <c r="AM4" s="36" t="s">
        <v>36</v>
      </c>
      <c r="AN4" s="36" t="s">
        <v>37</v>
      </c>
      <c r="AO4" s="36" t="s">
        <v>38</v>
      </c>
      <c r="AP4" s="34" t="s">
        <v>33</v>
      </c>
      <c r="AQ4" s="26" t="str">
        <f t="shared" si="11"/>
        <v>PARCNEGOCIO</v>
      </c>
      <c r="AR4" s="26" t="str">
        <f t="shared" si="11"/>
        <v>GPE_PESSOA</v>
      </c>
      <c r="AS4" s="26" t="str">
        <f t="shared" si="11"/>
        <v>GPE_PESSOAH</v>
      </c>
      <c r="AT4" s="26" t="str">
        <f t="shared" si="11"/>
        <v>RELACIONAPARC</v>
      </c>
      <c r="AU4" s="26" t="str">
        <f t="shared" si="11"/>
        <v>FPA_DEPVINCULO</v>
      </c>
      <c r="AV4" s="25" t="s">
        <v>33</v>
      </c>
      <c r="AW4" s="26" t="str">
        <f t="shared" ref="AW4:BA5" si="19">AQ4</f>
        <v>PARCNEGOCIO</v>
      </c>
      <c r="AX4" s="26" t="str">
        <f t="shared" si="19"/>
        <v>GPE_PESSOA</v>
      </c>
      <c r="AY4" s="26" t="str">
        <f t="shared" si="19"/>
        <v>GPE_PESSOAH</v>
      </c>
      <c r="AZ4" s="26" t="str">
        <f t="shared" si="19"/>
        <v>RELACIONAPARC</v>
      </c>
      <c r="BA4" s="26" t="str">
        <f t="shared" si="19"/>
        <v>FPA_DEPVINCULO</v>
      </c>
    </row>
    <row r="5" spans="1:54" s="1" customFormat="1" x14ac:dyDescent="0.3">
      <c r="A5">
        <v>3</v>
      </c>
      <c r="B5" t="s">
        <v>89</v>
      </c>
      <c r="C5" s="52">
        <v>44959</v>
      </c>
      <c r="D5" s="1" t="s">
        <v>90</v>
      </c>
      <c r="E5" s="1" t="s">
        <v>91</v>
      </c>
      <c r="F5"/>
      <c r="G5"/>
      <c r="H5" s="52">
        <v>40543</v>
      </c>
      <c r="I5" t="s">
        <v>78</v>
      </c>
      <c r="J5" s="1">
        <v>2</v>
      </c>
      <c r="L5" s="23"/>
      <c r="M5" s="19" t="str">
        <f t="shared" si="12"/>
        <v>065775ALLANA MOREIRA SANTOS RIOS496.439.148-5240543</v>
      </c>
      <c r="N5" s="20" t="str">
        <f>IF(COUNTIF(M$3:$M4,M5)&gt;0,"não","insere")</f>
        <v>não</v>
      </c>
      <c r="O5" s="20" t="str">
        <f t="shared" si="13"/>
        <v>insere</v>
      </c>
      <c r="P5" s="20">
        <f t="shared" ca="1" si="2"/>
        <v>32588</v>
      </c>
      <c r="Q5" s="20">
        <f t="shared" ca="1" si="3"/>
        <v>16054</v>
      </c>
      <c r="R5" s="20">
        <f t="shared" ca="1" si="4"/>
        <v>14334</v>
      </c>
      <c r="S5" s="20">
        <f t="shared" ca="1" si="5"/>
        <v>117566</v>
      </c>
      <c r="T5" s="20">
        <f t="shared" ca="1" si="6"/>
        <v>24427</v>
      </c>
      <c r="U5" s="33" t="str">
        <f t="shared" si="14"/>
        <v>ALLANA MOREIRA SANTOS RIOS</v>
      </c>
      <c r="V5" s="20" t="str">
        <f t="shared" si="15"/>
        <v>31/12/2010</v>
      </c>
      <c r="W5" s="20" t="str">
        <f t="shared" si="7"/>
        <v>02/02/2023</v>
      </c>
      <c r="X5" s="20" t="str">
        <f t="shared" si="8"/>
        <v>065775</v>
      </c>
      <c r="Y5" s="20" t="str">
        <f t="shared" si="16"/>
        <v>49643914852</v>
      </c>
      <c r="Z5" s="20" t="str">
        <f t="shared" si="9"/>
        <v/>
      </c>
      <c r="AA5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'ALLANA MOREIRA SANTOS RIOS', 'ALLANA MOREIRA SANTOS RIOS', '31/12/2010', '49643914852',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'02/02/2023', 'ALLANA MOREIRA SANTOS RIOS', '49643914852', SYSDATE, 5677, '000000099991', '31/12/2010', 'F',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'065775' ) ), 32588, 3, 5677, SYSDATE, '000000099991');</v>
      </c>
      <c r="AB5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'065775' ), 16054, 2, '02/02/2023', SYSDATE, 5677, '000000099991' );</v>
      </c>
      <c r="AC5" s="50" t="str">
        <f t="shared" ca="1" si="10"/>
        <v/>
      </c>
      <c r="AF5" s="10" t="str">
        <f ca="1"/>
        <v>065775</v>
      </c>
      <c r="AG5" s="10" t="str">
        <f ca="1"/>
        <v xml:space="preserve">  - 065808</v>
      </c>
      <c r="AH5" s="11"/>
      <c r="AI5"/>
      <c r="AJ5" s="34" t="s">
        <v>39</v>
      </c>
      <c r="AK5" s="35" t="s">
        <v>40</v>
      </c>
      <c r="AL5" s="35" t="s">
        <v>41</v>
      </c>
      <c r="AM5" s="35" t="s">
        <v>42</v>
      </c>
      <c r="AN5" s="35" t="s">
        <v>43</v>
      </c>
      <c r="AO5" s="35" t="s">
        <v>44</v>
      </c>
      <c r="AP5" s="34" t="s">
        <v>39</v>
      </c>
      <c r="AQ5" s="26" t="str">
        <f t="shared" si="11"/>
        <v>NRPARCNEGOCIO</v>
      </c>
      <c r="AR5" s="26" t="str">
        <f t="shared" si="11"/>
        <v>NRPESSOA</v>
      </c>
      <c r="AS5" s="26" t="str">
        <f t="shared" si="11"/>
        <v>NRPESSOAH</v>
      </c>
      <c r="AT5" s="26" t="str">
        <f t="shared" si="11"/>
        <v>NRRELACIONAPARC</v>
      </c>
      <c r="AU5" s="26" t="str">
        <f t="shared" si="11"/>
        <v>NRDEPVINCULO</v>
      </c>
      <c r="AV5" s="25" t="s">
        <v>39</v>
      </c>
      <c r="AW5" s="26" t="str">
        <f t="shared" si="19"/>
        <v>NRPARCNEGOCIO</v>
      </c>
      <c r="AX5" s="26" t="str">
        <f t="shared" si="19"/>
        <v>NRPESSOA</v>
      </c>
      <c r="AY5" s="26" t="str">
        <f t="shared" si="19"/>
        <v>NRPESSOAH</v>
      </c>
      <c r="AZ5" s="26" t="str">
        <f t="shared" si="19"/>
        <v>NRRELACIONAPARC</v>
      </c>
      <c r="BA5" s="26" t="str">
        <f t="shared" si="19"/>
        <v>NRDEPVINCULO</v>
      </c>
    </row>
    <row r="6" spans="1:54" s="1" customFormat="1" x14ac:dyDescent="0.3">
      <c r="A6">
        <v>3</v>
      </c>
      <c r="B6" t="s">
        <v>98</v>
      </c>
      <c r="C6" s="52">
        <v>44958</v>
      </c>
      <c r="D6" s="1" t="s">
        <v>99</v>
      </c>
      <c r="E6" s="1" t="s">
        <v>100</v>
      </c>
      <c r="F6"/>
      <c r="G6"/>
      <c r="H6" s="52">
        <v>38853</v>
      </c>
      <c r="I6" t="s">
        <v>78</v>
      </c>
      <c r="J6" s="1">
        <v>2</v>
      </c>
      <c r="L6" s="23"/>
      <c r="M6" s="19" t="str">
        <f t="shared" si="12"/>
        <v>065808DAYELLE DA SILVA GALINDO521.359.198-1038853</v>
      </c>
      <c r="N6" s="20" t="str">
        <f>IF(COUNTIF(M$3:$M5,M6)&gt;0,"não","insere")</f>
        <v>insere</v>
      </c>
      <c r="O6" s="20" t="str">
        <f t="shared" si="13"/>
        <v>insere</v>
      </c>
      <c r="P6" s="20">
        <f t="shared" ca="1" si="2"/>
        <v>32588</v>
      </c>
      <c r="Q6" s="20">
        <f t="shared" ca="1" si="3"/>
        <v>16054</v>
      </c>
      <c r="R6" s="20">
        <f t="shared" ca="1" si="4"/>
        <v>14334</v>
      </c>
      <c r="S6" s="20">
        <f t="shared" ca="1" si="5"/>
        <v>117566</v>
      </c>
      <c r="T6" s="20">
        <f t="shared" ca="1" si="6"/>
        <v>24427</v>
      </c>
      <c r="U6" s="33" t="str">
        <f t="shared" si="14"/>
        <v>DAYELLE DA SILVA GALINDO</v>
      </c>
      <c r="V6" s="20" t="str">
        <f t="shared" si="15"/>
        <v>16/05/2006</v>
      </c>
      <c r="W6" s="20" t="str">
        <f t="shared" si="7"/>
        <v>01/02/2023</v>
      </c>
      <c r="X6" s="20" t="str">
        <f t="shared" si="8"/>
        <v>065808</v>
      </c>
      <c r="Y6" s="20" t="str">
        <f t="shared" si="16"/>
        <v>52135919810</v>
      </c>
      <c r="Z6" s="20" t="str">
        <f t="shared" si="9"/>
        <v/>
      </c>
      <c r="AA6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'DAYELLE DA SILVA GALINDO', 'DAYELLE DA SILVA GALINDO', '16/05/2006', '52135919810',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'DAYELLE DA SILVA GALINDO', '52135919810', SYSDATE, 5677, '000000099991', '16/05/2006', 'F',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'065808' ) ), 32588, 3, 5677, SYSDATE, '000000099991');</v>
      </c>
      <c r="AB6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'065808' ), 16054, 2, '01/02/2023', SYSDATE, 5677, '000000099991' );</v>
      </c>
      <c r="AC6" s="50" t="str">
        <f t="shared" ca="1" si="10"/>
        <v/>
      </c>
      <c r="AF6" s="10" t="str">
        <f ca="1"/>
        <v>065808</v>
      </c>
      <c r="AG6" s="10" t="str">
        <f ca="1"/>
        <v xml:space="preserve">  - 065942</v>
      </c>
      <c r="AH6" s="11"/>
      <c r="AI6"/>
      <c r="AJ6" s="34" t="s">
        <v>84</v>
      </c>
      <c r="AK6" s="37">
        <f>MATCH( AK3, $1:$1, 0 ) - 1</f>
        <v>15</v>
      </c>
      <c r="AL6" s="37">
        <f t="shared" ref="AL6:AO6" si="20">MATCH( AL3, $1:$1, 0 ) - 1</f>
        <v>16</v>
      </c>
      <c r="AM6" s="37">
        <f t="shared" si="20"/>
        <v>17</v>
      </c>
      <c r="AN6" s="37">
        <f t="shared" si="20"/>
        <v>18</v>
      </c>
      <c r="AO6" s="37">
        <f t="shared" si="20"/>
        <v>19</v>
      </c>
      <c r="AP6" s="24"/>
      <c r="AQ6" s="24"/>
      <c r="AR6" s="24"/>
      <c r="AS6" s="24"/>
      <c r="AT6" s="24"/>
      <c r="AU6" s="24"/>
      <c r="AV6" s="25"/>
      <c r="AW6" s="26"/>
      <c r="AX6" s="26"/>
      <c r="AY6" s="26"/>
      <c r="AZ6" s="26"/>
      <c r="BA6" s="26"/>
    </row>
    <row r="7" spans="1:54" s="1" customFormat="1" x14ac:dyDescent="0.3">
      <c r="A7">
        <v>3</v>
      </c>
      <c r="B7" t="s">
        <v>101</v>
      </c>
      <c r="C7" s="52">
        <v>44958</v>
      </c>
      <c r="D7" s="1" t="s">
        <v>102</v>
      </c>
      <c r="E7" s="1" t="s">
        <v>103</v>
      </c>
      <c r="F7"/>
      <c r="G7"/>
      <c r="H7" s="52">
        <v>39026</v>
      </c>
      <c r="I7" t="s">
        <v>10</v>
      </c>
      <c r="J7" s="1">
        <v>2</v>
      </c>
      <c r="L7" s="23"/>
      <c r="M7" s="19" t="str">
        <f t="shared" si="12"/>
        <v>065942DERICK SOARES DE OLIVEIRA205.783.327-5239026</v>
      </c>
      <c r="N7" s="20" t="str">
        <f>IF(COUNTIF(M$3:$M6,M7)&gt;0,"não","insere")</f>
        <v>insere</v>
      </c>
      <c r="O7" s="20" t="str">
        <f t="shared" si="13"/>
        <v>insere</v>
      </c>
      <c r="P7" s="20">
        <f t="shared" ca="1" si="2"/>
        <v>32588</v>
      </c>
      <c r="Q7" s="20">
        <f t="shared" ca="1" si="3"/>
        <v>16054</v>
      </c>
      <c r="R7" s="20">
        <f t="shared" ca="1" si="4"/>
        <v>14334</v>
      </c>
      <c r="S7" s="20">
        <f t="shared" ca="1" si="5"/>
        <v>117566</v>
      </c>
      <c r="T7" s="20">
        <f t="shared" ca="1" si="6"/>
        <v>24427</v>
      </c>
      <c r="U7" s="33" t="str">
        <f t="shared" si="14"/>
        <v>DERICK SOARES DE OLIVEIRA</v>
      </c>
      <c r="V7" s="20" t="str">
        <f t="shared" si="15"/>
        <v>05/11/2006</v>
      </c>
      <c r="W7" s="20" t="str">
        <f t="shared" si="7"/>
        <v>01/02/2023</v>
      </c>
      <c r="X7" s="20" t="str">
        <f t="shared" si="8"/>
        <v>065942</v>
      </c>
      <c r="Y7" s="20" t="str">
        <f t="shared" si="16"/>
        <v>20578332752</v>
      </c>
      <c r="Z7" s="20" t="str">
        <f t="shared" si="9"/>
        <v/>
      </c>
      <c r="AA7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'DERICK SOARES DE OLIVEIRA', 'DERICK SOARES DE OLIVEIRA', '05/11/2006', '20578332752',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'DERICK SOARES DE OLIVEIRA', '20578332752', SYSDATE, 5677, '000000099991', '05/11/2006',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'065942' ) ), 32588, 3, 5677, SYSDATE, '000000099991');</v>
      </c>
      <c r="AB7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'065942' ), 16054, 2, '01/02/2023', SYSDATE, 5677, '000000099991' );</v>
      </c>
      <c r="AC7" s="50" t="str">
        <f t="shared" ca="1" si="10"/>
        <v/>
      </c>
      <c r="AF7" s="10" t="str">
        <f ca="1"/>
        <v>065942</v>
      </c>
      <c r="AG7" s="10" t="str">
        <f ca="1"/>
        <v xml:space="preserve">  - 065946</v>
      </c>
      <c r="AH7" s="11"/>
      <c r="AI7"/>
      <c r="AJ7" s="34" t="s">
        <v>85</v>
      </c>
      <c r="AK7" s="37">
        <f>COUNTA( $A:$A )</f>
        <v>19</v>
      </c>
      <c r="AL7" s="37">
        <f>AK7</f>
        <v>19</v>
      </c>
      <c r="AM7" s="37">
        <f t="shared" ref="AM7:AO7" si="21">AL7</f>
        <v>19</v>
      </c>
      <c r="AN7" s="37">
        <f t="shared" si="21"/>
        <v>19</v>
      </c>
      <c r="AO7" s="37">
        <f t="shared" si="21"/>
        <v>19</v>
      </c>
      <c r="AP7" s="24"/>
      <c r="AQ7" s="24"/>
      <c r="AR7" s="24"/>
      <c r="AS7" s="24"/>
      <c r="AT7" s="24"/>
      <c r="AU7" s="24"/>
      <c r="AV7" s="25"/>
      <c r="AW7" s="26"/>
      <c r="AX7" s="26"/>
      <c r="AY7" s="26"/>
      <c r="AZ7" s="26"/>
      <c r="BA7" s="26"/>
    </row>
    <row r="8" spans="1:54" s="1" customFormat="1" x14ac:dyDescent="0.3">
      <c r="A8">
        <v>3</v>
      </c>
      <c r="B8" t="s">
        <v>101</v>
      </c>
      <c r="C8" s="52">
        <v>44958</v>
      </c>
      <c r="D8" s="1" t="s">
        <v>104</v>
      </c>
      <c r="E8" s="1" t="s">
        <v>105</v>
      </c>
      <c r="F8"/>
      <c r="G8"/>
      <c r="H8" s="52">
        <v>39767</v>
      </c>
      <c r="I8" t="s">
        <v>10</v>
      </c>
      <c r="J8" s="1">
        <v>2</v>
      </c>
      <c r="L8" s="23"/>
      <c r="M8" s="19" t="str">
        <f t="shared" si="12"/>
        <v>065942DEYVID SOARES DE OLIVEIRA205.783.477-8439767</v>
      </c>
      <c r="N8" s="20" t="str">
        <f>IF(COUNTIF(M$3:$M7,M8)&gt;0,"não","insere")</f>
        <v>insere</v>
      </c>
      <c r="O8" s="20" t="str">
        <f t="shared" si="13"/>
        <v>insere</v>
      </c>
      <c r="P8" s="20">
        <f t="shared" ca="1" si="2"/>
        <v>32588</v>
      </c>
      <c r="Q8" s="20">
        <f t="shared" ca="1" si="3"/>
        <v>16054</v>
      </c>
      <c r="R8" s="20">
        <f t="shared" ca="1" si="4"/>
        <v>14334</v>
      </c>
      <c r="S8" s="20">
        <f t="shared" ca="1" si="5"/>
        <v>117566</v>
      </c>
      <c r="T8" s="20">
        <f t="shared" ca="1" si="6"/>
        <v>24427</v>
      </c>
      <c r="U8" s="33" t="str">
        <f t="shared" si="14"/>
        <v>DEYVID SOARES DE OLIVEIRA</v>
      </c>
      <c r="V8" s="20" t="str">
        <f t="shared" si="15"/>
        <v>15/11/2008</v>
      </c>
      <c r="W8" s="20" t="str">
        <f t="shared" si="7"/>
        <v>01/02/2023</v>
      </c>
      <c r="X8" s="20" t="str">
        <f t="shared" si="8"/>
        <v>065942</v>
      </c>
      <c r="Y8" s="20" t="str">
        <f t="shared" si="16"/>
        <v>20578347784</v>
      </c>
      <c r="Z8" s="20" t="str">
        <f t="shared" si="9"/>
        <v/>
      </c>
      <c r="AA8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'DEYVID SOARES DE OLIVEIRA', 'DEYVID SOARES DE OLIVEIRA', '15/11/2008', '20578347784',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'DEYVID SOARES DE OLIVEIRA', '20578347784', SYSDATE, 5677, '000000099991', '15/11/2008',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'065942' ) ), 32588, 3, 5677, SYSDATE, '000000099991');</v>
      </c>
      <c r="AB8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'065942' ), 16054, 2, '01/02/2023', SYSDATE, 5677, '000000099991' );</v>
      </c>
      <c r="AC8" s="50" t="str">
        <f t="shared" ca="1" si="10"/>
        <v/>
      </c>
      <c r="AF8" s="10" t="str">
        <f ca="1"/>
        <v>065942</v>
      </c>
      <c r="AG8" s="10" t="str">
        <f ca="1"/>
        <v xml:space="preserve">  - 065960</v>
      </c>
      <c r="AH8" s="11"/>
      <c r="AI8"/>
      <c r="AJ8" s="34" t="s">
        <v>45</v>
      </c>
      <c r="AK8" s="37">
        <f ca="1">MIN( OFFSET( $A$1, 2, AK6, AK7, 1 ) )</f>
        <v>32588</v>
      </c>
      <c r="AL8" s="37">
        <f t="shared" ref="AL8:AO8" ca="1" si="22">MIN( OFFSET( $A$1, 2, AL6, AL7, 1 ) )</f>
        <v>16054</v>
      </c>
      <c r="AM8" s="37">
        <f t="shared" ca="1" si="22"/>
        <v>14334</v>
      </c>
      <c r="AN8" s="37">
        <f t="shared" ca="1" si="22"/>
        <v>117566</v>
      </c>
      <c r="AO8" s="37">
        <f t="shared" ca="1" si="22"/>
        <v>24427</v>
      </c>
      <c r="AP8" s="34" t="s">
        <v>45</v>
      </c>
      <c r="AQ8" s="26">
        <f t="shared" ref="AQ8:AU9" ca="1" si="23">AK8</f>
        <v>32588</v>
      </c>
      <c r="AR8" s="26">
        <f t="shared" ca="1" si="23"/>
        <v>16054</v>
      </c>
      <c r="AS8" s="26">
        <f t="shared" ca="1" si="23"/>
        <v>14334</v>
      </c>
      <c r="AT8" s="26">
        <f t="shared" ca="1" si="23"/>
        <v>117566</v>
      </c>
      <c r="AU8" s="26">
        <f t="shared" ca="1" si="23"/>
        <v>24427</v>
      </c>
      <c r="AV8" s="25"/>
      <c r="AW8" s="26"/>
      <c r="AX8" s="26"/>
      <c r="AY8" s="26"/>
      <c r="AZ8" s="26"/>
      <c r="BA8" s="26"/>
    </row>
    <row r="9" spans="1:54" s="1" customFormat="1" x14ac:dyDescent="0.3">
      <c r="A9">
        <v>3</v>
      </c>
      <c r="B9" t="s">
        <v>112</v>
      </c>
      <c r="C9" s="52">
        <v>44958</v>
      </c>
      <c r="D9" s="1" t="s">
        <v>113</v>
      </c>
      <c r="E9" s="53" t="s">
        <v>114</v>
      </c>
      <c r="F9"/>
      <c r="G9"/>
      <c r="H9" s="52">
        <v>38895</v>
      </c>
      <c r="I9" t="s">
        <v>10</v>
      </c>
      <c r="J9" s="1">
        <v>2</v>
      </c>
      <c r="L9" s="23"/>
      <c r="M9" s="19" t="str">
        <f t="shared" si="12"/>
        <v>065946HUBERT DE OLIVEIRA LIMA959.110.490-1538895</v>
      </c>
      <c r="N9" s="20" t="str">
        <f>IF(COUNTIF(M$3:$M8,M9)&gt;0,"não","insere")</f>
        <v>insere</v>
      </c>
      <c r="O9" s="20" t="str">
        <f t="shared" si="13"/>
        <v>insere</v>
      </c>
      <c r="P9" s="20">
        <f t="shared" ca="1" si="2"/>
        <v>32588</v>
      </c>
      <c r="Q9" s="20">
        <f t="shared" ca="1" si="3"/>
        <v>16054</v>
      </c>
      <c r="R9" s="20">
        <f t="shared" ca="1" si="4"/>
        <v>14334</v>
      </c>
      <c r="S9" s="20">
        <f t="shared" ca="1" si="5"/>
        <v>117566</v>
      </c>
      <c r="T9" s="20">
        <f t="shared" ca="1" si="6"/>
        <v>24427</v>
      </c>
      <c r="U9" s="33" t="str">
        <f t="shared" si="14"/>
        <v>HUBERT DE OLIVEIRA LIMA</v>
      </c>
      <c r="V9" s="20" t="str">
        <f t="shared" si="15"/>
        <v>27/06/2006</v>
      </c>
      <c r="W9" s="20" t="str">
        <f t="shared" si="7"/>
        <v>01/02/2023</v>
      </c>
      <c r="X9" s="20" t="str">
        <f t="shared" si="8"/>
        <v>065946</v>
      </c>
      <c r="Y9" s="20" t="str">
        <f t="shared" si="16"/>
        <v>95911049015</v>
      </c>
      <c r="Z9" s="20" t="str">
        <f t="shared" si="9"/>
        <v/>
      </c>
      <c r="AA9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'HUBERT DE OLIVEIRA LIMA', 'HUBERT DE OLIVEIRA LIMA', '27/06/2006', '95911049015',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'HUBERT DE OLIVEIRA LIMA', '95911049015', SYSDATE, 5677, '000000099991', '27/06/2006',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'065946' ) ), 32588, 3, 5677, SYSDATE, '000000099991');</v>
      </c>
      <c r="AB9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'065946' ), 16054, 2, '01/02/2023', SYSDATE, 5677, '000000099991' );</v>
      </c>
      <c r="AC9" s="50" t="str">
        <f t="shared" ca="1" si="10"/>
        <v/>
      </c>
      <c r="AF9" s="10" t="str">
        <f ca="1"/>
        <v>065946</v>
      </c>
      <c r="AG9" s="10" t="str">
        <f ca="1"/>
        <v xml:space="preserve">  - 065974</v>
      </c>
      <c r="AH9" s="11"/>
      <c r="AI9"/>
      <c r="AJ9" s="34" t="s">
        <v>46</v>
      </c>
      <c r="AK9" s="37">
        <f ca="1">MAX( OFFSET( $A$1, 2, AK6, AK7, 1 ) )</f>
        <v>32588</v>
      </c>
      <c r="AL9" s="37">
        <f t="shared" ref="AL9:AO9" ca="1" si="24">MAX( OFFSET( $A$1, 2, AL6, AL7, 1 ) )</f>
        <v>16054</v>
      </c>
      <c r="AM9" s="37">
        <f t="shared" ca="1" si="24"/>
        <v>14334</v>
      </c>
      <c r="AN9" s="37">
        <f t="shared" ca="1" si="24"/>
        <v>117566</v>
      </c>
      <c r="AO9" s="37">
        <f t="shared" ca="1" si="24"/>
        <v>24427</v>
      </c>
      <c r="AP9" s="34" t="s">
        <v>46</v>
      </c>
      <c r="AQ9" s="26">
        <f t="shared" ca="1" si="23"/>
        <v>32588</v>
      </c>
      <c r="AR9" s="26">
        <f t="shared" ca="1" si="23"/>
        <v>16054</v>
      </c>
      <c r="AS9" s="26">
        <f t="shared" ca="1" si="23"/>
        <v>14334</v>
      </c>
      <c r="AT9" s="26">
        <f t="shared" ca="1" si="23"/>
        <v>117566</v>
      </c>
      <c r="AU9" s="26">
        <f t="shared" ca="1" si="23"/>
        <v>24427</v>
      </c>
      <c r="AV9" s="25"/>
      <c r="AW9" s="26"/>
      <c r="AX9" s="26"/>
      <c r="AY9" s="26"/>
      <c r="AZ9" s="26"/>
      <c r="BA9" s="26"/>
    </row>
    <row r="10" spans="1:54" x14ac:dyDescent="0.3">
      <c r="A10">
        <v>3</v>
      </c>
      <c r="B10" t="s">
        <v>128</v>
      </c>
      <c r="C10" s="52">
        <v>44958</v>
      </c>
      <c r="D10" s="1" t="s">
        <v>129</v>
      </c>
      <c r="E10" s="53" t="s">
        <v>130</v>
      </c>
      <c r="H10" s="52">
        <v>39105</v>
      </c>
      <c r="I10" t="s">
        <v>10</v>
      </c>
      <c r="J10" s="1">
        <v>2</v>
      </c>
      <c r="L10" s="23"/>
      <c r="M10" s="19" t="str">
        <f t="shared" si="12"/>
        <v>065960THIERRY HENRY DA SILVA627.171.260-6639105</v>
      </c>
      <c r="N10" s="20" t="str">
        <f>IF(COUNTIF(M$3:$M9,M10)&gt;0,"não","insere")</f>
        <v>insere</v>
      </c>
      <c r="O10" s="20" t="str">
        <f t="shared" si="13"/>
        <v>insere</v>
      </c>
      <c r="P10" s="20">
        <f t="shared" ca="1" si="2"/>
        <v>32588</v>
      </c>
      <c r="Q10" s="20">
        <f t="shared" ca="1" si="3"/>
        <v>16054</v>
      </c>
      <c r="R10" s="20">
        <f t="shared" ca="1" si="4"/>
        <v>14334</v>
      </c>
      <c r="S10" s="20">
        <f t="shared" ca="1" si="5"/>
        <v>117566</v>
      </c>
      <c r="T10" s="20">
        <f t="shared" ca="1" si="6"/>
        <v>24427</v>
      </c>
      <c r="U10" s="33" t="str">
        <f t="shared" si="14"/>
        <v>THIERRY HENRY DA SILVA</v>
      </c>
      <c r="V10" s="20" t="str">
        <f t="shared" si="15"/>
        <v>23/01/2007</v>
      </c>
      <c r="W10" s="20" t="str">
        <f t="shared" ref="W10" si="25">TEXT(C10,"DD/MM/AAAA")</f>
        <v>01/02/2023</v>
      </c>
      <c r="X10" s="20" t="str">
        <f t="shared" si="8"/>
        <v>065960</v>
      </c>
      <c r="Y10" s="20" t="str">
        <f t="shared" si="16"/>
        <v>62717126066</v>
      </c>
      <c r="Z10" s="20" t="str">
        <f t="shared" ref="Z10" si="26">TRIM(SUBSTITUTE(SUBSTITUTE(F10,".",""),"-",""))</f>
        <v/>
      </c>
      <c r="AA10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'THIERRY HENRY DA SILVA', 'THIERRY HENRY DA SILVA', '23/01/2007', '62717126066',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'THIERRY HENRY DA SILVA', '62717126066', SYSDATE, 5677, '000000099991', '23/01/2007',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'065960' ) ), 32588, 3, 5677, SYSDATE, '000000099991');</v>
      </c>
      <c r="AB10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'065960' ), 16054, 2, '01/02/2023', SYSDATE, 5677, '000000099991' );</v>
      </c>
      <c r="AC10" s="50" t="str">
        <f t="shared" ca="1" si="10"/>
        <v/>
      </c>
      <c r="AF10" s="10" t="str">
        <f ca="1"/>
        <v>065960</v>
      </c>
      <c r="AG10" s="10" t="str">
        <f ca="1"/>
        <v xml:space="preserve">  - 065985</v>
      </c>
      <c r="AJ10" s="34" t="s">
        <v>47</v>
      </c>
      <c r="AK10" s="37">
        <f ca="1">AK9-AK8+1</f>
        <v>1</v>
      </c>
      <c r="AL10" s="37">
        <f t="shared" ref="AL10:AO10" ca="1" si="27">AL9-AL8+1</f>
        <v>1</v>
      </c>
      <c r="AM10" s="37">
        <f t="shared" ca="1" si="27"/>
        <v>1</v>
      </c>
      <c r="AN10" s="37">
        <f t="shared" ca="1" si="27"/>
        <v>1</v>
      </c>
      <c r="AO10" s="37">
        <f t="shared" ca="1" si="27"/>
        <v>1</v>
      </c>
      <c r="AP10" s="24"/>
      <c r="AQ10" s="24"/>
      <c r="AR10" s="24"/>
      <c r="AS10" s="24"/>
      <c r="AT10" s="24"/>
      <c r="AU10" s="24"/>
      <c r="AV10" s="25"/>
      <c r="AW10" s="26"/>
      <c r="AX10" s="26"/>
      <c r="AY10" s="26"/>
      <c r="AZ10" s="26"/>
      <c r="BA10" s="26"/>
    </row>
    <row r="11" spans="1:54" x14ac:dyDescent="0.3">
      <c r="A11">
        <v>3</v>
      </c>
      <c r="B11" t="s">
        <v>115</v>
      </c>
      <c r="C11" s="52">
        <v>44958</v>
      </c>
      <c r="D11" s="1" t="s">
        <v>116</v>
      </c>
      <c r="E11" s="53" t="s">
        <v>117</v>
      </c>
      <c r="H11" s="52">
        <v>39738</v>
      </c>
      <c r="I11" t="s">
        <v>10</v>
      </c>
      <c r="J11" s="1">
        <v>2</v>
      </c>
      <c r="L11" s="23"/>
      <c r="M11" s="19" t="str">
        <f t="shared" si="12"/>
        <v>065974JHONATA VITOR NOGUEIRA DA SILVA215.530.650-4239738</v>
      </c>
      <c r="N11" s="20" t="str">
        <f>IF(COUNTIF(M$3:$M10,M11)&gt;0,"não","insere")</f>
        <v>insere</v>
      </c>
      <c r="O11" s="20" t="str">
        <f t="shared" ref="O11:O13" si="28">IF(TRIM(J11)="","não","insere")</f>
        <v>insere</v>
      </c>
      <c r="P11" s="20">
        <f t="shared" ref="P11:P13" ca="1" si="29">IF( AND( $N11 = "insere", AF11 = "existe" ), P10 + 1, P10 )</f>
        <v>32588</v>
      </c>
      <c r="Q11" s="20">
        <f t="shared" ref="Q11:Q13" ca="1" si="30">IF( AND( $N11 = "insere", AF11 = "existe" ), Q10 + 1, Q10 )</f>
        <v>16054</v>
      </c>
      <c r="R11" s="20">
        <f t="shared" ref="R11:R13" ca="1" si="31">IF( AND( $N11 = "insere", AF11 = "existe" ), R10 + 1, R10 )</f>
        <v>14334</v>
      </c>
      <c r="S11" s="20">
        <f t="shared" ref="S11:S13" ca="1" si="32">IF( AND( $N11 = "insere", AF11 = "existe" ), S10 + 1, S10 )</f>
        <v>117566</v>
      </c>
      <c r="T11" s="20">
        <f t="shared" ref="T11:T13" ca="1" si="33">IF( AND( $O11 = "insere", AF11 = "existe" ), T10 + 1, T10 )</f>
        <v>24427</v>
      </c>
      <c r="U11" s="33" t="str">
        <f t="shared" si="14"/>
        <v>JHONATA VITOR NOGUEIRA DA SILVA</v>
      </c>
      <c r="V11" s="20" t="str">
        <f t="shared" si="15"/>
        <v>17/10/2008</v>
      </c>
      <c r="W11" s="20" t="str">
        <f t="shared" ref="W11:W13" si="34">TEXT(C11,"DD/MM/AAAA")</f>
        <v>01/02/2023</v>
      </c>
      <c r="X11" s="20" t="str">
        <f t="shared" ref="X11:X13" si="35">B11</f>
        <v>065974</v>
      </c>
      <c r="Y11" s="20" t="str">
        <f t="shared" ref="Y11:Y13" si="36">TEXT(TRIM(SUBSTITUTE(SUBSTITUTE(E11,".",""),"-","")), "00000000000")</f>
        <v>21553065042</v>
      </c>
      <c r="Z11" s="20" t="str">
        <f t="shared" ref="Z11:Z13" si="37">TRIM(SUBSTITUTE(SUBSTITUTE(F11,".",""),"-",""))</f>
        <v/>
      </c>
      <c r="AA11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'JHONATA VITOR NOGUEIRA DA SILVA', 'JHONATA VITOR NOGUEIRA DA SILVA', '17/10/2008', '21553065042',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'JHONATA VITOR NOGUEIRA DA SILVA', '21553065042', SYSDATE, 5677, '000000099991', '17/10/2008',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'065974' ) ), 32588, 3, 5677, SYSDATE, '000000099991');</v>
      </c>
      <c r="AB11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'065974' ), 16054, 2, '01/02/2023', SYSDATE, 5677, '000000099991' );</v>
      </c>
      <c r="AC11" s="50" t="str">
        <f t="shared" ref="AC11:AC13" ca="1" si="38">IF( AF11 = "existe", IF(N11="insere",AA11&amp;" ","")&amp;IF(O11="insere",AB11&amp;" ","")&amp;IF(COUNTIF(N11:O11,"insere")&gt;0,"COMMIT;",""), "" )</f>
        <v/>
      </c>
      <c r="AF11" s="10" t="str">
        <f ca="1"/>
        <v>065974</v>
      </c>
      <c r="AG11" s="10" t="str">
        <f ca="1"/>
        <v xml:space="preserve">  - 065995</v>
      </c>
      <c r="AJ11" s="34" t="s">
        <v>48</v>
      </c>
      <c r="AK11" s="37">
        <f ca="1">OFFSET($A$1,1,MATCH(AJ11,$1:$1,0)-1)</f>
        <v>5677</v>
      </c>
      <c r="AL11" s="37">
        <f ca="1">AK11</f>
        <v>5677</v>
      </c>
      <c r="AM11" s="37">
        <f ca="1">AL11</f>
        <v>5677</v>
      </c>
      <c r="AN11" s="37">
        <f ca="1">AM11</f>
        <v>5677</v>
      </c>
      <c r="AO11" s="37">
        <f ca="1">AN11</f>
        <v>5677</v>
      </c>
      <c r="AP11" s="34" t="s">
        <v>48</v>
      </c>
      <c r="AQ11" s="26">
        <f ca="1">AK11</f>
        <v>5677</v>
      </c>
      <c r="AR11" s="26">
        <f ca="1">AL11</f>
        <v>5677</v>
      </c>
      <c r="AS11" s="26">
        <f ca="1">AM11</f>
        <v>5677</v>
      </c>
      <c r="AT11" s="26">
        <f ca="1">AN11</f>
        <v>5677</v>
      </c>
      <c r="AU11" s="26">
        <f ca="1">AO11</f>
        <v>5677</v>
      </c>
      <c r="AV11" s="25" t="s">
        <v>48</v>
      </c>
      <c r="AW11" s="26">
        <f ca="1">AQ11</f>
        <v>5677</v>
      </c>
      <c r="AX11" s="26">
        <f t="shared" ref="AX11:BA11" ca="1" si="39">AR11</f>
        <v>5677</v>
      </c>
      <c r="AY11" s="26">
        <f t="shared" ca="1" si="39"/>
        <v>5677</v>
      </c>
      <c r="AZ11" s="26">
        <f t="shared" ca="1" si="39"/>
        <v>5677</v>
      </c>
      <c r="BA11" s="26">
        <f t="shared" ca="1" si="39"/>
        <v>5677</v>
      </c>
    </row>
    <row r="12" spans="1:54" x14ac:dyDescent="0.3">
      <c r="A12">
        <v>3</v>
      </c>
      <c r="B12" t="s">
        <v>125</v>
      </c>
      <c r="C12" s="52">
        <v>44958</v>
      </c>
      <c r="D12" s="1" t="s">
        <v>126</v>
      </c>
      <c r="E12" s="1" t="s">
        <v>127</v>
      </c>
      <c r="H12" s="52">
        <v>39737</v>
      </c>
      <c r="I12" t="s">
        <v>10</v>
      </c>
      <c r="J12" s="1">
        <v>2</v>
      </c>
      <c r="L12" s="23"/>
      <c r="M12" s="19" t="str">
        <f t="shared" si="12"/>
        <v>065985RYAN CORREA CASTELHANO203.803.777-9939737</v>
      </c>
      <c r="N12" s="20" t="str">
        <f>IF(COUNTIF(M$3:$M11,M12)&gt;0,"não","insere")</f>
        <v>insere</v>
      </c>
      <c r="O12" s="20" t="str">
        <f t="shared" si="28"/>
        <v>insere</v>
      </c>
      <c r="P12" s="20">
        <f t="shared" ca="1" si="29"/>
        <v>32588</v>
      </c>
      <c r="Q12" s="20">
        <f t="shared" ca="1" si="30"/>
        <v>16054</v>
      </c>
      <c r="R12" s="20">
        <f t="shared" ca="1" si="31"/>
        <v>14334</v>
      </c>
      <c r="S12" s="20">
        <f t="shared" ca="1" si="32"/>
        <v>117566</v>
      </c>
      <c r="T12" s="20">
        <f t="shared" ca="1" si="33"/>
        <v>24427</v>
      </c>
      <c r="U12" s="33" t="str">
        <f t="shared" si="14"/>
        <v>RYAN CORREA CASTELHANO</v>
      </c>
      <c r="V12" s="20" t="str">
        <f t="shared" si="15"/>
        <v>16/10/2008</v>
      </c>
      <c r="W12" s="20" t="str">
        <f t="shared" si="34"/>
        <v>01/02/2023</v>
      </c>
      <c r="X12" s="20" t="str">
        <f t="shared" si="35"/>
        <v>065985</v>
      </c>
      <c r="Y12" s="20" t="str">
        <f t="shared" si="36"/>
        <v>20380377799</v>
      </c>
      <c r="Z12" s="20" t="str">
        <f t="shared" si="37"/>
        <v/>
      </c>
      <c r="AA12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'RYAN CORREA CASTELHANO', 'RYAN CORREA CASTELHANO', '16/10/2008', '20380377799',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'RYAN CORREA CASTELHANO', '20380377799', SYSDATE, 5677, '000000099991', '16/10/2008',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'065985' ) ), 32588, 3, 5677, SYSDATE, '000000099991');</v>
      </c>
      <c r="AB12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'065985' ), 16054, 2, '01/02/2023', SYSDATE, 5677, '000000099991' );</v>
      </c>
      <c r="AC12" s="50" t="str">
        <f t="shared" ca="1" si="38"/>
        <v/>
      </c>
      <c r="AF12" s="10" t="str">
        <f ca="1"/>
        <v>065985</v>
      </c>
      <c r="AG12" s="10" t="str">
        <f ca="1"/>
        <v xml:space="preserve">  - 066007</v>
      </c>
    </row>
    <row r="13" spans="1:54" x14ac:dyDescent="0.3">
      <c r="A13">
        <v>3</v>
      </c>
      <c r="B13" t="s">
        <v>95</v>
      </c>
      <c r="C13" s="52">
        <v>44958</v>
      </c>
      <c r="D13" s="1" t="s">
        <v>96</v>
      </c>
      <c r="E13" s="1" t="s">
        <v>97</v>
      </c>
      <c r="H13" s="52">
        <v>39590</v>
      </c>
      <c r="I13" t="s">
        <v>10</v>
      </c>
      <c r="J13" s="1">
        <v>2</v>
      </c>
      <c r="L13" s="23"/>
      <c r="M13" s="19" t="str">
        <f t="shared" si="12"/>
        <v>065995ANDREY MENEGUCI DOS SANTOS151.179.967-6339590</v>
      </c>
      <c r="N13" s="20" t="str">
        <f>IF(COUNTIF(M$3:$M12,M13)&gt;0,"não","insere")</f>
        <v>insere</v>
      </c>
      <c r="O13" s="20" t="str">
        <f t="shared" si="28"/>
        <v>insere</v>
      </c>
      <c r="P13" s="20">
        <f t="shared" ca="1" si="29"/>
        <v>32588</v>
      </c>
      <c r="Q13" s="20">
        <f t="shared" ca="1" si="30"/>
        <v>16054</v>
      </c>
      <c r="R13" s="20">
        <f t="shared" ca="1" si="31"/>
        <v>14334</v>
      </c>
      <c r="S13" s="20">
        <f t="shared" ca="1" si="32"/>
        <v>117566</v>
      </c>
      <c r="T13" s="20">
        <f t="shared" ca="1" si="33"/>
        <v>24427</v>
      </c>
      <c r="U13" s="33" t="str">
        <f t="shared" si="14"/>
        <v>ANDREY MENEGUCI DOS SANTOS</v>
      </c>
      <c r="V13" s="20" t="str">
        <f t="shared" si="15"/>
        <v>22/05/2008</v>
      </c>
      <c r="W13" s="20" t="str">
        <f t="shared" si="34"/>
        <v>01/02/2023</v>
      </c>
      <c r="X13" s="20" t="str">
        <f t="shared" si="35"/>
        <v>065995</v>
      </c>
      <c r="Y13" s="20" t="str">
        <f t="shared" si="36"/>
        <v>15117996763</v>
      </c>
      <c r="Z13" s="20" t="str">
        <f t="shared" si="37"/>
        <v/>
      </c>
      <c r="AA13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'ANDREY MENEGUCI DOS SANTOS', 'ANDREY MENEGUCI DOS SANTOS', '22/05/2008', '15117996763',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'ANDREY MENEGUCI DOS SANTOS', '15117996763', SYSDATE, 5677, '000000099991', '22/05/2008',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'065995' ) ), 32588, 3, 5677, SYSDATE, '000000099991');</v>
      </c>
      <c r="AB13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'065995' ), 16054, 2, '01/02/2023', SYSDATE, 5677, '000000099991' );</v>
      </c>
      <c r="AC13" s="50" t="str">
        <f t="shared" ca="1" si="38"/>
        <v/>
      </c>
      <c r="AF13" s="10" t="str">
        <f ca="1"/>
        <v>065995</v>
      </c>
      <c r="AG13" s="10" t="str">
        <f ca="1"/>
        <v xml:space="preserve">  - 066010</v>
      </c>
    </row>
    <row r="14" spans="1:54" x14ac:dyDescent="0.3">
      <c r="A14">
        <v>3</v>
      </c>
      <c r="B14" t="s">
        <v>95</v>
      </c>
      <c r="C14" s="52">
        <v>44958</v>
      </c>
      <c r="D14" s="1" t="s">
        <v>118</v>
      </c>
      <c r="E14" s="1" t="s">
        <v>119</v>
      </c>
      <c r="H14" s="52">
        <v>38628</v>
      </c>
      <c r="I14" t="s">
        <v>10</v>
      </c>
      <c r="J14" s="1">
        <v>2</v>
      </c>
      <c r="L14" s="23"/>
      <c r="M14" s="19" t="str">
        <f t="shared" si="12"/>
        <v>065995MARLON MENEGUCI DOS SANTOS151.179.927-7638628</v>
      </c>
      <c r="N14" s="20" t="str">
        <f>IF(COUNTIF(M$3:$M13,M14)&gt;0,"não","insere")</f>
        <v>insere</v>
      </c>
      <c r="O14" s="20" t="str">
        <f t="shared" ref="O14:O19" si="40">IF(TRIM(J14)="","não","insere")</f>
        <v>insere</v>
      </c>
      <c r="P14" s="20">
        <f t="shared" ref="P14:P19" ca="1" si="41">IF( AND( $N14 = "insere", AF14 = "existe" ), P13 + 1, P13 )</f>
        <v>32588</v>
      </c>
      <c r="Q14" s="20">
        <f t="shared" ref="Q14:Q19" ca="1" si="42">IF( AND( $N14 = "insere", AF14 = "existe" ), Q13 + 1, Q13 )</f>
        <v>16054</v>
      </c>
      <c r="R14" s="20">
        <f t="shared" ref="R14:R19" ca="1" si="43">IF( AND( $N14 = "insere", AF14 = "existe" ), R13 + 1, R13 )</f>
        <v>14334</v>
      </c>
      <c r="S14" s="20">
        <f t="shared" ref="S14:S19" ca="1" si="44">IF( AND( $N14 = "insere", AF14 = "existe" ), S13 + 1, S13 )</f>
        <v>117566</v>
      </c>
      <c r="T14" s="20">
        <f t="shared" ref="T14:T19" ca="1" si="45">IF( AND( $O14 = "insere", AF14 = "existe" ), T13 + 1, T13 )</f>
        <v>24427</v>
      </c>
      <c r="U14" s="33" t="str">
        <f t="shared" si="14"/>
        <v>MARLON MENEGUCI DOS SANTOS</v>
      </c>
      <c r="V14" s="20" t="str">
        <f t="shared" ref="V14:V19" si="46">IF( TRIM( H14 ) = "", "", TEXT( TRIM( H14 ), "DD/MM/AAAA" ) )</f>
        <v>03/10/2005</v>
      </c>
      <c r="W14" s="20" t="str">
        <f t="shared" ref="W14:W19" si="47">TEXT(C14,"DD/MM/AAAA")</f>
        <v>01/02/2023</v>
      </c>
      <c r="X14" s="20" t="str">
        <f t="shared" ref="X14:X19" si="48">B14</f>
        <v>065995</v>
      </c>
      <c r="Y14" s="20" t="str">
        <f t="shared" ref="Y14:Y19" si="49">TEXT(TRIM(SUBSTITUTE(SUBSTITUTE(E14,".",""),"-","")), "00000000000")</f>
        <v>15117992776</v>
      </c>
      <c r="Z14" s="20" t="str">
        <f t="shared" ref="Z14:Z19" si="50">TRIM(SUBSTITUTE(SUBSTITUTE(F14,".",""),"-",""))</f>
        <v/>
      </c>
      <c r="AA14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'MARLON MENEGUCI DOS SANTOS', 'MARLON MENEGUCI DOS SANTOS', '03/10/2005', '15117992776',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'MARLON MENEGUCI DOS SANTOS', '15117992776', SYSDATE, 5677, '000000099991', '03/10/2005',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'065995' ) ), 32588, 3, 5677, SYSDATE, '000000099991');</v>
      </c>
      <c r="AB14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'065995' ), 16054, 2, '01/02/2023', SYSDATE, 5677, '000000099991' );</v>
      </c>
      <c r="AC14" s="50" t="str">
        <f t="shared" ref="AC14:AC19" ca="1" si="51">IF( AF14 = "existe", IF(N14="insere",AA14&amp;" ","")&amp;IF(O14="insere",AB14&amp;" ","")&amp;IF(COUNTIF(N14:O14,"insere")&gt;0,"COMMIT;",""), "" )</f>
        <v/>
      </c>
      <c r="AF14" s="10" t="str">
        <f ca="1"/>
        <v>065995</v>
      </c>
      <c r="AG14" s="10" t="str">
        <f ca="1"/>
        <v xml:space="preserve">  - 066014</v>
      </c>
    </row>
    <row r="15" spans="1:54" x14ac:dyDescent="0.3">
      <c r="A15">
        <v>3</v>
      </c>
      <c r="B15" t="s">
        <v>109</v>
      </c>
      <c r="C15" s="52">
        <v>44958</v>
      </c>
      <c r="D15" s="1" t="s">
        <v>110</v>
      </c>
      <c r="E15" s="1" t="s">
        <v>111</v>
      </c>
      <c r="H15" s="52">
        <v>39853</v>
      </c>
      <c r="I15" t="s">
        <v>10</v>
      </c>
      <c r="J15" s="1">
        <v>2</v>
      </c>
      <c r="L15" s="23"/>
      <c r="M15" s="19" t="str">
        <f t="shared" si="12"/>
        <v>066007GABRIEL ANDRADE DE SANT ANNA204.919.257-6039853</v>
      </c>
      <c r="N15" s="20" t="str">
        <f>IF(COUNTIF(M$3:$M14,M15)&gt;0,"não","insere")</f>
        <v>insere</v>
      </c>
      <c r="O15" s="20" t="str">
        <f t="shared" si="40"/>
        <v>insere</v>
      </c>
      <c r="P15" s="20">
        <f t="shared" ca="1" si="41"/>
        <v>32588</v>
      </c>
      <c r="Q15" s="20">
        <f t="shared" ca="1" si="42"/>
        <v>16054</v>
      </c>
      <c r="R15" s="20">
        <f t="shared" ca="1" si="43"/>
        <v>14334</v>
      </c>
      <c r="S15" s="20">
        <f t="shared" ca="1" si="44"/>
        <v>117566</v>
      </c>
      <c r="T15" s="20">
        <f t="shared" ca="1" si="45"/>
        <v>24427</v>
      </c>
      <c r="U15" s="33" t="str">
        <f t="shared" si="14"/>
        <v>GABRIEL ANDRADE DE SANT ANNA</v>
      </c>
      <c r="V15" s="20" t="str">
        <f t="shared" si="46"/>
        <v>09/02/2009</v>
      </c>
      <c r="W15" s="20" t="str">
        <f t="shared" si="47"/>
        <v>01/02/2023</v>
      </c>
      <c r="X15" s="20" t="str">
        <f t="shared" si="48"/>
        <v>066007</v>
      </c>
      <c r="Y15" s="20" t="str">
        <f t="shared" si="49"/>
        <v>20491925760</v>
      </c>
      <c r="Z15" s="20" t="str">
        <f t="shared" si="50"/>
        <v/>
      </c>
      <c r="AA15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'GABRIEL ANDRADE DE SANT ANNA', 'GABRIEL ANDRADE DE SANT ANNA', '09/02/2009', '20491925760',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'GABRIEL ANDRADE DE SANT ANNA', '20491925760', SYSDATE, 5677, '000000099991', '09/02/2009',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'066007' ) ), 32588, 3, 5677, SYSDATE, '000000099991');</v>
      </c>
      <c r="AB15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'066007' ), 16054, 2, '01/02/2023', SYSDATE, 5677, '000000099991' );</v>
      </c>
      <c r="AC15" s="50" t="str">
        <f t="shared" ca="1" si="51"/>
        <v/>
      </c>
      <c r="AF15" s="10" t="str">
        <f ca="1"/>
        <v>066007</v>
      </c>
      <c r="AG15" s="10" t="str">
        <f ca="1"/>
        <v xml:space="preserve">  - 066034</v>
      </c>
    </row>
    <row r="16" spans="1:54" x14ac:dyDescent="0.3">
      <c r="A16">
        <v>3</v>
      </c>
      <c r="B16" t="s">
        <v>122</v>
      </c>
      <c r="C16" s="52">
        <v>44958</v>
      </c>
      <c r="D16" s="1" t="s">
        <v>123</v>
      </c>
      <c r="E16" s="1" t="s">
        <v>124</v>
      </c>
      <c r="H16" s="52">
        <v>39542</v>
      </c>
      <c r="I16" t="s">
        <v>78</v>
      </c>
      <c r="J16" s="1">
        <v>2</v>
      </c>
      <c r="L16" s="23"/>
      <c r="M16" s="19" t="str">
        <f t="shared" si="12"/>
        <v>066010REBECKA KHAYT ANGHELLS DOS SANTOS SILVA184.120.187-1039542</v>
      </c>
      <c r="N16" s="20" t="str">
        <f>IF(COUNTIF(M$3:$M15,M16)&gt;0,"não","insere")</f>
        <v>insere</v>
      </c>
      <c r="O16" s="20" t="str">
        <f t="shared" si="40"/>
        <v>insere</v>
      </c>
      <c r="P16" s="20">
        <f t="shared" ca="1" si="41"/>
        <v>32588</v>
      </c>
      <c r="Q16" s="20">
        <f t="shared" ca="1" si="42"/>
        <v>16054</v>
      </c>
      <c r="R16" s="20">
        <f t="shared" ca="1" si="43"/>
        <v>14334</v>
      </c>
      <c r="S16" s="20">
        <f t="shared" ca="1" si="44"/>
        <v>117566</v>
      </c>
      <c r="T16" s="20">
        <f t="shared" ca="1" si="45"/>
        <v>24427</v>
      </c>
      <c r="U16" s="33" t="str">
        <f t="shared" si="14"/>
        <v>REBECKA KHAYT ANGHELLS DOS SANTOS SILVA</v>
      </c>
      <c r="V16" s="20" t="str">
        <f t="shared" si="46"/>
        <v>04/04/2008</v>
      </c>
      <c r="W16" s="20" t="str">
        <f t="shared" si="47"/>
        <v>01/02/2023</v>
      </c>
      <c r="X16" s="20" t="str">
        <f t="shared" si="48"/>
        <v>066010</v>
      </c>
      <c r="Y16" s="20" t="str">
        <f t="shared" si="49"/>
        <v>18412018710</v>
      </c>
      <c r="Z16" s="20" t="str">
        <f t="shared" si="50"/>
        <v/>
      </c>
      <c r="AA16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'REBECKA KHAYT ANGHELLS DOS SANTOS SILVA', 'REBECKA KHAYT ANGHELLS DOS SANTOS SILVA', '04/04/2008', '18412018710',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'REBECKA KHAYT ANGHELLS DOS SANTOS SILVA', '18412018710', SYSDATE, 5677, '000000099991', '04/04/2008', 'F',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'066010' ) ), 32588, 3, 5677, SYSDATE, '000000099991');</v>
      </c>
      <c r="AB16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'066010' ), 16054, 2, '01/02/2023', SYSDATE, 5677, '000000099991' );</v>
      </c>
      <c r="AC16" s="50" t="str">
        <f t="shared" ca="1" si="51"/>
        <v/>
      </c>
      <c r="AF16" s="10" t="str">
        <f ca="1"/>
        <v>066010</v>
      </c>
      <c r="AG16" s="10" t="str">
        <f ca="1"/>
        <v xml:space="preserve">  - 066046</v>
      </c>
    </row>
    <row r="17" spans="1:32" x14ac:dyDescent="0.3">
      <c r="A17">
        <v>3</v>
      </c>
      <c r="B17" t="s">
        <v>131</v>
      </c>
      <c r="C17" s="52">
        <v>44958</v>
      </c>
      <c r="D17" s="1" t="s">
        <v>132</v>
      </c>
      <c r="E17" s="1" t="s">
        <v>133</v>
      </c>
      <c r="H17" s="52">
        <v>39769</v>
      </c>
      <c r="I17" t="s">
        <v>10</v>
      </c>
      <c r="J17" s="1">
        <v>2</v>
      </c>
      <c r="L17" s="23"/>
      <c r="M17" s="19" t="str">
        <f t="shared" si="12"/>
        <v>066014WESLEY SOARES DE SOUSA219.902.247-1739769</v>
      </c>
      <c r="N17" s="20" t="str">
        <f>IF(COUNTIF(M$3:$M16,M17)&gt;0,"não","insere")</f>
        <v>insere</v>
      </c>
      <c r="O17" s="20" t="str">
        <f t="shared" si="40"/>
        <v>insere</v>
      </c>
      <c r="P17" s="20">
        <f t="shared" ca="1" si="41"/>
        <v>32588</v>
      </c>
      <c r="Q17" s="20">
        <f t="shared" ca="1" si="42"/>
        <v>16054</v>
      </c>
      <c r="R17" s="20">
        <f t="shared" ca="1" si="43"/>
        <v>14334</v>
      </c>
      <c r="S17" s="20">
        <f t="shared" ca="1" si="44"/>
        <v>117566</v>
      </c>
      <c r="T17" s="20">
        <f t="shared" ca="1" si="45"/>
        <v>24427</v>
      </c>
      <c r="U17" s="33" t="str">
        <f t="shared" si="14"/>
        <v>WESLEY SOARES DE SOUSA</v>
      </c>
      <c r="V17" s="20" t="str">
        <f t="shared" si="46"/>
        <v>17/11/2008</v>
      </c>
      <c r="W17" s="20" t="str">
        <f t="shared" si="47"/>
        <v>01/02/2023</v>
      </c>
      <c r="X17" s="20" t="str">
        <f t="shared" si="48"/>
        <v>066014</v>
      </c>
      <c r="Y17" s="20" t="str">
        <f t="shared" si="49"/>
        <v>21990224717</v>
      </c>
      <c r="Z17" s="20" t="str">
        <f t="shared" si="50"/>
        <v/>
      </c>
      <c r="AA17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'WESLEY SOARES DE SOUSA', 'WESLEY SOARES DE SOUSA', '17/11/2008', '21990224717',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'WESLEY SOARES DE SOUSA', '21990224717', SYSDATE, 5677, '000000099991', '17/11/2008', 'M',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'066014' ) ), 32588, 3, 5677, SYSDATE, '000000099991');</v>
      </c>
      <c r="AB17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'066014' ), 16054, 2, '01/02/2023', SYSDATE, 5677, '000000099991' );</v>
      </c>
      <c r="AC17" s="50" t="str">
        <f t="shared" ca="1" si="51"/>
        <v/>
      </c>
      <c r="AF17" s="10" t="str">
        <f ca="1"/>
        <v>066014</v>
      </c>
    </row>
    <row r="18" spans="1:32" x14ac:dyDescent="0.3">
      <c r="A18">
        <v>3</v>
      </c>
      <c r="B18" t="s">
        <v>92</v>
      </c>
      <c r="C18" s="52">
        <v>44958</v>
      </c>
      <c r="D18" s="1" t="s">
        <v>93</v>
      </c>
      <c r="E18" s="53" t="s">
        <v>94</v>
      </c>
      <c r="H18" s="52">
        <v>39744</v>
      </c>
      <c r="I18" t="s">
        <v>78</v>
      </c>
      <c r="J18" s="1">
        <v>2</v>
      </c>
      <c r="L18" s="23"/>
      <c r="M18" s="19" t="str">
        <f t="shared" si="12"/>
        <v>066034ANA CLARA ALVES PEREIRA DA SILVA720.380.550-6839744</v>
      </c>
      <c r="N18" s="20" t="str">
        <f>IF(COUNTIF(M$3:$M17,M18)&gt;0,"não","insere")</f>
        <v>insere</v>
      </c>
      <c r="O18" s="20" t="str">
        <f t="shared" si="40"/>
        <v>insere</v>
      </c>
      <c r="P18" s="20">
        <f t="shared" ca="1" si="41"/>
        <v>32588</v>
      </c>
      <c r="Q18" s="20">
        <f t="shared" ca="1" si="42"/>
        <v>16054</v>
      </c>
      <c r="R18" s="20">
        <f t="shared" ca="1" si="43"/>
        <v>14334</v>
      </c>
      <c r="S18" s="20">
        <f t="shared" ca="1" si="44"/>
        <v>117566</v>
      </c>
      <c r="T18" s="20">
        <f t="shared" ca="1" si="45"/>
        <v>24427</v>
      </c>
      <c r="U18" s="33" t="str">
        <f t="shared" si="14"/>
        <v>ANA CLARA ALVES PEREIRA DA SILVA</v>
      </c>
      <c r="V18" s="20" t="str">
        <f t="shared" si="46"/>
        <v>23/10/2008</v>
      </c>
      <c r="W18" s="20" t="str">
        <f t="shared" si="47"/>
        <v>01/02/2023</v>
      </c>
      <c r="X18" s="20" t="str">
        <f t="shared" si="48"/>
        <v>066034</v>
      </c>
      <c r="Y18" s="20" t="str">
        <f t="shared" si="49"/>
        <v>72038055068</v>
      </c>
      <c r="Z18" s="20" t="str">
        <f t="shared" si="50"/>
        <v/>
      </c>
      <c r="AA18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'ANA CLARA ALVES PEREIRA DA SILVA', 'ANA CLARA ALVES PEREIRA DA SILVA', '23/10/2008', '72038055068',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'ANA CLARA ALVES PEREIRA DA SILVA', '72038055068', SYSDATE, 5677, '000000099991', '23/10/2008', 'F',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'066034' ) ), 32588, 3, 5677, SYSDATE, '000000099991');</v>
      </c>
      <c r="AB18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'066034' ), 16054, 2, '01/02/2023', SYSDATE, 5677, '000000099991' );</v>
      </c>
      <c r="AC18" s="50" t="str">
        <f t="shared" ca="1" si="51"/>
        <v/>
      </c>
      <c r="AF18" s="10" t="str">
        <f ca="1"/>
        <v>066034</v>
      </c>
    </row>
    <row r="19" spans="1:32" x14ac:dyDescent="0.3">
      <c r="A19">
        <v>3</v>
      </c>
      <c r="B19" t="s">
        <v>106</v>
      </c>
      <c r="C19" s="52">
        <v>44958</v>
      </c>
      <c r="D19" s="1" t="s">
        <v>107</v>
      </c>
      <c r="E19" s="1" t="s">
        <v>108</v>
      </c>
      <c r="H19" s="52">
        <v>39815</v>
      </c>
      <c r="I19" t="s">
        <v>78</v>
      </c>
      <c r="J19" s="1">
        <v>2</v>
      </c>
      <c r="L19" s="23"/>
      <c r="M19" s="19" t="str">
        <f t="shared" si="12"/>
        <v>066046EDUARDA NOGUEIRA DE MEDEIROS179.477.127-1939815</v>
      </c>
      <c r="N19" s="20" t="str">
        <f>IF(COUNTIF(M$3:$M18,M19)&gt;0,"não","insere")</f>
        <v>insere</v>
      </c>
      <c r="O19" s="20" t="str">
        <f t="shared" si="40"/>
        <v>insere</v>
      </c>
      <c r="P19" s="20">
        <f t="shared" ca="1" si="41"/>
        <v>32588</v>
      </c>
      <c r="Q19" s="20">
        <f t="shared" ca="1" si="42"/>
        <v>16054</v>
      </c>
      <c r="R19" s="20">
        <f t="shared" ca="1" si="43"/>
        <v>14334</v>
      </c>
      <c r="S19" s="20">
        <f t="shared" ca="1" si="44"/>
        <v>117566</v>
      </c>
      <c r="T19" s="20">
        <f t="shared" ca="1" si="45"/>
        <v>24427</v>
      </c>
      <c r="U19" s="33" t="str">
        <f t="shared" si="14"/>
        <v>EDUARDA NOGUEIRA DE MEDEIROS</v>
      </c>
      <c r="V19" s="20" t="str">
        <f t="shared" si="46"/>
        <v>02/01/2009</v>
      </c>
      <c r="W19" s="20" t="str">
        <f t="shared" si="47"/>
        <v>01/02/2023</v>
      </c>
      <c r="X19" s="20" t="str">
        <f t="shared" si="48"/>
        <v>066046</v>
      </c>
      <c r="Y19" s="20" t="str">
        <f t="shared" si="49"/>
        <v>17947712719</v>
      </c>
      <c r="Z19" s="20" t="str">
        <f t="shared" si="50"/>
        <v/>
      </c>
      <c r="AA19" s="21" t="str">
        <f t="shared" ca="1" si="17"/>
        <v>INSERT INTO PARCNEGOCIO ( NRPARCNEGOCIO, NRORG, NMPRINCIPALPARC, NMSECUNDARIPARC, DTNASCIFUNDPARC, NRINSCRICAOPARC, IDATIVO, DTINCLUSAO, NRORGINCLUSAO, CDOPERINCLUSAO, CDTIPOPARCPRINCIPAL, CDTIPOINSCRICAO, IDPESSOAFISICA, IDINSTITUICAO, IDPARCFUNDIDO ) VALUES ( 32588, 5677 , 'EDUARDA NOGUEIRA DE MEDEIROS', 'EDUARDA NOGUEIRA DE MEDEIROS', '02/01/2009', '17947712719', 'S', SYSDATE, 5677, '000000099991', 'PESSOA', 'CPF', 'S', 'N', 'N' ); INSERT INTO GPE_PESSOA ( NRPESSOA, NRORG, NRPARCNEGOCIO, DTINCLUSAO, NRORGINCLUSAO, CDOPERINCLUSAO ) VALUES ( 16054, 5677, 32588, SYSDATE, 5677, '000000099991' ); INSERT INTO GPE_PESSOAH ( NRPESSOAH, NRPESSOA, NRORG, DTMESCOMPETENC, NMPESSOA, NRCPFPESSOA, DTINCLUSAO, NRORGINCLUSAO, CDOPERINCLUSAO, DTNASCPESSOA, IDSEXOPESSOA, NRRGPESSOA, SGESTADO) VALUES ( 14334, 16054, 5677, '01/02/2023', 'EDUARDA NOGUEIRA DE MEDEIROS', '17947712719', SYSDATE, 5677, '000000099991', '02/01/2009', 'F', '', ''); INSERT INTO RELACIONAPARC ( NRRELACIONAPARC, NRORG, NRPARCNEGOCIO, NRPARCNEGRELAC, NRTIPORELACIONA, NRORGINCLUSAO, DTINCLUSAO, CDOPERINCLUSAO ) VALUES ( 117566, 5677, ( SELECT NRPARCNEGOCIO FROM GPE_PESSOA WHERE NRORG = 5677 AND NRPESSOA = ( SELECT MAX(NRPESSOA) FROM GPE_VINCULOM WHERE NRORG = 5677 AND CDMATRICULA = '066046' ) ), 32588, 3, 5677, SYSDATE, '000000099991');</v>
      </c>
      <c r="AB19" s="21" t="str">
        <f t="shared" ca="1" si="18"/>
        <v>INSERT INTO FPA_DEPVINCULO ( NRORG, NRDEPVINCULO, NRVINCULOM, NRPESSOA, NRTIPODEPENDE, DTINIDEPENDE, DTINCLUSAO, NRORGINCLUSAO, CDOPERINCLUSAO ) VALUES ( 5677, 24427, ( SELECT MAX(NRVINCULOM) FROM GPE_VINCULOM WHERE NRORG = 5677 AND CDMATRICULA = '066046' ), 16054, 2, '01/02/2023', SYSDATE, 5677, '000000099991' );</v>
      </c>
      <c r="AC19" s="50" t="str">
        <f t="shared" ca="1" si="51"/>
        <v/>
      </c>
      <c r="AF19" s="10" t="str">
        <f ca="1"/>
        <v>066046</v>
      </c>
    </row>
  </sheetData>
  <autoFilter ref="A2:J2" xr:uid="{BF45F4EF-AA9F-4C9D-9BFF-F23F0F2099D0}"/>
  <sortState xmlns:xlrd2="http://schemas.microsoft.com/office/spreadsheetml/2017/richdata2" ref="A3:J1659">
    <sortCondition ref="B3:B1659"/>
    <sortCondition ref="D3:D1659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FF21-9695-4650-BA48-CB20CC8BC9A2}">
  <dimension ref="A1:G4"/>
  <sheetViews>
    <sheetView workbookViewId="0">
      <selection activeCell="E11" sqref="E11"/>
    </sheetView>
  </sheetViews>
  <sheetFormatPr defaultColWidth="9.109375" defaultRowHeight="14.4" x14ac:dyDescent="0.3"/>
  <cols>
    <col min="1" max="1" width="14.109375" style="40" bestFit="1" customWidth="1"/>
    <col min="2" max="2" width="13.6640625" style="40" bestFit="1" customWidth="1"/>
    <col min="3" max="3" width="18.5546875" style="40" bestFit="1" customWidth="1"/>
    <col min="4" max="4" width="16.44140625" style="40" bestFit="1" customWidth="1"/>
    <col min="5" max="5" width="64" style="6" bestFit="1" customWidth="1"/>
    <col min="6" max="6" width="9.109375" style="6"/>
    <col min="7" max="7" width="64" style="6" bestFit="1" customWidth="1"/>
    <col min="8" max="16384" width="9.109375" style="6"/>
  </cols>
  <sheetData>
    <row r="1" spans="1:7" ht="215.4" x14ac:dyDescent="0.3">
      <c r="A1" s="41" t="s">
        <v>57</v>
      </c>
      <c r="B1" s="41" t="s">
        <v>58</v>
      </c>
      <c r="C1" s="41" t="s">
        <v>59</v>
      </c>
      <c r="D1" s="41" t="s">
        <v>60</v>
      </c>
      <c r="E1" s="42" t="s">
        <v>87</v>
      </c>
      <c r="G1" s="7" t="s">
        <v>63</v>
      </c>
    </row>
    <row r="2" spans="1:7" x14ac:dyDescent="0.3">
      <c r="A2" s="54" t="s">
        <v>66</v>
      </c>
      <c r="B2" s="54" t="s">
        <v>67</v>
      </c>
      <c r="C2" s="54" t="s">
        <v>68</v>
      </c>
      <c r="D2" s="54" t="s">
        <v>69</v>
      </c>
      <c r="G2" s="6" t="s">
        <v>77</v>
      </c>
    </row>
    <row r="3" spans="1:7" x14ac:dyDescent="0.3">
      <c r="A3" s="54" t="s">
        <v>70</v>
      </c>
      <c r="B3" s="54" t="s">
        <v>71</v>
      </c>
      <c r="C3" s="54" t="s">
        <v>72</v>
      </c>
      <c r="D3" s="54"/>
      <c r="G3" s="6" t="s">
        <v>64</v>
      </c>
    </row>
    <row r="4" spans="1:7" x14ac:dyDescent="0.3">
      <c r="A4" s="54" t="s">
        <v>73</v>
      </c>
      <c r="B4" s="54" t="s">
        <v>74</v>
      </c>
      <c r="C4" s="54" t="s">
        <v>75</v>
      </c>
      <c r="D4" s="54" t="s">
        <v>76</v>
      </c>
      <c r="G4" s="6" t="s">
        <v>65</v>
      </c>
    </row>
  </sheetData>
  <autoFilter ref="A1:D4" xr:uid="{17E9FF21-9695-4650-BA48-CB20CC8BC9A2}"/>
  <sortState xmlns:xlrd2="http://schemas.microsoft.com/office/spreadsheetml/2017/richdata2" ref="A2:D4">
    <sortCondition ref="A2:A4"/>
    <sortCondition ref="B2:B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APARECIDA DA SILVA</dc:creator>
  <cp:lastModifiedBy>Bruno Borba</cp:lastModifiedBy>
  <dcterms:created xsi:type="dcterms:W3CDTF">2022-06-22T12:45:39Z</dcterms:created>
  <dcterms:modified xsi:type="dcterms:W3CDTF">2026-05-14T15:15:36Z</dcterms:modified>
</cp:coreProperties>
</file>